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Lesehinweise" sheetId="1" state="visible" r:id="rId3"/>
    <sheet name="Übersicht" sheetId="2" state="visible" r:id="rId4"/>
    <sheet name="Prüfbericht" sheetId="3" state="visible" r:id="rId5"/>
    <sheet name="Z Zugang" sheetId="4" state="visible" r:id="rId6"/>
    <sheet name="M Triebwerksraum" sheetId="5" state="visible" r:id="rId7"/>
    <sheet name="T Türen" sheetId="6" state="visible" r:id="rId8"/>
    <sheet name="K Fahrkorb" sheetId="7" state="visible" r:id="rId9"/>
    <sheet name="F Fahrkorbdach" sheetId="8" state="visible" r:id="rId10"/>
    <sheet name="S Schacht" sheetId="9" state="visible" r:id="rId11"/>
    <sheet name="G Schachtgrube" sheetId="10" state="visible" r:id="rId12"/>
    <sheet name="U Umfeld" sheetId="11" state="visible" r:id="rId13"/>
    <sheet name="SF Sonderfunktionen" sheetId="12" state="visible" r:id="rId14"/>
    <sheet name="D Unterlagen" sheetId="13" state="visible" r:id="rId15"/>
    <sheet name="Maßnahmenarten" sheetId="14" state="visible" r:id="rId16"/>
    <sheet name="Fragen" sheetId="15" state="visible" r:id="rId17"/>
  </sheets>
  <definedNames>
    <definedName function="false" hidden="true" localSheetId="12" name="_xlnm._FilterDatabase" vbProcedure="false">'D Unterlagen'!$A$1:$L$31</definedName>
    <definedName function="false" hidden="true" localSheetId="7" name="_xlnm._FilterDatabase" vbProcedure="false">'F Fahrkorbdach'!$A$1:$L$47</definedName>
    <definedName function="false" hidden="true" localSheetId="14" name="_xlnm._FilterDatabase" vbProcedure="false">Fragen!$A$1:$J$288</definedName>
    <definedName function="false" hidden="true" localSheetId="9" name="_xlnm._FilterDatabase" vbProcedure="false">'G Schachtgrube'!$A$1:$L$46</definedName>
    <definedName function="false" hidden="true" localSheetId="6" name="_xlnm._FilterDatabase" vbProcedure="false">'K Fahrkorb'!$A$1:$L$70</definedName>
    <definedName function="false" hidden="true" localSheetId="4" name="_xlnm._FilterDatabase" vbProcedure="false">'M Triebwerksraum'!$A$1:$L$98</definedName>
    <definedName function="false" hidden="true" localSheetId="13" name="_xlnm._FilterDatabase" vbProcedure="false">Maßnahmenarten!$A$1:$H$474</definedName>
    <definedName function="false" hidden="true" localSheetId="8" name="_xlnm._FilterDatabase" vbProcedure="false">'S Schacht'!$A$1:$L$35</definedName>
    <definedName function="false" hidden="true" localSheetId="11" name="_xlnm._FilterDatabase" vbProcedure="false">'SF Sonderfunktionen'!$A$1:$L$13</definedName>
    <definedName function="false" hidden="true" localSheetId="5" name="_xlnm._FilterDatabase" vbProcedure="false">'T Türen'!$A$1:$L$36</definedName>
    <definedName function="false" hidden="true" localSheetId="10" name="_xlnm._FilterDatabase" vbProcedure="false">'U Umfeld'!$A$1:$L$75</definedName>
    <definedName function="false" hidden="true" localSheetId="3" name="_xlnm._FilterDatabase" vbProcedure="false">'Z Zugang'!$A$1:$L$49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<sst xmlns="http://schemas.openxmlformats.org/spreadsheetml/2006/main" count="9477" uniqueCount="4077">
  <si>
    <t xml:space="preserve">Regelprüfung GBU EN 81-20 (Fragebogen) – offene Regeln</t>
  </si>
  <si>
    <t xml:space="preserve">Regelwerk 81-20-mf-2026.10 · Stand 16.09.2026 · 354 offene Regeln in 95 Gefährdungen, davon 94 Auffangregeln (Kein Risiko), 260 fachliche Regeln und 120 nach dem externen Prüfbericht geänderte Regeln.</t>
  </si>
  <si>
    <t xml:space="preserve">Zweite Fassung: Der externe Prüfbericht zur ersten Fassung ist eingearbeitet. Blatt „Prüfbericht“ zeigt je Befund, ob er zutrifft und was geändert wurde; die geänderten Regeln sind in den Bereichsblättern orange markiert (Status „offen – geändert“).</t>
  </si>
  <si>
    <t xml:space="preserve">Der Katalog „Bestand nach DIN EN 81-80“ ist aus diesem Katalog abgeleitet – eine Freigabe hier gilt dort automatisch. Das ist zulässig, weil der Generator Regeln, Gefährdungen und Anwendbarkeit dort unverändert übernimmt und bei jeder Abweichung abbricht. Die Kopfzeile nennt die zugehörigen EN-81-80-Punkte bzw. „nicht im Bestandskatalog“.</t>
  </si>
  <si>
    <t xml:space="preserve">Dritte Fassung (16.09.2026): Regel-IDs sind jetzt dauerhaft – eine ID bezeichnet immer denselben Sachverhalt; neue Sachverhalte bekommen neue Nummern (deshalb Lücken). Die Prüfliste v2 ist damit überholt, bitte nur diese Datei ausfüllen. „Rev.“ im Status zählt inhaltliche Änderungen seit der ersten Fassung.</t>
  </si>
  <si>
    <t xml:space="preserve">Baujahr-Annahmen (Festlegung 07.09., bestätigt 16.09.2026): Ab dem genannten Baujahr gilt ein Ausstattungsmerkmal als vorhanden, solange niemand widerspricht; im Bericht steht dann „angenommen“. Blatt „Fragen“, Spalte „Annahme ab Baujahr“ zeigt, welche Fragen betroffen sind.</t>
  </si>
  <si>
    <t xml:space="preserve">So wird entschieden</t>
  </si>
  <si>
    <t xml:space="preserve">1. Je Erhebungsbereich ein Blatt, darin je Gefährdung ein Block. Die blaue Kopfzeile nennt Titel, Faktor, betroffene Personen, Bewertungslogik, wann die Gefährdung überhaupt bewertet wird (Anwendbarkeit), welche Fragen vorher beantwortet sein müssen (Pflichtfragen), EN-81-80-Bezug und Quellen.</t>
  </si>
  <si>
    <t xml:space="preserve">2. Passt der ganze Block: in der Kopfzeile „Freigeben“ wählen – das gilt für alle offenen Regeln der Gefährdung, einschließlich der Auffangregel.</t>
  </si>
  <si>
    <t xml:space="preserve">3. Passt eine einzelne Regel nicht: in ihrer Zeile „Ändern“ oder „Streichen“ wählen und in „Korrektur“ sagen, was gelten soll. Ohne Korrektur wird die Zelle rot. Die Einzelentscheidung geht der Sammelentscheidung vor.</t>
  </si>
  <si>
    <t xml:space="preserve">4. Leer lassen = noch nicht entschieden. Blockweise arbeiten und zwischendurch zurückgeben ist möglich.</t>
  </si>
  <si>
    <t xml:space="preserve">5. Blatt „Prüfbericht“: Bei den offenen Punkten (Spalte „Entscheidung nötig“) bitte Übernehmen / Ablehnen / Später wählen und ggf. kommentieren.</t>
  </si>
  <si>
    <t xml:space="preserve">6. Blatt „Maßnahmenarten“: Die Einstufung technisch/organisatorisch wurde neu abgeleitet. Falsche Einstufungen in „Art richtig?“ mit T oder O korrigieren; leer = passt.</t>
  </si>
  <si>
    <t xml:space="preserve">Worauf achten</t>
  </si>
  <si>
    <t xml:space="preserve">• Stufe: Trifft Hoch / Mittel / Niedrig für diesen Sachverhalt zu?</t>
  </si>
  <si>
    <t xml:space="preserve">• Bedingung: Ist der Sachverhalt richtig getroffen – auch UND/ODER und die Ausnahmen (NICHT)?</t>
  </si>
  <si>
    <t xml:space="preserve">• Priorität / Bewertungslogik: Bei „Vorrang“ gewinnt die Regel mit der höchsten Prio – dort stecken die Kompensationen. Bei „Höchste Stufe“ zählen alle zutreffenden Regeln.</t>
  </si>
  <si>
    <t xml:space="preserve">• Maßnahmen: sofort und mittelfristig; [T] technisch, [O] organisatorisch. „AUFFÄLLIG“ im Hinweis markiert fehlende Maßnahmen.</t>
  </si>
  <si>
    <t xml:space="preserve">• Graue Zeilen sind bereits freigegeben und stehen nur zum Verständnis im Block.</t>
  </si>
  <si>
    <t xml:space="preserve">• Auffangregeln (Kein Risiko, Prio 1) sind Mechanik: Sie greifen erst, wenn keine Mangelregel zutrifft und alle Pflichtfragen beantwortet sind; vorher meldet die Engine „unvollständig“.</t>
  </si>
  <si>
    <t xml:space="preserve">Die Blätter sind ohne Kennwort geschützt, damit nichts versehentlich überschrieben wird; offen sind nur die gelben Eingabezellen. Filter funktionieren. Aufheben: Überprüfen → Blattschutz aufheben.</t>
  </si>
  <si>
    <t xml:space="preserve">Rückweg (technisch): python3 apply_mf_regelpruefung.py → python3 gen_mf_catalog.py → python3 gen_en8180_catalog.py → App-Assets erneuern → Engine neu seeden. Freigaben sind an den Regelinhalt gebunden: Wird eine Regel später geändert, fällt sie automatisch wieder auf „offen“.</t>
  </si>
  <si>
    <t xml:space="preserve">Erhebungsbereich</t>
  </si>
  <si>
    <t xml:space="preserve">Blatt</t>
  </si>
  <si>
    <t xml:space="preserve">Gefährdungen</t>
  </si>
  <si>
    <t xml:space="preserve">offene Regeln</t>
  </si>
  <si>
    <t xml:space="preserve">davon Auffang</t>
  </si>
  <si>
    <t xml:space="preserve">davon geändert (Prüfbericht)</t>
  </si>
  <si>
    <t xml:space="preserve">entschieden</t>
  </si>
  <si>
    <t xml:space="preserve">Freigeben</t>
  </si>
  <si>
    <t xml:space="preserve">Ändern</t>
  </si>
  <si>
    <t xml:space="preserve">Streichen</t>
  </si>
  <si>
    <t xml:space="preserve">Korrektur fehlt</t>
  </si>
  <si>
    <t xml:space="preserve">Fortschritt</t>
  </si>
  <si>
    <t xml:space="preserve">fachlich freigabereif</t>
  </si>
  <si>
    <t xml:space="preserve">Z – Zugang zum Triebwerks-/Steuerungsraum</t>
  </si>
  <si>
    <t xml:space="preserve">Z Zugang</t>
  </si>
  <si>
    <t xml:space="preserve">M – Triebwerks-/Maschinenraum und Steuerung</t>
  </si>
  <si>
    <t xml:space="preserve">M Triebwerksraum</t>
  </si>
  <si>
    <t xml:space="preserve">T – Schachttüren und Fahrkorbtür</t>
  </si>
  <si>
    <t xml:space="preserve">T Türen</t>
  </si>
  <si>
    <t xml:space="preserve">K – Fahrkorb</t>
  </si>
  <si>
    <t xml:space="preserve">K Fahrkorb</t>
  </si>
  <si>
    <t xml:space="preserve">F – Fahrkorbdach und Schachtkopf</t>
  </si>
  <si>
    <t xml:space="preserve">F Fahrkorbdach</t>
  </si>
  <si>
    <t xml:space="preserve">S – Schacht</t>
  </si>
  <si>
    <t xml:space="preserve">S Schacht</t>
  </si>
  <si>
    <t xml:space="preserve">G – Schachtgrube</t>
  </si>
  <si>
    <t xml:space="preserve">G Schachtgrube</t>
  </si>
  <si>
    <t xml:space="preserve">U – Umfeld, Gebäude und Nutzung</t>
  </si>
  <si>
    <t xml:space="preserve">U Umfeld</t>
  </si>
  <si>
    <t xml:space="preserve">SF – Sonderfunktionen</t>
  </si>
  <si>
    <t xml:space="preserve">SF Sonderfunktionen</t>
  </si>
  <si>
    <t xml:space="preserve">D – Unterlagen und Betreiberorganisation</t>
  </si>
  <si>
    <t xml:space="preserve">D Unterlagen</t>
  </si>
  <si>
    <t xml:space="preserve">Summe</t>
  </si>
  <si>
    <t xml:space="preserve">„entschieden“ zählt jede offene Regel mit wirksamer Entscheidung – der eigenen oder der Sammelfreigabe ihrer Gefährdung. „fachlich freigabereif“ = jede offene Regel ist freigegeben und keine Korrektur fehlt; „Ändern“/„Streichen“ bleiben offen, bis der Katalog angepasst und erneut vorgelegt ist.</t>
  </si>
  <si>
    <t xml:space="preserve">ID</t>
  </si>
  <si>
    <t xml:space="preserve">Priorität</t>
  </si>
  <si>
    <t xml:space="preserve">Bereich / Regeln</t>
  </si>
  <si>
    <t xml:space="preserve">Bewertung</t>
  </si>
  <si>
    <t xml:space="preserve">Begründung / Beleg</t>
  </si>
  <si>
    <t xml:space="preserve">Umsetzung</t>
  </si>
  <si>
    <t xml:space="preserve">Entscheidung nötig</t>
  </si>
  <si>
    <t xml:space="preserve">Deine Entscheidung</t>
  </si>
  <si>
    <t xml:space="preserve">Kommentar</t>
  </si>
  <si>
    <t xml:space="preserve">Runde 1 – externer Prüfbericht vom 15.09.2026 (Stand der Umsetzung 16.09.2026)</t>
  </si>
  <si>
    <t xml:space="preserve">B01</t>
  </si>
  <si>
    <t xml:space="preserve">Kritisch</t>
  </si>
  <si>
    <t xml:space="preserve">Anwendbarkeit / Gates</t>
  </si>
  <si>
    <t xml:space="preserve">teilweise</t>
  </si>
  <si>
    <t xml:space="preserve">Der Katalog hat Anwendbarkeitsfilter (Aufzugsart, Antrieb, Maschinen- und Rollenraum, gemeinsamer Schacht, Gegengewicht, BMA/RWA/Sprinkler/Brandfallsteuerung, Feuerwehraufzug, Nutzung durch mobilitätseingeschränkte Personen) und Sichtbarkeitsregeln. Die alte Prüfliste hat sie nicht angezeigt.</t>
  </si>
  <si>
    <t xml:space="preserve">Übernommen (Empfehlung 16.09.): Antwort „nicht anwendbar“ mit Begründung, getrennt von „unbekannt“ – kommt mit der App-Runde (Antwortmodell).</t>
  </si>
  <si>
    <t xml:space="preserve">B02</t>
  </si>
  <si>
    <t xml:space="preserve">Referenzintegrität</t>
  </si>
  <si>
    <t xml:space="preserve">bestätigt</t>
  </si>
  <si>
    <t xml:space="preserve">Blatt „Fragen“ enthielt nur die Fragen der offenen Regeln.</t>
  </si>
  <si>
    <t xml:space="preserve">Behoben: Das Blatt enthält alle Fragen der gezeigten Gefährdungen mit Sichtbarkeit und Pflicht.</t>
  </si>
  <si>
    <t xml:space="preserve">B03</t>
  </si>
  <si>
    <t xml:space="preserve">MF-G07</t>
  </si>
  <si>
    <t xml:space="preserve">TRBS 3121 Anh. 1 Nr. 2: 2 m über Schachtgrubensohle; die 2,50 m über der untersten Haltestelle gehören zu Nr. 3 (Nachbaraufzug).</t>
  </si>
  <si>
    <t xml:space="preserve">Korrigiert: MF-G07-R1 (Maß), MF-G07-R4 (Warnhinweis als organisatorische Maßnahme).</t>
  </si>
  <si>
    <t xml:space="preserve">B04</t>
  </si>
  <si>
    <t xml:space="preserve">MF-G04</t>
  </si>
  <si>
    <t xml:space="preserve">TRBS 3121 Anh. 1 Nr. 6: Risiko hoch bei TRA-200-Anlagen bis Baujahr 1992 (Abstiegseinrichtung erst ab 1,5 m Grubentiefe gefordert), niedrig bei TRA 200 ab 1992 und EN 81-1/2.</t>
  </si>
  <si>
    <t xml:space="preserve">Umgesetzt 16.09. nach Empfehlung: zuerst die Zugangsart (11.7 separate Grubenzugangstür), Leiterfragen nur bei Zugang über Leiter. Keine pauschale Baujahr-Korrektur.</t>
  </si>
  <si>
    <t xml:space="preserve">B05</t>
  </si>
  <si>
    <t xml:space="preserve">MF-S01</t>
  </si>
  <si>
    <t xml:space="preserve">TRBS 3121 Anh. 1 Nr. 8: mind. 50 lx im Arbeitsbereich auf dem Fahrkorbdach und in der Grube; Risiko niedrig, wenn TRA 200 / EN 81-1/2 erfüllt.</t>
  </si>
  <si>
    <t xml:space="preserve">Korrigiert: Frage 10.1a auf 50 lx über dem Fahrkorbdach; neue Frage 10.1c (Altnorm erfüllt → Niedrig). Die Grube hatte 50 lx bereits (11.2a).</t>
  </si>
  <si>
    <t xml:space="preserve">B06</t>
  </si>
  <si>
    <t xml:space="preserve">MF-T04</t>
  </si>
  <si>
    <t xml:space="preserve">Bei „Höchste Stufe“ hat die Nicht-VSG-Regel die Drahtglas-Regel immer übersteuert.</t>
  </si>
  <si>
    <t xml:space="preserve">Korrigiert: MF-T04-R1 nimmt Drahtglas aus; neue Frage 7.8a und Regel für beschädigtes/loses Glas; 7.8 fragt nur noch die Glasart.</t>
  </si>
  <si>
    <t xml:space="preserve">B07</t>
  </si>
  <si>
    <t xml:space="preserve">MF-T06</t>
  </si>
  <si>
    <t xml:space="preserve">TRBS 3121 Anh. 1 Nr. 14 c): Lichtgitter statt Fahrkorbtür nur bei Lastenaufzügen mit ausschließlich eingewiesenem Nutzerkreis.</t>
  </si>
  <si>
    <t xml:space="preserve">Korrigiert: Mittel nur bei Nutzungsart Lastenaufzug und Frage 8.9b = Ja; sonst neue Regel Hoch.</t>
  </si>
  <si>
    <t xml:space="preserve">B08</t>
  </si>
  <si>
    <t xml:space="preserve">MF-K05</t>
  </si>
  <si>
    <t xml:space="preserve">TRBS 3121 Anh. 1 Nr. 19 nennt die Maßnahmen als Alternativen und für Altanlagen niedrig bis mittel je nach Nutzerkreis. Die Verschärfung (beide Verriegelungen) ist deine Entscheidung K-K04 vom 02.09.2026.</t>
  </si>
  <si>
    <t xml:space="preserve">Umgesetzt 16.09.: TRBS-Alternative (eine Verriegelung) = Niedrig; ohne Maßnahme Mittel; Hoch nur bei Kindern und als EIGENER STANDARD gekennzeichnet; Kein Risiko weiter nur mit beiden (K-K04).</t>
  </si>
  <si>
    <t xml:space="preserve">B09</t>
  </si>
  <si>
    <t xml:space="preserve">Gebäudeschnittstellen</t>
  </si>
  <si>
    <t xml:space="preserve">nicht zutreffend</t>
  </si>
  <si>
    <t xml:space="preserve">MF-K08 (4.11 Brandfallsteuerung gefordert), MF-U09 (BMA vorhanden), MF-U10 (Entrauchung vorhanden), MF-U11 (Sprinkler vorhanden) und MF-SF01 (Feuerwehraufzug) haben Anwendbarkeitsfilter. Die alte Prüfliste hat sie nur nicht angezeigt.</t>
  </si>
  <si>
    <t xml:space="preserve">Filter sind jetzt in der Kopfzeile sichtbar.</t>
  </si>
  <si>
    <t xml:space="preserve">B10</t>
  </si>
  <si>
    <t xml:space="preserve">MF-K10</t>
  </si>
  <si>
    <t xml:space="preserve">Der Filter 4.9 (Nutzung durch mobilitätseingeschränkte Personen) existiert. Eine Anforderung aus Genehmigung/Nutzung wird nicht abgefragt; das Maß 1,00 × 1,25 m ist fest vorgegeben.</t>
  </si>
  <si>
    <t xml:space="preserve">Umgesetzt 16.09.: neue Frage 4.9a „barrierefreie Ausführung gefordert“ löst die Prüfung ebenfalls aus; Maß mit Fahrkorbtyp und Normausgabe.</t>
  </si>
  <si>
    <t xml:space="preserve">B11</t>
  </si>
  <si>
    <t xml:space="preserve">F02/F05/F07/M10/S05</t>
  </si>
  <si>
    <t xml:space="preserve">Unwirksame oder widersprüchliche Maßnahmen.</t>
  </si>
  <si>
    <t xml:space="preserve">Korrigiert: MF-F02-R1/R2, MF-F05-R2, MF-F07-R1, MF-M10-R2 (inkl. Schreibfehler), MF-S05-R2.</t>
  </si>
  <si>
    <t xml:space="preserve">B12</t>
  </si>
  <si>
    <t xml:space="preserve">MF-M13</t>
  </si>
  <si>
    <t xml:space="preserve">Bei fehlendem Absperrventil wurde nur Zugänglichkeit/Kennzeichnung verlangt.</t>
  </si>
  <si>
    <t xml:space="preserve">Korrigiert: MF-M13-R4 verlangt den Einbau; bis dahin gesicherter Fahrkorb.</t>
  </si>
  <si>
    <t xml:space="preserve">B13</t>
  </si>
  <si>
    <t xml:space="preserve">MF-M20</t>
  </si>
  <si>
    <t xml:space="preserve">Die Sofortmaßnahme bezog sich auf das Fahrkorbdach. Der Filter „Rollenraum vorhanden“ bestand bereits.</t>
  </si>
  <si>
    <t xml:space="preserve">Korrigiert: Maßnahmen auf den Rollenraum bezogen.</t>
  </si>
  <si>
    <t xml:space="preserve">B14</t>
  </si>
  <si>
    <t xml:space="preserve">Bewertungsmethode</t>
  </si>
  <si>
    <t xml:space="preserve">Die regelbasierten Stufen mit Quelle und Freigabe sind die bewusste Methode von GBU 4.0; sonstige Gefährdungen laufen über die Nohl-Matrix. Es fehlen aber die dokumentierte Begründung einer manuellen Abweichung und das Restrisiko nach der Maßnahme.</t>
  </si>
  <si>
    <t xml:space="preserve">Übernommen (Empfehlung 16.09.): Abweichungsbegründung und Restrisiko je Befund – App-Runde. Regelbasierte Methode bleibt.</t>
  </si>
  <si>
    <t xml:space="preserve">H01</t>
  </si>
  <si>
    <t xml:space="preserve">Hoch</t>
  </si>
  <si>
    <t xml:space="preserve">Auffangregeln</t>
  </si>
  <si>
    <t xml:space="preserve">nicht zutreffend (Laufzeit)</t>
  </si>
  <si>
    <t xml:space="preserve">Die Engine prüft alle Pflichtfragen vor den Regeln und meldet sonst „unvollständig“. Regelrelevante Fragen werden automatisch Pflicht. Die Smoke-Tests decken das ab.</t>
  </si>
  <si>
    <t xml:space="preserve">Pflichtfragen stehen jetzt in der Kopfzeile; neue Tests prüfen fehlende Pflichtantworten (z. B. Nutzungsart bei MF-T06).</t>
  </si>
  <si>
    <t xml:space="preserve">H02</t>
  </si>
  <si>
    <t xml:space="preserve">MF-G03</t>
  </si>
  <si>
    <t xml:space="preserve">11.4b ist nur bei Grubentiefe &gt; 1,60 m sichtbar und Pflicht.</t>
  </si>
  <si>
    <t xml:space="preserve">In der Prüfliste sichtbar (Blatt „Fragen“, Spalte „Sichtbar, wenn“).</t>
  </si>
  <si>
    <t xml:space="preserve">H03</t>
  </si>
  <si>
    <t xml:space="preserve">MF-F03 / MF-G08</t>
  </si>
  <si>
    <t xml:space="preserve">4.8 fragt bereits „gemeinsamer Schacht“, 9.6 kennt „ausreichende Abstände“. Richtig ist: Die Alternative automatische Abschaltung fehlte und die Sofortmaßnahme war unspezifisch.</t>
  </si>
  <si>
    <t xml:space="preserve">Korrigiert: neue Fragen 9.6a und 11.14a (automatische Abschaltung → Kein Risiko), Maßnahmen benennen den Nachbaraufzug.</t>
  </si>
  <si>
    <t xml:space="preserve">H04</t>
  </si>
  <si>
    <t xml:space="preserve">F07/G04/G06</t>
  </si>
  <si>
    <t xml:space="preserve">9.11a erscheint nur bei vorhandener Klappe, 11.7a nur bei Grubenzugangstür, 11.10c nur bei energieverzehrenden Puffern.</t>
  </si>
  <si>
    <t xml:space="preserve">In der Prüfliste sichtbar.</t>
  </si>
  <si>
    <t xml:space="preserve">H05</t>
  </si>
  <si>
    <t xml:space="preserve">MF-K12–K14</t>
  </si>
  <si>
    <t xml:space="preserve">Sachfremde bzw. nicht gleichwertige Abhilfen.</t>
  </si>
  <si>
    <t xml:space="preserve">Korrigiert: MF-K12-R4, MF-K13-R1, MF-K14-R2 (inkl. Schreibfehler).</t>
  </si>
  <si>
    <t xml:space="preserve">H06</t>
  </si>
  <si>
    <t xml:space="preserve">MF-U01</t>
  </si>
  <si>
    <t xml:space="preserve">„Unbekannt“ ist kein bestätigter Befund.</t>
  </si>
  <si>
    <t xml:space="preserve">Korrigiert: MF-U01-R5 Mittel mit Schadstofferkundung statt Hoch mit Stillsetzung.</t>
  </si>
  <si>
    <t xml:space="preserve">H07</t>
  </si>
  <si>
    <t xml:space="preserve">MF-U01–U15</t>
  </si>
  <si>
    <t xml:space="preserve">Generische Schnittstellen-Texte aus der Ergänzung 2026.</t>
  </si>
  <si>
    <t xml:space="preserve">Korrigiert: gefährdungsspezifische Maßnahmen für U01–U03 und U06–U13.</t>
  </si>
  <si>
    <t xml:space="preserve">H08</t>
  </si>
  <si>
    <t xml:space="preserve">Die Formel zählte nur Sammelfreigaben.</t>
  </si>
  <si>
    <t xml:space="preserve">Behoben: Der Fortschritt zählt jede Regel mit wirksamer Entscheidung (eigene oder Sammelentscheidung).</t>
  </si>
  <si>
    <t xml:space="preserve">H09</t>
  </si>
  <si>
    <t xml:space="preserve">Datenvalidierung</t>
  </si>
  <si>
    <t xml:space="preserve">Ungültige Eingaben wurden nicht blockiert.</t>
  </si>
  <si>
    <t xml:space="preserve">Behoben: Die Auswahllisten weisen andere Werte ab.</t>
  </si>
  <si>
    <t xml:space="preserve">H10</t>
  </si>
  <si>
    <t xml:space="preserve">Änderungsworkflow</t>
  </si>
  <si>
    <t xml:space="preserve">Die Korrektur war bei „Ändern“/„Streichen“ nicht verpflichtend.</t>
  </si>
  <si>
    <t xml:space="preserve">Behoben: rote Markierung und Zähler „Korrektur fehlt“ in der Übersicht; das Übernahmeskript warnt.</t>
  </si>
  <si>
    <t xml:space="preserve">H11</t>
  </si>
  <si>
    <t xml:space="preserve">Maßnahmenlücken</t>
  </si>
  <si>
    <t xml:space="preserve">10 Regeln ohne Sofort- oder Folgemaßnahme; die eigene Vorprüfung hatte nur eine gefunden.</t>
  </si>
  <si>
    <t xml:space="preserve">Korrigiert; der Smoke-Test prüft das künftig für den ganzen Katalog.</t>
  </si>
  <si>
    <t xml:space="preserve">H12</t>
  </si>
  <si>
    <t xml:space="preserve">T/O-Kennzeichnung</t>
  </si>
  <si>
    <t xml:space="preserve">Systematische Ursache: Die Art hing an der Zeitlage (sofort = O, mittelfristig = T).</t>
  </si>
  <si>
    <t xml:space="preserve">Umgesetzt: Art aus dem Inhalt, gemischte eigene Texte bereinigt. „P“ (personenbezogen) kommt mit der App-Runde (Schema, Datenbank, App). Bitte Blatt „Maßnahmenarten“ gegenlesen.</t>
  </si>
  <si>
    <t xml:space="preserve">ja</t>
  </si>
  <si>
    <t xml:space="preserve">H13</t>
  </si>
  <si>
    <t xml:space="preserve">Quellenstand</t>
  </si>
  <si>
    <t xml:space="preserve">Die geltende TRBS 3121 (GMBl 2025 S. 691) gliedert den Haupttext nur bis Abschnitt 3.</t>
  </si>
  <si>
    <t xml:space="preserve">Korrigiert: Z09 → 3.1.3/3.7.3, M15 → 3.7.3, D01 → 3.6/3.2 Nr. 6, D03 → 3.4.1, D05 → 3.3, U12 → 3.4.2.</t>
  </si>
  <si>
    <t xml:space="preserve">H14</t>
  </si>
  <si>
    <t xml:space="preserve">Formelwerte</t>
  </si>
  <si>
    <t xml:space="preserve">Formeln ohne gespeicherte Ergebnisse.</t>
  </si>
  <si>
    <t xml:space="preserve">Behoben: Die Datei wird vor der Ausgabe neu berechnet.</t>
  </si>
  <si>
    <t xml:space="preserve">H15</t>
  </si>
  <si>
    <t xml:space="preserve">MF-F04</t>
  </si>
  <si>
    <t xml:space="preserve">Die Schutzeinrichtung wirkt, es fehlt nur die Kennzeichnung.</t>
  </si>
  <si>
    <t xml:space="preserve">Korrigiert: MF-F04-R2 Mittel statt Hoch.</t>
  </si>
  <si>
    <t xml:space="preserve">H16</t>
  </si>
  <si>
    <t xml:space="preserve">MF-K11</t>
  </si>
  <si>
    <t xml:space="preserve">Videoüberwachung als pauschale Abhilfe.</t>
  </si>
  <si>
    <t xml:space="preserve">Korrigiert: MF-K11-R3 nach DIN EN 81-71; weitere Maßnahmen nach Ursachenanalyse.</t>
  </si>
  <si>
    <t xml:space="preserve">M01</t>
  </si>
  <si>
    <t xml:space="preserve">Mittel</t>
  </si>
  <si>
    <t xml:space="preserve">Hilfetexte</t>
  </si>
  <si>
    <t xml:space="preserve">Nur 20 von 289 Fragen haben einen Hilfetext.</t>
  </si>
  <si>
    <t xml:space="preserve">Teilweise umgesetzt 16.09.: 37 sicherheitskritische Fragen haben jetzt einen Prüfhinweis (65 von 294 insgesamt). Rest folgt.</t>
  </si>
  <si>
    <t xml:space="preserve">M02</t>
  </si>
  <si>
    <t xml:space="preserve">Ergebnisdokumentation</t>
  </si>
  <si>
    <t xml:space="preserve">Die App führt Maßnahmen je Befund mit Verfolgung; das Restrisiko fehlt (siehe B14).</t>
  </si>
  <si>
    <t xml:space="preserve">Siehe B14.</t>
  </si>
  <si>
    <t xml:space="preserve">M03</t>
  </si>
  <si>
    <t xml:space="preserve">Normrückverfolgung</t>
  </si>
  <si>
    <t xml:space="preserve">Die EN-81-80-Zuordnung liegt je Punkt vor (en8180_map, GBU_EN8180_Zuordnung.xlsx); die Prüfliste zeigte nur ja/nein.</t>
  </si>
  <si>
    <t xml:space="preserve">Behoben: Die Kopfzeile nennt die EN-81-80-Punkte mit Abschnitt.</t>
  </si>
  <si>
    <t xml:space="preserve">M04</t>
  </si>
  <si>
    <t xml:space="preserve">Schreibfehler</t>
  </si>
  <si>
    <t xml:space="preserve">„Motrorregelung“, „Machinenrahmen“, „nachrüste“, „Eignung ,“.</t>
  </si>
  <si>
    <t xml:space="preserve">Korrigiert (zentrale Textkorrektur beim Einlesen der App-Maßnahmen).</t>
  </si>
  <si>
    <t xml:space="preserve">M05</t>
  </si>
  <si>
    <t xml:space="preserve">Blattschutz</t>
  </si>
  <si>
    <t xml:space="preserve">Blätter ungeschützt.</t>
  </si>
  <si>
    <t xml:space="preserve">Behoben: Blattschutz ohne Kennwort; nur Entscheidungs- und Korrekturzellen sind offen, Filter bleiben nutzbar.</t>
  </si>
  <si>
    <t xml:space="preserve">N01</t>
  </si>
  <si>
    <t xml:space="preserve">Niedrig</t>
  </si>
  <si>
    <t xml:space="preserve">Darstellung</t>
  </si>
  <si>
    <t xml:space="preserve">Sehr textdicht.</t>
  </si>
  <si>
    <t xml:space="preserve">Teilweise: Geänderte Regeln sind farbig markiert und filterbar (Status „offen – geändert“).</t>
  </si>
  <si>
    <t xml:space="preserve">Runde 2 – zweite Prüfung vom 16.09.2026</t>
  </si>
  <si>
    <t xml:space="preserve">P2-1</t>
  </si>
  <si>
    <t xml:space="preserve">Scherengitter-Regel (Prio 200) verdrängte die Hoch-Regel für Ersatzlösungen ohne Voraussetzung; „keine Schließkantensicherung“ war bei mobilitätseingeschränkten Nutzern günstiger als die Einzel-Lichtschranke.</t>
  </si>
  <si>
    <t xml:space="preserve">Umgesetzt: Licht- und Scherengitter laufen über dieselbe Voraussetzung (Lastenaufzug, nur Eingewiesene), sonst Hoch; neue Regel „keine Schließkantensicherung + PmeM = Hoch“; Maßnahme in R1 begrenzt. Ein Monotonie-Test prüft, dass weniger Schutz nie günstiger bewertet wird.</t>
  </si>
  <si>
    <t xml:space="preserve">P2-2</t>
  </si>
  <si>
    <t xml:space="preserve">Baujahr-Annahmen</t>
  </si>
  <si>
    <t xml:space="preserve">Ein Baujahr begründet eine Erwartung, keinen Nachweis.</t>
  </si>
  <si>
    <t xml:space="preserve">Entscheidung Arne 16.09.2026: Annahmen bleiben wie am 07.09. festgelegt (widerlegbar, im Bericht als „angenommen“ ausgewiesen). Behoben: 1.24 Baujahr und 1.29 Konformitätsnachweis stehen jetzt im Blatt „Fragen“, dazu je Frage die Annahme.</t>
  </si>
  <si>
    <t xml:space="preserve">P2-3</t>
  </si>
  <si>
    <t xml:space="preserve">K02 / U06 / F03 / G08 / 8.4</t>
  </si>
  <si>
    <t xml:space="preserve">Risikominderung ohne nachgewiesene Schutzwirkung.</t>
  </si>
  <si>
    <t xml:space="preserve">Umgesetzt: K02 beleuchteter Taster = Niedrig statt Kein Risiko; U06 neue Frage 15.25b (Ex-Schutz umgesetzt und geprüft), sonst Hoch; F03/G08 neue Fragen 9.6b/11.14b (Abschaltung geprüft), sonst Mittel. 8.4 ist bewusst nur Dokumentation (für den Cyber-Fragebogen) und jetzt so beschriftet.</t>
  </si>
  <si>
    <t xml:space="preserve">P2-4</t>
  </si>
  <si>
    <t xml:space="preserve">MF-G04 / MF-T04</t>
  </si>
  <si>
    <t xml:space="preserve">Leiter wurde auch bei ebenerdigem Grubenzugang bewertet; Einzugsschutz für Schiebetüren auch bei Drehtüren abgefragt.</t>
  </si>
  <si>
    <t xml:space="preserve">Umgesetzt: Zugangsart zuerst (11.7), Leiter nur bei Leiterzugang; neue Frage 7.9a (kraftbetätigte Schiebetür), Einzugsschutz nur dann.</t>
  </si>
  <si>
    <t xml:space="preserve">P2-5</t>
  </si>
  <si>
    <t xml:space="preserve">MF-M08 / MF-K13 / MF-K14 / MF-K12</t>
  </si>
  <si>
    <t xml:space="preserve">Indirekte Hydraulikaufzüge wurden wie Treibscheibenaufzüge behandelt; „SR-Modul ausbauen“ ist keine Standardalternative.</t>
  </si>
  <si>
    <t xml:space="preserve">Umgesetzt: Betriebsbremse, Wellenlagerung und Sturz nach oben nur bei Treibscheiben-/Trommelantrieb; K12-R1-Maßnahme mit anlagenspezifischer Prüfung.</t>
  </si>
  <si>
    <t xml:space="preserve">P2-6</t>
  </si>
  <si>
    <t xml:space="preserve">Regelkennungen</t>
  </si>
  <si>
    <t xml:space="preserve">Zwischen v1 und v2 wurden Codes neu belegt (z. B. MF-T04-R3).</t>
  </si>
  <si>
    <t xml:space="preserve">Umgesetzt: Regel-IDs hängen jetzt am Sachverhalt (Bedingung + Anwendbarkeit) und werden nie neu vergeben (mf_content/regel_ids.json, Basis v1). Revision je Regel; die Freigabe ist zusätzlich an Gefährdungslogik, abhängige Fragen und Maßnahmentexte gebunden. Die Prüfliste v2 ist damit überholt.</t>
  </si>
  <si>
    <t xml:space="preserve">P2-7</t>
  </si>
  <si>
    <t xml:space="preserve">Bestandskatalog</t>
  </si>
  <si>
    <t xml:space="preserve">13 Gefährdungen fehlten im Bestandskatalog.</t>
  </si>
  <si>
    <t xml:space="preserve">Entscheidung Arne 16.09.2026: K12, K14 (TRBS 3121 Nr. 16) und die Betreiberpflichten Z01, Z04, Z05, Z06, Z08, Z09, M16, M19, S06, F08 aufgenommen; F02 bleibt als reiner EN-81-20-Konstruktionspunkt draußen. Die Freigabe gilt weiter für beide Kataloge, weil der Generator identische Regeln, Gefährdungen und Anwendbarkeit erzwingt.</t>
  </si>
  <si>
    <t xml:space="preserve">P2-8</t>
  </si>
  <si>
    <t xml:space="preserve">Maßnahmen präzisieren</t>
  </si>
  <si>
    <t xml:space="preserve">„Vorsicht“ ist keine Schutzmaßnahme; Verantwortlichkeit, Termin und Wirksamkeitsnachweis fehlen.</t>
  </si>
  <si>
    <t xml:space="preserve">Umgesetzt: 12 unkonkrete Sofortmaßnahmen ersetzt. Verantwortlich, Frist und Wirksamkeit gehören an den Befund in der App (Maßnahmenverfolgung) – App-Runde.</t>
  </si>
  <si>
    <t xml:space="preserve">P2-9</t>
  </si>
  <si>
    <t xml:space="preserve">T/O/P</t>
  </si>
  <si>
    <t xml:space="preserve">Gemischte Maßnahmen, P fehlt.</t>
  </si>
  <si>
    <t xml:space="preserve">Eigene gemischte Texte (Leuchten + Schutzhelm) bereinigt; P kommt mit der App-Runde.</t>
  </si>
  <si>
    <t xml:space="preserve">P2-10</t>
  </si>
  <si>
    <t xml:space="preserve">Nur wenige Fragen mit echtem Prüfhinweis.</t>
  </si>
  <si>
    <t xml:space="preserve">37 sicherheitskritische Fragen ergänzt (Prüfmethode, Abgrenzung, Nachweis) – bitte im Blatt „Fragen“ gegenlesen.</t>
  </si>
  <si>
    <t xml:space="preserve">P2-11</t>
  </si>
  <si>
    <t xml:space="preserve">Freigabereife</t>
  </si>
  <si>
    <t xml:space="preserve">100 % entschieden ist nicht gleich freigabereif.</t>
  </si>
  <si>
    <t xml:space="preserve">Übersicht hat die Spalte „freigabereif“ (alles entschieden, alles Freigeben, keine fehlende Korrektur).</t>
  </si>
  <si>
    <t xml:space="preserve">Art</t>
  </si>
  <si>
    <t xml:space="preserve">Code</t>
  </si>
  <si>
    <t xml:space="preserve">Prio</t>
  </si>
  <si>
    <t xml:space="preserve">Gefährdung / Bedingung</t>
  </si>
  <si>
    <t xml:space="preserve">Stufe</t>
  </si>
  <si>
    <t xml:space="preserve">Sofortmaßnahme</t>
  </si>
  <si>
    <t xml:space="preserve">Mittelfristige Maßnahme</t>
  </si>
  <si>
    <t xml:space="preserve">Hinweis / Quelle</t>
  </si>
  <si>
    <t xml:space="preserve">Status</t>
  </si>
  <si>
    <t xml:space="preserve">Entscheidung</t>
  </si>
  <si>
    <t xml:space="preserve">Korrektur</t>
  </si>
  <si>
    <t xml:space="preserve">wirksam</t>
  </si>
  <si>
    <t xml:space="preserve">Gefährdung</t>
  </si>
  <si>
    <t xml:space="preserve">MF-Z01</t>
  </si>
  <si>
    <t xml:space="preserve">Unzureichende Beleuchtung an den Zuwegen zum Triebwerks-/Steuerungsraum
Faktor: Gefährdung durch Arbeitsumgebungsbedingungen (unzureichende Beleuchtung)
Betroffen: Beauftragte Person, Wartungspersonal
Bewertungslogik: Höchste Stufe – alle zutreffenden Regeln zählen, maßgeblich ist die HÖCHSTE STUFE; Maßnahmen aller Treffer werden übernommen.
Bewertet, wenn: immer
Pflichtfragen: 5.1, 5.2 (wenn [5.1] = Ja), 5.2a (wenn [5.2] = Nein)</t>
  </si>
  <si>
    <t xml:space="preserve">EN 81-80: im Bestandskatalog (organisatorisch)
ASR A3.4</t>
  </si>
  <si>
    <t xml:space="preserve">4 von 4 offen</t>
  </si>
  <si>
    <t xml:space="preserve">Regel</t>
  </si>
  <si>
    <t xml:space="preserve">MF-Z01-R1</t>
  </si>
  <si>
    <t xml:space="preserve">[5.1 Beleuchtung an den Zuwegen zum Triebwerks-/Steuerungsraum vorhanden?] = Nein</t>
  </si>
  <si>
    <t xml:space="preserve">• Handlampe benutzen [O]</t>
  </si>
  <si>
    <t xml:space="preserve">• Geeignete Leuchten nachrüsten [T]</t>
  </si>
  <si>
    <t xml:space="preserve">offen</t>
  </si>
  <si>
    <t xml:space="preserve">MF-Z01-R2</t>
  </si>
  <si>
    <t xml:space="preserve">[5.2 Beleuchtung an den Zuwegen ausreichend (mind. 50 Lux, funktionsfähig, Leuchten an geeigneter Stelle)?] = Nein</t>
  </si>
  <si>
    <t xml:space="preserve">• Leuchten versetzen [T]</t>
  </si>
  <si>
    <t xml:space="preserve">MF-Z01-R3</t>
  </si>
  <si>
    <t xml:space="preserve">[5.2a Defekte Leuchten oder Leuchtkörper an den Zuwegen?] = Ja</t>
  </si>
  <si>
    <t xml:space="preserve">• Defekte Leuchten umgehend instand setzen [T]</t>
  </si>
  <si>
    <t xml:space="preserve">• Beleuchtung der Zuwege dauerhaft instand halten (Prüfintervall festlegen) [O]</t>
  </si>
  <si>
    <t xml:space="preserve">Evidenz: abgeleitet</t>
  </si>
  <si>
    <t xml:space="preserve">MF-Z01-R4</t>
  </si>
  <si>
    <t xml:space="preserve">[5.1 Beleuchtung an den Zuwegen zum Triebwerks-/Steuerungsraum vorhanden?] ist beantwortet</t>
  </si>
  <si>
    <t xml:space="preserve">Kein Risiko</t>
  </si>
  <si>
    <t xml:space="preserve">• Zustand erhalten; bei der wiederkehrenden Prüfung und der Betreiberkontrolle erneut prüfen [O]</t>
  </si>
  <si>
    <t xml:space="preserve">Auffangregel (Mechanik): greift, wenn keine Mangelregel zutrifft und alle Pflichtfragen beantwortet sind.</t>
  </si>
  <si>
    <t xml:space="preserve">offen (Auffang)</t>
  </si>
  <si>
    <t xml:space="preserve">MF-Z02</t>
  </si>
  <si>
    <t xml:space="preserve">Unsicherer Verkehrsweg zum Triebwerks-/Steuerungsraum (Rutschen, Stolpern, Enge)
Faktor: Mechanische Gefährdung durch Stolpern, Rutschen, Stürzen
Betroffen: Beauftragte Person, Wartungspersonal
Bewertungslogik: Höchste Stufe – alle zutreffenden Regeln zählen, maßgeblich ist die HÖCHSTE STUFE; Maßnahmen aller Treffer werden übernommen.
Bewertet, wenn: immer
Pflichtfragen: 5.3, 5.3a (wenn [5.3] = Nein), 5.3b (wenn [5.3] = Nein)</t>
  </si>
  <si>
    <t xml:space="preserve">EN 81-80: Nr. 19 (5.6.1)
DIN EN 81-20 5.2.2.1</t>
  </si>
  <si>
    <t xml:space="preserve">MF-Z02-R1</t>
  </si>
  <si>
    <t xml:space="preserve">[5.3 Sicherer, freier Verkehrsweg zum Triebwerks-/Steuerungsraum (trocken, sauber, ohne Stolperstellen)?] = Nein</t>
  </si>
  <si>
    <t xml:space="preserve">• Verkehrsweg vor dem Begehen prüfen, Stolper- und Rutschstellen kennzeichnen; rutschhemmendes Schuhwerk tragen [O]</t>
  </si>
  <si>
    <t xml:space="preserve">• Bodenbelag prüfen und häufig reinigen [O]</t>
  </si>
  <si>
    <t xml:space="preserve">[Prüfbericht 16.09.2026: konkrete Sofortmaßnahme statt „Vorsicht“]</t>
  </si>
  <si>
    <t xml:space="preserve">offen – geändert (Rev. 3)</t>
  </si>
  <si>
    <t xml:space="preserve">MF-Z02-R3</t>
  </si>
  <si>
    <t xml:space="preserve">[5.3a Verkehrsweg rutschig, glatt oder verschmutzt?] = Ja</t>
  </si>
  <si>
    <t xml:space="preserve">• Rutschstellen kennzeichnen und reinigen lassen; rutschhemmendes Schuhwerk tragen [O]</t>
  </si>
  <si>
    <t xml:space="preserve">• Rutschhemmenden Bodenbelag herstellen bzw. Ursache der Verschmutzung/Nässe beseitigen [T]</t>
  </si>
  <si>
    <t xml:space="preserve">Prüfbericht 20.09.2026: Folgefrage mit eigener Maßnahme statt optionaler Frage ohne Wirkung.</t>
  </si>
  <si>
    <t xml:space="preserve">MF-Z02-R4</t>
  </si>
  <si>
    <t xml:space="preserve">[5.3b Stolperstellen auf dem Verkehrsweg?] = Ja</t>
  </si>
  <si>
    <t xml:space="preserve">• Stolperstellen kennzeichnen (Warnmarkierung) und Beschäftigte hinweisen [O]</t>
  </si>
  <si>
    <t xml:space="preserve">• Stolperstellen beseitigen (Schwellen, Kabel, Bodenschäden) oder dauerhaft sichern [T]</t>
  </si>
  <si>
    <t xml:space="preserve">MF-Z02-R2</t>
  </si>
  <si>
    <t xml:space="preserve">[5.3 Sicherer, freier Verkehrsweg zum Triebwerks-/Steuerungsraum (trocken, sauber, ohne Stolperstellen)?] ist beantwortet</t>
  </si>
  <si>
    <t xml:space="preserve">MF-Z03</t>
  </si>
  <si>
    <t xml:space="preserve">Unsicherer Aufstieg (Treppe, Leiter) zum Triebwerksraum
Faktor: Mechanische Gefährdung durch Absturz
Betroffen: Beauftragte Person, Wartungspersonal
Bewertungslogik: Höchste Stufe – alle zutreffenden Regeln zählen, maßgeblich ist die HÖCHSTE STUFE; Maßnahmen aller Treffer werden übernommen.
Bewertet, wenn: [4.7 Eigener Triebwerks-/Maschinenraum vorhanden?] = Ja
Pflichtfragen: 5.5, 5.6 (wenn [5.5] ≠ „Ebenerdig / kein Aufstieg nötig")</t>
  </si>
  <si>
    <t xml:space="preserve">EN 81-80: Nr. 19 (5.6.1)
DIN EN 81-20 5.2.2.2
ASR A1.8</t>
  </si>
  <si>
    <t xml:space="preserve">6 von 6 offen</t>
  </si>
  <si>
    <t xml:space="preserve">MF-Z03-R1</t>
  </si>
  <si>
    <t xml:space="preserve">[5.5 Art des Aufstiegs zum Triebwerksraum] = „Treppe ohne Handlauf"</t>
  </si>
  <si>
    <t xml:space="preserve">• Aufstieg nur mit freien Händen (Dreipunktkontakt); Werkzeug und Material getrennt hochreichen; Betreiber zur Instandsetzung auffordern [O]</t>
  </si>
  <si>
    <t xml:space="preserve">• Handlauf nachrüsten [T]</t>
  </si>
  <si>
    <t xml:space="preserve">MF-Z03-R2</t>
  </si>
  <si>
    <t xml:space="preserve">[5.5 Art des Aufstiegs zum Triebwerksraum] = „Zug-/Klapptreppe nicht sicherheitsgerecht"</t>
  </si>
  <si>
    <t xml:space="preserve">• Treppe erneuern [T]</t>
  </si>
  <si>
    <t xml:space="preserve">MF-Z03-R3</t>
  </si>
  <si>
    <t xml:space="preserve">[5.5 Art des Aufstiegs zum Triebwerksraum] = „Nur mobile Leiter / Anlegeleiter"</t>
  </si>
  <si>
    <t xml:space="preserve">• Leiter gegen Wegrutschen sichern, nur zu zweit benutzen [O]</t>
  </si>
  <si>
    <t xml:space="preserve">• Fest angebrachte Steigleiter mit Haltegriffen oder Treppe herstellen [T]</t>
  </si>
  <si>
    <t xml:space="preserve">Entschieden 2026-09-02: K-Z04. [Freigabe bezog sich auf einen früheren Stand (Regel, abhängige Fragen oder Gefährdungslogik geändert) – neu prüfen]
Evidenz: abgeleitet</t>
  </si>
  <si>
    <t xml:space="preserve">offen – geändert (Rev. 2)</t>
  </si>
  <si>
    <t xml:space="preserve">MF-Z03-R4</t>
  </si>
  <si>
    <t xml:space="preserve">[5.5 Art des Aufstiegs zum Triebwerksraum] = „Kein sicherer Aufstieg vorhanden"</t>
  </si>
  <si>
    <t xml:space="preserve">• Geeignete Aufstiegshilfe verwenden [O]</t>
  </si>
  <si>
    <t xml:space="preserve">• Sichere Treppe / Leiter / Zugang schaffen [T]</t>
  </si>
  <si>
    <t xml:space="preserve">MF-Z03-R5</t>
  </si>
  <si>
    <t xml:space="preserve">[5.6 Bruch- oder Kippgefahr am Aufstieg (beschädigte Stufen, lose Leiter, fehlende Befestigung)?] = Ja</t>
  </si>
  <si>
    <t xml:space="preserve">• Nur mit Absturzsicherung begehen [O]</t>
  </si>
  <si>
    <t xml:space="preserve">• Treppe / Leiter erneuern [T]</t>
  </si>
  <si>
    <t xml:space="preserve">MF-Z03-R6</t>
  </si>
  <si>
    <t xml:space="preserve">[5.5 Art des Aufstiegs zum Triebwerksraum] ist beantwortet</t>
  </si>
  <si>
    <t xml:space="preserve">MF-Z04</t>
  </si>
  <si>
    <t xml:space="preserve">Absturzgefahr im Zugangsbereich (Dachfläche, Absturzkante, Übersteigen)
Faktor: Mechanische Gefährdung durch Absturz
Betroffen: Beauftragte Person, Wartungspersonal
Bewertungslogik: Höchste Stufe – alle zutreffenden Regeln zählen, maßgeblich ist die HÖCHSTE STUFE; Maßnahmen aller Treffer werden übernommen.
Bewertet, wenn: immer
Pflichtfragen: 5.7, 5.7a (wenn [5.7] = Ja), 5.7b (wenn ([5.7] = Ja UND [5.7a] = Nein)), 5.8</t>
  </si>
  <si>
    <t xml:space="preserve">EN 81-80: im Bestandskatalog (organisatorisch)
ASR A2.1</t>
  </si>
  <si>
    <t xml:space="preserve">MF-Z04-R1</t>
  </si>
  <si>
    <t xml:space="preserve">[5.7 Führt der Zugang über eine Dachfläche, Dachkante, Empore oder eine andere Absturzkante?] = Ja
UND [5.7a Absturzkante durch Geländer oder Umwehrung dauerhaft gesichert?] = Nein
UND [5.7b Verkehrsweg an der Absturzkante festgelegt und gekennzeichnet?] = Nein</t>
  </si>
  <si>
    <t xml:space="preserve">• PSA gegen Absturz mit festgelegtem Anschlagpunkt verwenden, sonst Zugangsverbot [O]</t>
  </si>
  <si>
    <t xml:space="preserve">• Absturzsicherung und Anschlagpunkte herstellen, Verkehrswege festlegen [T]</t>
  </si>
  <si>
    <t xml:space="preserve">MF-Z04-R2</t>
  </si>
  <si>
    <t xml:space="preserve">[5.7 Führt der Zugang über eine Dachfläche, Dachkante, Empore oder eine andere Absturzkante?] = Ja
UND [5.7a Absturzkante durch Geländer oder Umwehrung dauerhaft gesichert?] = Nein
UND [5.7b Verkehrsweg an der Absturzkante festgelegt und gekennzeichnet?] = Ja</t>
  </si>
  <si>
    <t xml:space="preserve">• Nur den festgelegten, gekennzeichneten Verkehrsweg nutzen; mindestens 2 m Abstand zur Absturzkante halten [O]</t>
  </si>
  <si>
    <t xml:space="preserve">• Geländer oder dauerhafte Absturzsicherung anbringen [T]</t>
  </si>
  <si>
    <t xml:space="preserve">MF-Z04-R3</t>
  </si>
  <si>
    <t xml:space="preserve">[5.8 Muss ein Treppenauge, eine Brüstung oder ein Fenster überstiegen werden?] = Ja</t>
  </si>
  <si>
    <t xml:space="preserve">• Zugang sperren und alternative Zugangsmöglichkeit festlegen [O]</t>
  </si>
  <si>
    <t xml:space="preserve">• Zugang baulich ändern [T]</t>
  </si>
  <si>
    <t xml:space="preserve">MF-Z04-R4</t>
  </si>
  <si>
    <t xml:space="preserve">[5.7 Führt der Zugang über eine Dachfläche, Dachkante, Empore oder eine andere Absturzkante?] ist beantwortet</t>
  </si>
  <si>
    <t xml:space="preserve">MF-Z05</t>
  </si>
  <si>
    <t xml:space="preserve">Einschließen im Zugangsbereich / Triebwerksraum (keine Panikfunktion)
Faktor: Sonstige Gefährdung durch Einschließen von Personen
Betroffen: Beauftragte Person, Wartungspersonal
Bewertungslogik: Vorrang – es gilt die zutreffende Regel mit der HÖCHSTEN PRIORITÄT (so wirken Kompensationen); bei gleicher Priorität die höhere Stufe.
Bewertet, wenn: [4.7 Eigener Triebwerks-/Maschinenraum vorhanden?] = Ja
Pflichtfragen: 5.9</t>
  </si>
  <si>
    <t xml:space="preserve">EN 81-80: im Bestandskatalog (organisatorisch)
DIN EN 81-20 5.2.3.3</t>
  </si>
  <si>
    <t xml:space="preserve">3 von 3 offen</t>
  </si>
  <si>
    <t xml:space="preserve">MF-Z05-R1</t>
  </si>
  <si>
    <t xml:space="preserve">[5.9 Lässt sich der Zugangsbereich / Triebwerksraum jederzeit von innen verlassen?] = „Nein – Einschließen möglich"</t>
  </si>
  <si>
    <t xml:space="preserve">• Nur zu zweit betreten, an- und abmelden, Tür gegen Zufallen sichern [O]</t>
  </si>
  <si>
    <t xml:space="preserve">• Panikschloss installieren oder zweiten Fluchtweg schaffen [T]</t>
  </si>
  <si>
    <t xml:space="preserve">MF-Z05-R2</t>
  </si>
  <si>
    <t xml:space="preserve">[5.9 Lässt sich der Zugangsbereich / Triebwerksraum jederzeit von innen verlassen?] = „Nur mit Schlüssel, Schlüssel dauerhaft innen hinterlegt"</t>
  </si>
  <si>
    <t xml:space="preserve">• Vor dem Betreten Schlüssel prüfen, beim Betreiber an- und abmelden [O]</t>
  </si>
  <si>
    <t xml:space="preserve">• Panikschloss nachrüsten [T]</t>
  </si>
  <si>
    <t xml:space="preserve">MF-Z05-R3</t>
  </si>
  <si>
    <t xml:space="preserve">[5.9 Lässt sich der Zugangsbereich / Triebwerksraum jederzeit von innen verlassen?] ist beantwortet</t>
  </si>
  <si>
    <t xml:space="preserve">MF-Z06</t>
  </si>
  <si>
    <t xml:space="preserve">Zugang über fremde Räume, erschwerter Material- und Werkzeugtransport
Faktor: Physische Belastung / ergonomische Gefährdung
Betroffen: Beauftragte Person, Wartungspersonal
Bewertungslogik: Höchste Stufe – alle zutreffenden Regeln zählen, maßgeblich ist die HÖCHSTE STUFE; Maßnahmen aller Treffer werden übernommen.
Bewertet, wenn: immer
Pflichtfragen: 5.10, 5.11</t>
  </si>
  <si>
    <t xml:space="preserve">EN 81-80: im Bestandskatalog (organisatorisch)
DIN EN 81-20 5.2.2.1</t>
  </si>
  <si>
    <t xml:space="preserve">MF-Z06-R1</t>
  </si>
  <si>
    <t xml:space="preserve">[5.10 Führt der Zugang durch fremde Räume?] = „Durch eine Wohnung oder einen nur zeitweise zugänglichen Bereich"</t>
  </si>
  <si>
    <t xml:space="preserve">• Zutritt vorab vereinbaren, im Notfall Dritte hinzuziehen [O]</t>
  </si>
  <si>
    <t xml:space="preserve">• Zugang dauerhaft ändern [T]</t>
  </si>
  <si>
    <t xml:space="preserve">MF-Z06-R2</t>
  </si>
  <si>
    <t xml:space="preserve">[5.10 Führt der Zugang durch fremde Räume?] = „Durch Arbeits-, Lager- oder Technikräume Dritter"</t>
  </si>
  <si>
    <t xml:space="preserve">• Zutritt vorab mit dem Betreiber abstimmen (Schlüssel, Begleitung); Material in tragbaren Teilmengen transportieren [O]</t>
  </si>
  <si>
    <t xml:space="preserve">• Eigenständigen Zugang schaffen oder Wegeführung verbindlich festlegen [T]</t>
  </si>
  <si>
    <t xml:space="preserve">MF-Z06-R3</t>
  </si>
  <si>
    <t xml:space="preserve">[5.11 Erschwert die Art des Zugangs den Transport von Material und Werkzeug (z. B. nur über Leiter, Dachluke, enge Wendeltreppe)?] = Ja</t>
  </si>
  <si>
    <t xml:space="preserve">• Geeignete Transporthilfen verwenden [O]</t>
  </si>
  <si>
    <t xml:space="preserve">• Zugang so herrichten, dass Material sicher transportiert werden kann [T]</t>
  </si>
  <si>
    <t xml:space="preserve">MF-Z06-R4</t>
  </si>
  <si>
    <t xml:space="preserve">[5.10 Führt der Zugang durch fremde Räume?] ist beantwortet</t>
  </si>
  <si>
    <t xml:space="preserve">MF-Z07</t>
  </si>
  <si>
    <t xml:space="preserve">Fehlende oder unzureichende Zugangstür zum Triebwerks-/Maschinenraum bzw. nicht abschließbarer Steuerschrank
Faktor: Sonstige Gefährdung durch Einschließen von Personen
Betroffen: Beauftragte Person, Wartungspersonal, Nutzer
Bewertungslogik: Höchste Stufe – alle zutreffenden Regeln zählen, maßgeblich ist die HÖCHSTE STUFE; Maßnahmen aller Treffer werden übernommen.
Bewertet, wenn: immer
Pflichtfragen: 4.7, 5.12 (wenn [4.7] = Ja), 5.14 (wenn [4.7] = Nein), 5.12a (wenn [5.12] = Ja), 5.12b (wenn [5.12] = Ja), 5.12c (wenn [5.12] = Ja)</t>
  </si>
  <si>
    <t xml:space="preserve">EN 81-80: Nr. 19 (5.6.1)
DIN EN 81-20 5.2.3.3
DIN EN 81-20 5.2.6</t>
  </si>
  <si>
    <t xml:space="preserve">MF-Z07-R1</t>
  </si>
  <si>
    <t xml:space="preserve">[5.12 Zugangstür zum Triebwerks-/Maschinenraum vorhanden?] = Nein</t>
  </si>
  <si>
    <t xml:space="preserve">• Zugang gegen unbefugten Zutritt sichern [O]</t>
  </si>
  <si>
    <t xml:space="preserve">• Abschließbare Zugangstür nach DIN EN 81-20, 5.2.3.3 herstellen [T]</t>
  </si>
  <si>
    <t xml:space="preserve">MF-Z07-R2</t>
  </si>
  <si>
    <t xml:space="preserve">[5.12a Zugangstür abschließbar (Zutritt nur für befugte Personen)?] = Nein</t>
  </si>
  <si>
    <t xml:space="preserve">MF-Z07-R3</t>
  </si>
  <si>
    <t xml:space="preserve">[5.12b Zugangstür unbeschädigt und leichtgängig?] = Nein</t>
  </si>
  <si>
    <t xml:space="preserve">• Tür gangbar machen [T]</t>
  </si>
  <si>
    <t xml:space="preserve">• Tür instand setzen oder ersetzen [T]</t>
  </si>
  <si>
    <t xml:space="preserve">MF-Z07-R4</t>
  </si>
  <si>
    <t xml:space="preserve">[5.12c Durchgangsmaß der Zugangstür ausreichend (mind. 2,00 m hoch, 0,60 m breit)?] = Nein</t>
  </si>
  <si>
    <t xml:space="preserve">• Anstoßstelle kennzeichnen, Kopfschutz verwenden [O]</t>
  </si>
  <si>
    <t xml:space="preserve">• Türöffnung nach DIN EN 81-20, 5.2.3 anpassen [T]</t>
  </si>
  <si>
    <t xml:space="preserve">MF-Z07-R6</t>
  </si>
  <si>
    <t xml:space="preserve">[5.14 Ohne Triebwerksraum: Steuerschrank (an der Haltestelle oder im Schacht) abschließbar, Zutritt nur für befugte Personen?] = Nein</t>
  </si>
  <si>
    <t xml:space="preserve">• Steuerschrank gegen unbefugten Zugriff sichern (Schloss, Zutritt beschränken); Betreiber informieren [O]</t>
  </si>
  <si>
    <t xml:space="preserve">• Abschließbaren Steuerschrank herstellen, Zutritt nur für befugte Personen (DIN EN 81-20 5.2.6, Steuerschränke außerhalb von Triebwerksräumen) [T]</t>
  </si>
  <si>
    <t xml:space="preserve">Prüfbericht 20.09.2026: Gegenstück zu 5.12a für maschinenraumlose Anlagen – bisher entfiel die Gefährdung dort vollständig (nur im Cyber-Teil 2.1 erfasst).
Evidenz: abgeleitet</t>
  </si>
  <si>
    <t xml:space="preserve">MF-Z07-R7</t>
  </si>
  <si>
    <t xml:space="preserve">[4.7 Eigener Triebwerks-/Maschinenraum vorhanden?] ist beantwortet</t>
  </si>
  <si>
    <t xml:space="preserve">MF-Z08</t>
  </si>
  <si>
    <t xml:space="preserve">Fehlende oder versperrte Flucht- und Rettungswege im Bereich des Triebwerks-/Steuerungsraums
Faktor: Gefährdung durch fehlende oder versperrte Flucht- und Rettungswege
Betroffen: Beauftragte Person, Wartungspersonal
Bewertungslogik: Höchste Stufe – alle zutreffenden Regeln zählen, maßgeblich ist die HÖCHSTE STUFE; Maßnahmen aller Treffer werden übernommen.
Bewertet, wenn: immer
Pflichtfragen: 5.13, 5.13a (wenn [5.13] = Ja), 5.13b (wenn [5.13] = Ja)</t>
  </si>
  <si>
    <t xml:space="preserve">EN 81-80: im Bestandskatalog (organisatorisch)
ASR A2.3
ArbStättV § 4</t>
  </si>
  <si>
    <t xml:space="preserve">1 von 4 offen</t>
  </si>
  <si>
    <t xml:space="preserve">MF-Z08-R1</t>
  </si>
  <si>
    <t xml:space="preserve">[5.13 Flucht- und Rettungsweg vom Triebwerks-/Steuerungsraum frei und benutzbar?] = Nein</t>
  </si>
  <si>
    <t xml:space="preserve">• Weg sofort freimachen, bis dahin Bereich nicht allein betreten [O]</t>
  </si>
  <si>
    <t xml:space="preserve">• Flucht- und Rettungswege nach ASR A2.3 herstellen und dauerhaft freihalten [T]</t>
  </si>
  <si>
    <t xml:space="preserve">Entscheidung 02.09.2026: Niedrig (nur Instandhaltungspersonal betroffen, wie Schindler M120). Entschieden 2026-09-02: K-Z02.</t>
  </si>
  <si>
    <t xml:space="preserve">freigegeben</t>
  </si>
  <si>
    <t xml:space="preserve">MF-Z08-R2</t>
  </si>
  <si>
    <t xml:space="preserve">[5.13a Flucht- und Rettungsweg gekennzeichnet und beleuchtet?] = Nein</t>
  </si>
  <si>
    <t xml:space="preserve">• Provisorisch kennzeichnen [O]</t>
  </si>
  <si>
    <t xml:space="preserve">• Kennzeichnung nach ASR A1.3 und ASR A2.3 herstellen [T]</t>
  </si>
  <si>
    <t xml:space="preserve">Entschieden 2026-09-02: K-Z02.</t>
  </si>
  <si>
    <t xml:space="preserve">MF-Z08-R3</t>
  </si>
  <si>
    <t xml:space="preserve">[5.13b Fluchtweg durch Lagerung eingeengt?] = Ja</t>
  </si>
  <si>
    <t xml:space="preserve">• Fluchtweg sofort freiräumen [O]</t>
  </si>
  <si>
    <t xml:space="preserve">• Lagerflächen festlegen und Freihaltung regelmäßig kontrollieren [O]</t>
  </si>
  <si>
    <t xml:space="preserve">MF-Z08-R4</t>
  </si>
  <si>
    <t xml:space="preserve">[5.13 Flucht- und Rettungsweg vom Triebwerks-/Steuerungsraum frei und benutzbar?] ist beantwortet</t>
  </si>
  <si>
    <t xml:space="preserve">MF-Z09</t>
  </si>
  <si>
    <t xml:space="preserve">Zugang zur Anlage für die Personenbefreiung nicht jederzeit gewährleistet
Faktor: Sonstige Gefährdung durch fehlende oder unzureichende Notfallorganisation
Betroffen: Nutzer, Beauftragte Person
Bewertungslogik: Vorrang – es gilt die zutreffende Regel mit der HÖCHSTEN PRIORITÄT (so wirken Kompensationen); bei gleicher Priorität die höhere Stufe.
Bewertet, wenn: immer
Pflichtfragen: 3.4</t>
  </si>
  <si>
    <t xml:space="preserve">EN 81-80: im Bestandskatalog (organisatorisch)
BetrSichV Anh. 1 Nr. 4.1
TRBS 3121 3.1.3
TRBS 3121 3.7.3</t>
  </si>
  <si>
    <t xml:space="preserve">3 von 4 offen</t>
  </si>
  <si>
    <t xml:space="preserve">MF-Z09-R1</t>
  </si>
  <si>
    <t xml:space="preserve">[3.4 Zugang zur Anlage für die Personenbefreiung jederzeit gewährleistet?] = „Nein, nicht jederzeit möglich"</t>
  </si>
  <si>
    <t xml:space="preserve">• Ständige Zugangsmöglichkeit schaffen, ansonsten Aufzug abschalten [O]</t>
  </si>
  <si>
    <t xml:space="preserve">• Schlüsseltresor nachrüsten [T]</t>
  </si>
  <si>
    <t xml:space="preserve">MF-Z09-R2</t>
  </si>
  <si>
    <t xml:space="preserve">[3.4 Zugang zur Anlage für die Personenbefreiung jederzeit gewährleistet?] = „Nur über Schlüssel bei Leitwarte, Pforte oder Hausmeister"</t>
  </si>
  <si>
    <t xml:space="preserve">• Erreichbarkeit der Leitwarte und Schlüsselübergabe mit dem Notdienst abstimmen und im Notfallplan festhalten [O]</t>
  </si>
  <si>
    <t xml:space="preserve">• Ständige Besetzung der Leitwarte / Pforte gewährleisten [O]</t>
  </si>
  <si>
    <t xml:space="preserve">[Prüfbericht: H11 – Sofortmaßnahme ergänzt]</t>
  </si>
  <si>
    <t xml:space="preserve">MF-Z09-R3</t>
  </si>
  <si>
    <t xml:space="preserve">[3.4 Zugang zur Anlage für die Personenbefreiung jederzeit gewährleistet?] = „Ja, jederzeit (Schlüsseltresor / ständig besetzte Stelle vor Ort)"</t>
  </si>
  <si>
    <t xml:space="preserve">Entschieden 2026-09-02: K-Z01.</t>
  </si>
  <si>
    <t xml:space="preserve">MF-Z09-R4</t>
  </si>
  <si>
    <t xml:space="preserve">[3.4 Zugang zur Anlage für die Personenbefreiung jederzeit gewährleistet?] ist beantwortet</t>
  </si>
  <si>
    <t xml:space="preserve">MF-M01</t>
  </si>
  <si>
    <t xml:space="preserve">Unzureichende Beleuchtung im Triebwerks-/Maschinenraum
Faktor: Gefährdung durch Arbeitsumgebungsbedingungen (unzureichende Beleuchtung)
Betroffen: Beauftragte Person, Wartungspersonal
Bewertungslogik: Höchste Stufe – alle zutreffenden Regeln zählen, maßgeblich ist die HÖCHSTE STUFE; Maßnahmen aller Treffer werden übernommen.
Bewertet, wenn: [4.7 Eigener Triebwerks-/Maschinenraum vorhanden?] = Ja
Pflichtfragen: 5.20, 5.21 (wenn [5.20] = Ja), 5.22 (wenn [5.20] = Ja), 5.23 (wenn [5.20] = Ja)</t>
  </si>
  <si>
    <t xml:space="preserve">EN 81-80: Nr. 23 (5.6.5)
DIN EN 81-20 5.2.1.4.2</t>
  </si>
  <si>
    <t xml:space="preserve">5 von 5 offen</t>
  </si>
  <si>
    <t xml:space="preserve">MF-M01-R1</t>
  </si>
  <si>
    <t xml:space="preserve">[5.20 Beleuchtung im Triebwerks-/Maschinenraum vorhanden?] = Nein</t>
  </si>
  <si>
    <t xml:space="preserve">MF-M01-R2</t>
  </si>
  <si>
    <t xml:space="preserve">[5.21 Beleuchtungsstärke an den Arbeitsflächen (Antrieb, Steuerschrank) mind. 200 Lux, Leuchten funktionsfähig?] = Nein</t>
  </si>
  <si>
    <t xml:space="preserve">MF-M01-R3</t>
  </si>
  <si>
    <t xml:space="preserve">[5.22 Leuchten an geeigneter Stelle (Arbeitsflächen nicht abgeschattet)?] = Nein</t>
  </si>
  <si>
    <t xml:space="preserve">MF-M01-R4</t>
  </si>
  <si>
    <t xml:space="preserve">[5.23 Leuchten im Kopfbereich mit Splitterschutz / bruchsicher?] = Nein</t>
  </si>
  <si>
    <t xml:space="preserve">• Beschädigte Leuchten sofort ersetzen [T]</t>
  </si>
  <si>
    <t xml:space="preserve">• Splitterschutz nachrüsten [T]</t>
  </si>
  <si>
    <t xml:space="preserve">MF-M01-R5</t>
  </si>
  <si>
    <t xml:space="preserve">[5.20 Beleuchtung im Triebwerks-/Maschinenraum vorhanden?] ist beantwortet</t>
  </si>
  <si>
    <t xml:space="preserve">MF-M02</t>
  </si>
  <si>
    <t xml:space="preserve">Unzureichender Schutz gegen elektrischen Schlag (offene Schalttafel, offene Kontakte, fehlende Berührungssicherheit)
Faktor: Elektrische Gefährdung durch Berühren spannungsführender Teile
Betroffen: Beauftragte Person, Wartungspersonal
Bewertungslogik: Höchste Stufe – alle zutreffenden Regeln zählen, maßgeblich ist die HÖCHSTE STUFE; Maßnahmen aller Treffer werden übernommen.
Bewertet, wenn: immer
Pflichtfragen: 5.30, 5.31 (wenn [5.30] = Nein), 5.32 (wenn [5.30] = Nein), 5.33 (wenn [5.30] = Nein), 5.34 (wenn [5.30] = Nein), 5.35</t>
  </si>
  <si>
    <t xml:space="preserve">EN 81-80: Nr. 66 (5.13.1)
DIN EN 81-20 5.10.1.2
DGUV Vorschrift 3
TRBS 3121 Anh. 1 Nr. 21 (Schutz gegen elektrischen Schlag und Kennzeichnung)</t>
  </si>
  <si>
    <t xml:space="preserve">7 von 7 offen</t>
  </si>
  <si>
    <t xml:space="preserve">MF-M02-R1</t>
  </si>
  <si>
    <t xml:space="preserve">[5.31 Offene Schalttafel ohne Schaltschrank vorhanden?] = Ja</t>
  </si>
  <si>
    <t xml:space="preserve">• Bei Betreten des Maschinenraumes ausschalten [O]</t>
  </si>
  <si>
    <t xml:space="preserve">• Steuerung erneuern [T]</t>
  </si>
  <si>
    <t xml:space="preserve">MF-M02-R2</t>
  </si>
  <si>
    <t xml:space="preserve">[5.32 Offene Kontakte oder Schalter an Maschine, Kopierwerk oder Begrenzer?] = Ja</t>
  </si>
  <si>
    <t xml:space="preserve">• Maschine erneuern oder Bauteile abdecken oder ersetzen [T]</t>
  </si>
  <si>
    <t xml:space="preserve">MF-M02-R3</t>
  </si>
  <si>
    <t xml:space="preserve">[5.33 Nicht berührungssichere Bauteile im Schaltschrank (bei geöffneter Tür erreichbar)?] = Ja</t>
  </si>
  <si>
    <t xml:space="preserve">• Bei Arbeiten am Schaltschrank immer ausschalten [O]</t>
  </si>
  <si>
    <t xml:space="preserve">• Berührungssichere Bauteile nachrüsten [T]</t>
  </si>
  <si>
    <t xml:space="preserve">MF-M02-R4</t>
  </si>
  <si>
    <t xml:space="preserve">[5.30 Alle spannungsführenden Teile berührungssicher (Abdeckungen vorhanden, Schaltschrank geschlossen)?] = Nein</t>
  </si>
  <si>
    <t xml:space="preserve">• Bei Arbeiten immer ausschalten [O]</t>
  </si>
  <si>
    <t xml:space="preserve">MF-M02-R5</t>
  </si>
  <si>
    <t xml:space="preserve">[5.35 Nachweis der elektrischen Prüfung der AUFZUGSANLAGE nach DGUV Vorschrift 3 vorhanden (Steuerung, Antrieb, Leitungen der Anlage; Prüfplakette / Protokoll aktuell)?] = Nein</t>
  </si>
  <si>
    <t xml:space="preserve">• Arbeiten an der Elektrik nur durch Fachkundige, ggf. Zusatzschutz (PRCD-S) [O]</t>
  </si>
  <si>
    <t xml:space="preserve">• Bei Notwendigkeit DGUV V3 Prüfung beauftragen, Plakette erneuern [T]</t>
  </si>
  <si>
    <t xml:space="preserve">Entschieden 2026-09-02: K-M01. [Freigabe bezog sich auf einen früheren Stand (Regel, abhängige Fragen oder Gefährdungslogik geändert) – neu prüfen]</t>
  </si>
  <si>
    <t xml:space="preserve">MF-M02-R7</t>
  </si>
  <si>
    <t xml:space="preserve">[5.34 Warnkennzeichnung für offene elektrische Kontakte vorhanden?] = Nein</t>
  </si>
  <si>
    <t xml:space="preserve">• Offene Kontakte provisorisch mit Warnzeichen W012 kennzeichnen [O]</t>
  </si>
  <si>
    <t xml:space="preserve">• Dauerhafte Warnkennzeichnung anbringen; sie ersetzt den Berührungsschutz nicht [O]</t>
  </si>
  <si>
    <t xml:space="preserve">Prüfbericht 20.09.2026: bisher optionale Frage ohne Regelwirkung. Eigener geringer Mangel, ausdrücklich KEINE Kompensation (Entscheidung K-K10).
Evidenz: abgeleitet</t>
  </si>
  <si>
    <t xml:space="preserve">MF-M02-R6</t>
  </si>
  <si>
    <t xml:space="preserve">[5.30 Alle spannungsführenden Teile berührungssicher (Abdeckungen vorhanden, Schaltschrank geschlossen)?] ist beantwortet</t>
  </si>
  <si>
    <t xml:space="preserve">MF-M03</t>
  </si>
  <si>
    <t xml:space="preserve">Fehlender oder unzureichender Schutz an drehenden Teilen (Treibscheibe, Umlenkrollen, Begrenzer)
Faktor: Mechanische Gefährdung durch rotierende Teile (Erfassen, Einziehen)
Betroffen: Wartungspersonal
Bewertungslogik: Höchste Stufe – alle zutreffenden Regeln zählen, maßgeblich ist die HÖCHSTE STUFE; Maßnahmen aller Treffer werden übernommen.
Bewertet, wenn: [3.1 Aufzugsart] ist eines von „Seil-/Riemenaufzug (Treibscheibe)" / „Trommel- oder Kettenaufzug" / „Seil-Hydraulikaufzug (indirekt)"
Pflichtfragen: 5.40, 5.41, 5.42</t>
  </si>
  <si>
    <t xml:space="preserve">EN 81-80: Nr. 47 (5.9.1), Nr. 48 (5.9.1), Nr. 49 (5.9.1)
DIN EN 81-20 5.9.3.1</t>
  </si>
  <si>
    <t xml:space="preserve">MF-M03-R1</t>
  </si>
  <si>
    <t xml:space="preserve">[5.42 Abdeckung der Einzugstellen insgesamt] = „Einzugstellen offen"</t>
  </si>
  <si>
    <t xml:space="preserve">• Komplettabdeckungen nachrüsten [T]</t>
  </si>
  <si>
    <t xml:space="preserve">MF-M03-R2</t>
  </si>
  <si>
    <t xml:space="preserve">[5.40 Einzugsschutz an Treibscheibe, Umlenkrollen und Kopierwerk vorhanden?] = Nein</t>
  </si>
  <si>
    <t xml:space="preserve">MF-M03-R3</t>
  </si>
  <si>
    <t xml:space="preserve">[5.42 Abdeckung der Einzugstellen insgesamt] = „Teilweise abgedeckt"</t>
  </si>
  <si>
    <t xml:space="preserve">MF-M03-R4</t>
  </si>
  <si>
    <t xml:space="preserve">[5.40 Einzugsschutz an Treibscheibe, Umlenkrollen und Kopierwerk vorhanden?] = Ja
UND [5.41 Einzugsschutz am Geschwindigkeitsbegrenzer vorhanden?] = Nein</t>
  </si>
  <si>
    <t xml:space="preserve">• Bei Arbeiten am Geschwindigkeitsbegrenzer ausschalten [O]</t>
  </si>
  <si>
    <t xml:space="preserve">• Abdeckungen nachrüsten [T]</t>
  </si>
  <si>
    <t xml:space="preserve">MF-M03-R5</t>
  </si>
  <si>
    <t xml:space="preserve">[5.40 Einzugsschutz an Treibscheibe, Umlenkrollen und Kopierwerk vorhanden?] ist beantwortet</t>
  </si>
  <si>
    <t xml:space="preserve">MF-M04</t>
  </si>
  <si>
    <t xml:space="preserve">Unzureichende Raumhöhe, Bewegungs- und Freiflächen im Triebwerksraum
Faktor: Physische Belastung / ergonomische Gefährdung
Betroffen: Beauftragte Person, Wartungspersonal
Bewertungslogik: Höchste Stufe – alle zutreffenden Regeln zählen, maßgeblich ist die HÖCHSTE STUFE; Maßnahmen aller Treffer werden übernommen.
Bewertet, wenn: [4.7 Eigener Triebwerks-/Maschinenraum vorhanden?] = Ja
Pflichtfragen: 5.43, 5.44, 5.45</t>
  </si>
  <si>
    <t xml:space="preserve">EN 81-80: Nr. 21 (5.6.3)
DIN EN 81-20 5.2.6.3.2</t>
  </si>
  <si>
    <t xml:space="preserve">MF-M04-R1</t>
  </si>
  <si>
    <t xml:space="preserve">[5.44 Freifläche für Notbetrieb/Handrad mind. 0,50 m × 0,60 m vor dem Antrieb vorhanden?] = Nein</t>
  </si>
  <si>
    <t xml:space="preserve">• Fläche sofort freiräumen [O]</t>
  </si>
  <si>
    <t xml:space="preserve">• Freifläche dauerhaft sicherstellen und kennzeichnen [O]</t>
  </si>
  <si>
    <t xml:space="preserve">MF-M04-R2</t>
  </si>
  <si>
    <t xml:space="preserve">[5.43 Lichte Höhe im Gehbereich mind. 1,80 m?] = Nein</t>
  </si>
  <si>
    <t xml:space="preserve">• Niedrige Stellen kennzeichnen (Warnmarkierung, Polsterung), Beschäftigte unterweisen [O]</t>
  </si>
  <si>
    <t xml:space="preserve">• Lichte Höhe von 1,80 m im Gehbereich herstellen (Umbau, Verlegung von Einbauten) [T]</t>
  </si>
  <si>
    <t xml:space="preserve">MF-M04-R3</t>
  </si>
  <si>
    <t xml:space="preserve">[5.45 Bewegungsflächen durch Lagerung eingeengt?] = Ja</t>
  </si>
  <si>
    <t xml:space="preserve">• Flächen sofort freiräumen [O]</t>
  </si>
  <si>
    <t xml:space="preserve">• Lagerung im Triebwerksraum dauerhaft unterbinden [O]</t>
  </si>
  <si>
    <t xml:space="preserve">MF-M04-R4</t>
  </si>
  <si>
    <t xml:space="preserve">[5.43 Lichte Höhe im Gehbereich mind. 1,80 m?] ist beantwortet</t>
  </si>
  <si>
    <t xml:space="preserve">MF-M05</t>
  </si>
  <si>
    <t xml:space="preserve">Unterschiedliche Ebenen, Podeste und Bodenöffnungen im Triebwerksraum ungesichert
Faktor: Mechanische Gefährdung durch Absturz
Betroffen: Beauftragte Person, Wartungspersonal
Bewertungslogik: Höchste Stufe – alle zutreffenden Regeln zählen, maßgeblich ist die HÖCHSTE STUFE; Maßnahmen aller Treffer werden übernommen.
Bewertet, wenn: [4.7 Eigener Triebwerks-/Maschinenraum vorhanden?] = Ja
Pflichtfragen: 5.46, 5.46a (wenn [5.46] = Ja), 5.46b (wenn [5.46] = Ja), 5.47</t>
  </si>
  <si>
    <t xml:space="preserve">EN 81-80: Nr. 22 (5.6.4)
DIN EN 81-20 5.2.6.3.2.4</t>
  </si>
  <si>
    <t xml:space="preserve">MF-M05-R1</t>
  </si>
  <si>
    <t xml:space="preserve">[5.46 Niveauunterschiede über 0,50 m im Raum vorhanden?] = Ja
UND [5.46a Niveauunterschied durch Treppe oder Leiter überwindbar?] = Nein</t>
  </si>
  <si>
    <t xml:space="preserve">• Sichere Aufstiegshilfe verwenden [O]</t>
  </si>
  <si>
    <t xml:space="preserve">• Treppe oder Leiter nach DIN EN 81-20, 5.2.6.3.2.4 herstellen [T]</t>
  </si>
  <si>
    <t xml:space="preserve">MF-M05-R2</t>
  </si>
  <si>
    <t xml:space="preserve">[5.46b Podest mit Absturzhöhe über 1,00 m ohne Geländer?] = Ja</t>
  </si>
  <si>
    <t xml:space="preserve">• Bereich absperren, PSA gegen Absturz verwenden [O]</t>
  </si>
  <si>
    <t xml:space="preserve">• Geländer nachrüsten [T]</t>
  </si>
  <si>
    <t xml:space="preserve">MF-M05-R3</t>
  </si>
  <si>
    <t xml:space="preserve">[5.47 Ungesicherte Bodenöffnung oder Vertiefung im Raum?] = Ja</t>
  </si>
  <si>
    <t xml:space="preserve">• Öffnung abdecken oder absperren [O]</t>
  </si>
  <si>
    <t xml:space="preserve">• Dauerhafte Abdeckung und umlaufendes Geländer anbringen [T]</t>
  </si>
  <si>
    <t xml:space="preserve">MF-M05-R4</t>
  </si>
  <si>
    <t xml:space="preserve">[5.46 Niveauunterschiede über 0,50 m im Raum vorhanden?] ist beantwortet</t>
  </si>
  <si>
    <t xml:space="preserve">MF-M06</t>
  </si>
  <si>
    <t xml:space="preserve">Rutschiger, verschmutzter oder ölverunreinigter Boden im Triebwerksraum
Faktor: Mechanische Gefährdung durch Stolpern, Rutschen, Stürzen
Betroffen: Beauftragte Person, Wartungspersonal
Bewertungslogik: Höchste Stufe – alle zutreffenden Regeln zählen, maßgeblich ist die HÖCHSTE STUFE; Maßnahmen aller Treffer werden übernommen.
Bewertet, wenn: [4.7 Eigener Triebwerks-/Maschinenraum vorhanden?] = Ja
Pflichtfragen: 5.48, 5.49, 5.50</t>
  </si>
  <si>
    <t xml:space="preserve">EN 81-80: Nr. 20 (5.6.2)
DIN EN 81-20 5.2.1.9</t>
  </si>
  <si>
    <t xml:space="preserve">MF-M06-R1</t>
  </si>
  <si>
    <t xml:space="preserve">[5.50 Ausgetretenes Öl / Hydrauliköl ohne Auffangmöglichkeit?] = Ja</t>
  </si>
  <si>
    <t xml:space="preserve">• Öl aufnehmen, Leckage abstellen, Bereich sichern [O]</t>
  </si>
  <si>
    <t xml:space="preserve">• Auffangwanne herstellen und Leckage dauerhaft beseitigen (Wasserhaushaltsgesetz beachten) [T]</t>
  </si>
  <si>
    <t xml:space="preserve">MF-M06-R2</t>
  </si>
  <si>
    <t xml:space="preserve">[5.48 Boden rutschhemmend und sauber?] = Nein</t>
  </si>
  <si>
    <t xml:space="preserve">• Reinigen, abstumpfendes Material einsetzen [O]</t>
  </si>
  <si>
    <t xml:space="preserve">• Reinigung in den Wartungsplan aufnehmen [O]</t>
  </si>
  <si>
    <t xml:space="preserve">MF-M06-R3</t>
  </si>
  <si>
    <t xml:space="preserve">[5.49 Boden ölfest gestrichen und unbeschädigt?] = Nein</t>
  </si>
  <si>
    <t xml:space="preserve">• Ölbindemittel bereitstellen und Verunreinigungen aufnehmen [O]</t>
  </si>
  <si>
    <t xml:space="preserve">• Ölfesten Anstrich erneuern [T]</t>
  </si>
  <si>
    <t xml:space="preserve">MF-M06-R4</t>
  </si>
  <si>
    <t xml:space="preserve">[5.48 Boden rutschhemmend und sauber?] ist beantwortet</t>
  </si>
  <si>
    <t xml:space="preserve">MF-M07</t>
  </si>
  <si>
    <t xml:space="preserve">Fehlender, nicht abschließbarer oder nicht gekennzeichneter Hauptschalter
Faktor: Elektrische Gefährdung durch Berühren spannungsführender Teile
Betroffen: Wartungspersonal
Bewertungslogik: Höchste Stufe – alle zutreffenden Regeln zählen, maßgeblich ist die HÖCHSTE STUFE; Maßnahmen aller Treffer werden übernommen.
Bewertet, wenn: immer
Pflichtfragen: 5.51, 5.51a (wenn [5.51] = Ja), 5.51b (wenn [5.51] = Ja)</t>
  </si>
  <si>
    <t xml:space="preserve">EN 81-80: Nr. 68 (5.13.3)
DIN EN 81-20 5.10.5.1
DGUV Vorschrift 3
TRBS 3121 Anh. 1 Nr. 21 (Schutz gegen elektrischen Schlag und Kennzeichnung)</t>
  </si>
  <si>
    <t xml:space="preserve">MF-M07-R1</t>
  </si>
  <si>
    <t xml:space="preserve">[5.51 Hauptschalter vorhanden und Wirkung nachvollziehbar?] = Nein</t>
  </si>
  <si>
    <t xml:space="preserve">• Arbeiten nur nach Freischalten durch eine Elektrofachkraft [O]</t>
  </si>
  <si>
    <t xml:space="preserve">• Hauptschalter nach DIN EN 81-20 nachrüsten [T]</t>
  </si>
  <si>
    <t xml:space="preserve">MF-M07-R2</t>
  </si>
  <si>
    <t xml:space="preserve">[5.51a Hauptschalter abschließbar?] = Nein</t>
  </si>
  <si>
    <t xml:space="preserve">• Andere Maßnahme zum Schutz gegen Wiedereinschalten anwenden [O]</t>
  </si>
  <si>
    <t xml:space="preserve">• Abschließbaren Hauptschalter nachrüsten [T]</t>
  </si>
  <si>
    <t xml:space="preserve">Entschieden 2026-09-02: K-M02.</t>
  </si>
  <si>
    <t xml:space="preserve">MF-M07-R3</t>
  </si>
  <si>
    <t xml:space="preserve">[5.51b Hauptschalter eindeutig gekennzeichnet?] = Nein</t>
  </si>
  <si>
    <t xml:space="preserve">• Dauerhafte Kennzeichnung anbringen [O]</t>
  </si>
  <si>
    <t xml:space="preserve">MF-M07-R4</t>
  </si>
  <si>
    <t xml:space="preserve">[5.51 Hauptschalter vorhanden und Wirkung nachvollziehbar?] ist beantwortet</t>
  </si>
  <si>
    <t xml:space="preserve">MF-M08</t>
  </si>
  <si>
    <t xml:space="preserve">Unzureichende elektromechanische Bremse (Einkreisbremse, keine Überwachung)
Faktor: Mechanische Gefährdung durch Überlastung und unkontrollierte Bewegung
Betroffen: Nutzer, Wartungspersonal
Bewertungslogik: Höchste Stufe – alle zutreffenden Regeln zählen, maßgeblich ist die HÖCHSTE STUFE; Maßnahmen aller Treffer werden übernommen.
Bewertet, wenn: [3.1 Aufzugsart] ist eines von „Seil-/Riemenaufzug (Treibscheibe)" / „Trommel- oder Kettenaufzug"
Pflichtfragen: 6.2, 6.2a (wenn [6.2] = Ja), 8.27 (wenn [6.2a] = Nein)</t>
  </si>
  <si>
    <t xml:space="preserve">EN 81-80: Nr. 53 (5.9.4, 5.12.1)
DIN EN 81-20 5.9.2.2.2
TRBS 3121 Anh. 1 Nr. 16 (UCM und Aufwärts-Übergeschwindigkeit bei Seilaufzügen)</t>
  </si>
  <si>
    <t xml:space="preserve">MF-M08-R1</t>
  </si>
  <si>
    <t xml:space="preserve">[6.2 Zweikreisbremse (redundante Betriebsbremse) vorhanden?] = Nein</t>
  </si>
  <si>
    <t xml:space="preserve">• Bremsfunktion prüfen, Anlage bei Auffälligkeiten stilllegen [O]</t>
  </si>
  <si>
    <t xml:space="preserve">• Zweikreisbremse mit Überwachung der Bremskreise nachrüsten [T]</t>
  </si>
  <si>
    <t xml:space="preserve">MF-M08-R2</t>
  </si>
  <si>
    <t xml:space="preserve">[6.2a Bremse elektrisch überwacht (Bremskontrollschalter)?] = Nein
UND [8.27 Türüberbrückung (SR-Modul) für Nachregulieren / Voraböffnen mit offener Tür vorhanden?] = Ja</t>
  </si>
  <si>
    <t xml:space="preserve">• Bremse bei jeder Wartung auf Wirksamkeit beider Bremskreise prüfen [O]</t>
  </si>
  <si>
    <t xml:space="preserve">• Bremskontrollschalter nachrüsten [T]</t>
  </si>
  <si>
    <t xml:space="preserve">Entscheidung 02.09.2026: ohne Türüberbrückung (SR-Modul) kein Risiko. [Prüfbericht: H11 – Sofortmaßnahme ergänzt] Frühere Klärung (vor der Änderung entschieden): K-M09</t>
  </si>
  <si>
    <t xml:space="preserve">MF-M08-R3</t>
  </si>
  <si>
    <t xml:space="preserve">[6.2 Zweikreisbremse (redundante Betriebsbremse) vorhanden?] ist beantwortet</t>
  </si>
  <si>
    <t xml:space="preserve">MF-M09</t>
  </si>
  <si>
    <t xml:space="preserve">Fehlender Schutz des Antriebsmotors gegen Überhitzen
Faktor: Brand- und Explosionsgefährdung
Betroffen: Nutzer, Wartungspersonal
Bewertungslogik: Vorrang – es gilt die zutreffende Regel mit der HÖCHSTEN PRIORITÄT (so wirken Kompensationen); bei gleicher Priorität die höhere Stufe.
Bewertet, wenn: immer
Pflichtfragen: 6.3</t>
  </si>
  <si>
    <t xml:space="preserve">EN 81-80: Nr. 67 (5.13.2)
DIN EN 81-20 5.10.4.3</t>
  </si>
  <si>
    <t xml:space="preserve">1 von 2 offen</t>
  </si>
  <si>
    <t xml:space="preserve">MF-M09-R1</t>
  </si>
  <si>
    <t xml:space="preserve">[6.3 Schutz gegen Überhitzen des Antriebsmotors vorhanden?] = Nein</t>
  </si>
  <si>
    <t xml:space="preserve">• Fahrspiele begrenzen und Temperatur überwachen [O]</t>
  </si>
  <si>
    <t xml:space="preserve">• Motorschutz nach DIN EN 81-20, 5.10.4.2 nachrüsten [T]</t>
  </si>
  <si>
    <t xml:space="preserve">Entschieden 2026-09-02: K-M03.</t>
  </si>
  <si>
    <t xml:space="preserve">MF-M09-R2</t>
  </si>
  <si>
    <t xml:space="preserve">[6.3 Schutz gegen Überhitzen des Antriebsmotors vorhanden?] ist beantwortet</t>
  </si>
  <si>
    <t xml:space="preserve">MF-M10</t>
  </si>
  <si>
    <t xml:space="preserve">Fehlende unabhängige Fahrschütze / Abschaltwege
Faktor: Mechanische Gefährdung durch Überlastung und unkontrollierte Bewegung
Betroffen: Nutzer
Bewertungslogik: Vorrang – es gilt die zutreffende Regel mit der HÖCHSTEN PRIORITÄT (so wirken Kompensationen); bei gleicher Priorität die höhere Stufe.
Bewertet, wenn: NICHT [3.1 Aufzugsart] ist eines von „Hydraulikaufzug" / „Seil-Hydraulikaufzug (indirekt)"
Pflichtfragen: 6.4, 6.4a (wenn [6.4] = Nein)</t>
  </si>
  <si>
    <t xml:space="preserve">EN 81-80: Nr. 62 (5.12.4)
DIN EN 81-20 5.9.2.5
TRBS 3121 Anh. 1 Nr. 20 (Redundante Abschaltung des Antriebs)</t>
  </si>
  <si>
    <t xml:space="preserve">MF-M10-R1</t>
  </si>
  <si>
    <t xml:space="preserve">[6.4 Zwei unabhängige Fahrschütze / Abschaltwege vorhanden?] = Nein
UND [6.4a Bei nur einem Schütz: selbstüberwachende Steuerung mit Baumusterprüfung?] = Ja</t>
  </si>
  <si>
    <t xml:space="preserve">App M5: „Nur ein Fahrschütz, jedoch selbst überwachende Steuerung" = grün Entschieden 2026-09-02: K-M04. [Freigabe bezog sich auf einen früheren Stand (Regel, abhängige Fragen oder Gefährdungslogik geändert) – neu prüfen]</t>
  </si>
  <si>
    <t xml:space="preserve">MF-M10-R2</t>
  </si>
  <si>
    <t xml:space="preserve">[6.4 Zwei unabhängige Fahrschütze / Abschaltwege vorhanden?] = Nein</t>
  </si>
  <si>
    <t xml:space="preserve">• Abschaltfunktion des Fahrschützes bei jeder Wartung prüfen; bei Auffälligkeit (Schütz fällt nicht ab) Anlage sofort außer Betrieb nehmen [O]</t>
  </si>
  <si>
    <t xml:space="preserve">• Zweites, unabhängiges Fahrschütz bzw. redundante Abschaltung nachrüsten oder Steuerung erneuern [T]</t>
  </si>
  <si>
    <t xml:space="preserve">[Prüfbericht: B11 – „bei Arbeiten ausschalten" schützt die Nutzer nicht]</t>
  </si>
  <si>
    <t xml:space="preserve">MF-M10-R3</t>
  </si>
  <si>
    <t xml:space="preserve">[6.4 Zwei unabhängige Fahrschütze / Abschaltwege vorhanden?] ist beantwortet</t>
  </si>
  <si>
    <t xml:space="preserve">MF-M11</t>
  </si>
  <si>
    <t xml:space="preserve">Fehlende Laufzeitüberwachung des Antriebs
Faktor: Brand- und Explosionsgefährdung
Betroffen: Nutzer
Bewertungslogik: Vorrang – es gilt die zutreffende Regel mit der HÖCHSTEN PRIORITÄT (so wirken Kompensationen); bei gleicher Priorität die höhere Stufe.
Bewertet, wenn: immer
Pflichtfragen: 6.5</t>
  </si>
  <si>
    <t xml:space="preserve">EN 81-80: Nr. 64 (5.12.6)
DIN EN 81-20 5.9.2.6.2</t>
  </si>
  <si>
    <t xml:space="preserve">2 von 2 offen</t>
  </si>
  <si>
    <t xml:space="preserve">MF-M11-R1</t>
  </si>
  <si>
    <t xml:space="preserve">[6.5 Motor-Laufzeitüberwachung vorhanden?] = Nein</t>
  </si>
  <si>
    <t xml:space="preserve">• Anlage bei Auffälligkeiten stilllegen [O]</t>
  </si>
  <si>
    <t xml:space="preserve">• Motoren-Laufzeitüberwachung nachrüsten [T]</t>
  </si>
  <si>
    <t xml:space="preserve">MF-M11-R2</t>
  </si>
  <si>
    <t xml:space="preserve">[6.5 Motor-Laufzeitüberwachung vorhanden?] ist beantwortet</t>
  </si>
  <si>
    <t xml:space="preserve">MF-M12</t>
  </si>
  <si>
    <t xml:space="preserve">Fehlender Schutz gegen Phasenumkehr / Phasenausfall
Faktor: Mechanische Gefährdung durch Überlastung und unkontrollierte Bewegung
Betroffen: Nutzer
Bewertungslogik: Vorrang – es gilt die zutreffende Regel mit der HÖCHSTEN PRIORITÄT (so wirken Kompensationen); bei gleicher Priorität die höhere Stufe.
Bewertet, wenn: [6.1 Antriebssystem / Regelung] ist keines von „Geregelter Antrieb (Frequenzumrichter)" / „Hydraulischer Antrieb"
Pflichtfragen: 6.6</t>
  </si>
  <si>
    <t xml:space="preserve">EN 81-80: Nr. 69 (5.14.1)
DIN EN 81-20 5.10.7</t>
  </si>
  <si>
    <t xml:space="preserve">MF-M12-R1</t>
  </si>
  <si>
    <t xml:space="preserve">[6.6 Schutz gegen Phasenumkehr / Phasenausfall vorhanden?] = Nein</t>
  </si>
  <si>
    <t xml:space="preserve">• Anlage auf richtige Drehrichtung prüfen, Hinweis an Betreiber [O]</t>
  </si>
  <si>
    <t xml:space="preserve">• Phasenfolge-/Phasenausfallrelais nachrüsten [T]</t>
  </si>
  <si>
    <t xml:space="preserve">Entschieden 2026-09-02: K-M05.
Evidenz: abgeleitet</t>
  </si>
  <si>
    <t xml:space="preserve">MF-M12-R2</t>
  </si>
  <si>
    <t xml:space="preserve">[6.6 Schutz gegen Phasenumkehr / Phasenausfall vorhanden?] ist beantwortet</t>
  </si>
  <si>
    <t xml:space="preserve">Unzureichende Hydraulikeinrichtungen (Absperrventil, Rohrbruchsicherung, Absinken)
Faktor: Mechanische Gefährdung durch Überlastung und unkontrollierte Bewegung
Betroffen: Nutzer, Wartungspersonal
Bewertungslogik: Höchste Stufe – alle zutreffenden Regeln zählen, maßgeblich ist die HÖCHSTE STUFE; Maßnahmen aller Treffer werden übernommen.
Bewertet, wenn: [3.1 Aufzugsart] ist eines von „Hydraulikaufzug" / „Seil-Hydraulikaufzug (indirekt)"
Pflichtfragen: 6.10, 6.10a (wenn [6.10] = Ja), 6.11, 6.12, 6.13</t>
  </si>
  <si>
    <t xml:space="preserve">EN 81-80: Nr. 54 (5.9.5), Nr. 61 (5.12.3), Nr. 65 (5.12.7)
DIN EN 81-20 5.6.1.3
DIN EN 81-20 5.6.7
TRBS 3121 Anh. 1 Nr. 17 (Absturz-, Übergeschwindigkeits- und Absinkschutz Hydraulik)</t>
  </si>
  <si>
    <t xml:space="preserve">MF-M13-R1</t>
  </si>
  <si>
    <t xml:space="preserve">[6.11 Rohrbruchsicherungsventil vorhanden?] = Nein</t>
  </si>
  <si>
    <t xml:space="preserve">• Absinkverhalten überwachen, Anlage nur eingeschränkt betreiben [O]</t>
  </si>
  <si>
    <t xml:space="preserve">• Rohrbruchsicherungsventil nachrüsten [T]</t>
  </si>
  <si>
    <t xml:space="preserve">MF-M13-R2</t>
  </si>
  <si>
    <t xml:space="preserve">[6.13 Sinkt der Fahrkorb im Stillstand merklich ab?] = Ja
UND [6.12 Einrichtung gegen Absinken (Kolbenabsinkverhinderung / Nachholsteuerung) vorhanden?] = Nein</t>
  </si>
  <si>
    <t xml:space="preserve">• Aufzug stilllegen [O]</t>
  </si>
  <si>
    <t xml:space="preserve">• Einrichtung gegen das Absinken des Kolbens nachrüsten und Leckage beseitigen [T]</t>
  </si>
  <si>
    <t xml:space="preserve">MF-M13-R7</t>
  </si>
  <si>
    <t xml:space="preserve">[6.13 Sinkt der Fahrkorb im Stillstand merklich ab?] = Ja
UND [6.12 Einrichtung gegen Absinken (Kolbenabsinkverhinderung / Nachholsteuerung) vorhanden?] = Ja</t>
  </si>
  <si>
    <t xml:space="preserve">• Vor Arbeiten am Hydrauliksystem Fahrkorb auf dem Puffer absetzen oder gegen Absinken sichern; Absinkverhalten und Bündigkeit überwachen [O]</t>
  </si>
  <si>
    <t xml:space="preserve">• Wirksamkeit der Kolbenabsinkverhinderung / Nachholsteuerung prüfen lassen, Leckage (Dichtungen, Ventile, Leitungen) suchen und beseitigen [T]</t>
  </si>
  <si>
    <t xml:space="preserve">Prüfbericht 20.09.2026: bisherige Lücke – ein merkliches Absinken TROTZ vorhandener Einrichtung fiel auf „Kein Risiko". Die Einrichtung ist dann unwirksam.
Evidenz: abgeleitet</t>
  </si>
  <si>
    <t xml:space="preserve">MF-M13-R3</t>
  </si>
  <si>
    <t xml:space="preserve">[6.12 Einrichtung gegen Absinken (Kolbenabsinkverhinderung / Nachholsteuerung) vorhanden?] = Nein</t>
  </si>
  <si>
    <t xml:space="preserve">• Vor Arbeiten am Hydrauliksystem Fahrkorb auf dem Puffer absetzen oder gegen Absinken sichern; auf Schlaffseilbildung achten [O]</t>
  </si>
  <si>
    <t xml:space="preserve">• Kolbenabsinkverhinderung (KAV) nachrüsten [T]</t>
  </si>
  <si>
    <t xml:space="preserve">MF-M13-R4</t>
  </si>
  <si>
    <t xml:space="preserve">[6.10 Absperrventil am Hydraulikaggregat vorhanden?] = Nein</t>
  </si>
  <si>
    <t xml:space="preserve">• Arbeiten am Hydrauliksystem nur mit abgesetztem, gegen Bewegung gesichertem Fahrkorb [O]</t>
  </si>
  <si>
    <t xml:space="preserve">• Absperrventil zwischen Zylinder und Rückschlagventil nachrüsten, gut zugänglich und gekennzeichnet [T]</t>
  </si>
  <si>
    <t xml:space="preserve">[Prüfbericht: B12 – fehlendes Ventil wird nachgerüstet, nicht nur gekennzeichnet]
Evidenz: abgeleitet</t>
  </si>
  <si>
    <t xml:space="preserve">MF-M13-R5</t>
  </si>
  <si>
    <t xml:space="preserve">[6.10a Absperrventil gekennzeichnet und gut zugänglich?] = Nein</t>
  </si>
  <si>
    <t xml:space="preserve">• Zugang freimachen und provisorisch kennzeichnen [O]</t>
  </si>
  <si>
    <t xml:space="preserve">• Ventil zugänglich anordnen und dauerhaft kennzeichnen [O]</t>
  </si>
  <si>
    <t xml:space="preserve">MF-M13-R6</t>
  </si>
  <si>
    <t xml:space="preserve">[6.10 Absperrventil am Hydraulikaggregat vorhanden?] ist beantwortet</t>
  </si>
  <si>
    <t xml:space="preserve">MF-M14</t>
  </si>
  <si>
    <t xml:space="preserve">Fehlende oder unzureichende Hebezeuge / Anschlagpunkte im Triebwerksraum
Faktor: Mechanische Gefährdung durch herabfallende oder kippende Lasten
Betroffen: Wartungspersonal
Bewertungslogik: Höchste Stufe – alle zutreffenden Regeln zählen, maßgeblich ist die HÖCHSTE STUFE; Maßnahmen aller Treffer werden übernommen.
Bewertet, wenn: [4.7 Eigener Triebwerks-/Maschinenraum vorhanden?] = Ja
Pflichtfragen: 5.52, 5.52a (wenn [5.52] = Ja), 5.52b (wenn [5.52] = Ja)</t>
  </si>
  <si>
    <t xml:space="preserve">EN 81-80: Nr. 24 (5.6.6)
DIN EN 81-20 5.2.1.7</t>
  </si>
  <si>
    <t xml:space="preserve">MF-M14-R1</t>
  </si>
  <si>
    <t xml:space="preserve">[5.52 Anschlagpunkte / Hebezeuge zum Anheben schwerer Teile vorhanden?] = Nein</t>
  </si>
  <si>
    <t xml:space="preserve">• Hebearbeiten nur nach gesondert festgelegtem Verfahren [O]</t>
  </si>
  <si>
    <t xml:space="preserve">• Anschlagpunkte nach DIN EN 81-20, 5.2.1.7 nachrüsten [T]</t>
  </si>
  <si>
    <t xml:space="preserve">MF-M14-R2</t>
  </si>
  <si>
    <t xml:space="preserve">[5.52a Tragfähigkeit der Anschlagpunkte angegeben?] = Nein</t>
  </si>
  <si>
    <t xml:space="preserve">• Vor Nutzung die Tragfähigkeit ermitteln lassen [O]</t>
  </si>
  <si>
    <t xml:space="preserve">• Tragfähigkeit dauerhaft kennzeichnen [O]</t>
  </si>
  <si>
    <t xml:space="preserve">MF-M14-R3</t>
  </si>
  <si>
    <t xml:space="preserve">[5.52b Prüfung der Anschlagpunkte dokumentiert?] = Nein</t>
  </si>
  <si>
    <t xml:space="preserve">• Prüfnachweis anfordern [O]</t>
  </si>
  <si>
    <t xml:space="preserve">• Anschlagpunkte in die wiederkehrende Prüfung aufnehmen und dokumentieren [O]</t>
  </si>
  <si>
    <t xml:space="preserve">MF-M14-R4</t>
  </si>
  <si>
    <t xml:space="preserve">[5.52 Anschlagpunkte / Hebezeuge zum Anheben schwerer Teile vorhanden?] ist beantwortet</t>
  </si>
  <si>
    <t xml:space="preserve">MF-M15</t>
  </si>
  <si>
    <t xml:space="preserve">Fehlende oder unzureichende Einrichtung für Notbetrieb und Personenbefreiung
Faktor: Sonstige Gefährdung durch fehlende oder unzureichende Notfallorganisation
Betroffen: Nutzer, Beauftragte Person
Bewertungslogik: Höchste Stufe – alle zutreffenden Regeln zählen, maßgeblich ist die HÖCHSTE STUFE; Maßnahmen aller Treffer werden übernommen.
Bewertet, wenn: immer
Pflichtfragen: 5.53, 5.53a (wenn [5.53] = Ja), 5.53b (wenn [E1] = Ja)</t>
  </si>
  <si>
    <t xml:space="preserve">EN 81-80: Nr. 60 (5.12.2)
DIN EN 81-20 5.9.2.3
BetrSichV Anh. 1 Nr. 4.1
TRBS 3121 3.7.3</t>
  </si>
  <si>
    <t xml:space="preserve">MF-M15-R1</t>
  </si>
  <si>
    <t xml:space="preserve">[5.53 Einrichtung für Notbetrieb / Personenbefreiung vorhanden (Handrad, Bremslüfthebel, Evakuierungseinheit, Notablass)?] = Nein</t>
  </si>
  <si>
    <t xml:space="preserve">• Befreiung ausschließlich durch die Wartungsfirma, Notrufkette festlegen und bekannt machen [O]</t>
  </si>
  <si>
    <t xml:space="preserve">• Evakuierungseinrichtung nachrüsten [T]</t>
  </si>
  <si>
    <t xml:space="preserve">MF-M15-R2</t>
  </si>
  <si>
    <t xml:space="preserve">[5.53a Notbetriebseinrichtung gekennzeichnet (Fahrtrichtung, Bündigmarken)?] = Nein</t>
  </si>
  <si>
    <t xml:space="preserve">• Dauerhafte Kennzeichnung nach Herstellerangabe anbringen [T]</t>
  </si>
  <si>
    <t xml:space="preserve">MF-M15-R3</t>
  </si>
  <si>
    <t xml:space="preserve">[5.53b Beauftragte Personen in die Personenbefreiung eingewiesen?] = Nein</t>
  </si>
  <si>
    <t xml:space="preserve">• Personenbefreiung bis zur Einweisung nur durch das Wartungsunternehmen [O]</t>
  </si>
  <si>
    <t xml:space="preserve">• Beauftragte Personen anlagenbezogen in die Personenbefreiung einweisen und dokumentieren (BetrSichV Anh. 1 Nr. 4.1) [O]</t>
  </si>
  <si>
    <t xml:space="preserve">MF-M15-R4</t>
  </si>
  <si>
    <t xml:space="preserve">[5.53 Einrichtung für Notbetrieb / Personenbefreiung vorhanden (Handrad, Bremslüfthebel, Evakuierungseinheit, Notablass)?] ist beantwortet</t>
  </si>
  <si>
    <t xml:space="preserve">MF-M16</t>
  </si>
  <si>
    <t xml:space="preserve">Fehlender Potenzialausgleich / mangelhafte bauseitige Elektroinstallation
Faktor: Elektrische Gefährdung durch Berühren spannungsführender Teile
Betroffen: Beauftragte Person, Wartungspersonal
Bewertungslogik: Höchste Stufe – alle zutreffenden Regeln zählen, maßgeblich ist die HÖCHSTE STUFE; Maßnahmen aller Treffer werden übernommen.
Bewertet, wenn: immer
Pflichtfragen: 5.38, 5.36, 5.37</t>
  </si>
  <si>
    <t xml:space="preserve">EN 81-80: im Bestandskatalog (organisatorisch)
DIN EN 81-20 5.10.1.1
DIN VDE 0100-410
DGUV Vorschrift 3</t>
  </si>
  <si>
    <t xml:space="preserve">MF-M16-R1</t>
  </si>
  <si>
    <t xml:space="preserve">[5.38 Hauptpotenzialausgleich an der Aufzugskonstruktion vorhanden?] = Nein</t>
  </si>
  <si>
    <t xml:space="preserve">• Elektrofachkraft mit der Prüfung der Schutzmaßnahme beauftragen [O]</t>
  </si>
  <si>
    <t xml:space="preserve">• Hauptpotenzialausgleich an Führungsschienen, Maschinenrahmen und Schaltschrank herstellen (DIN VDE 0100-410) [T]</t>
  </si>
  <si>
    <t xml:space="preserve">Entschieden 2026-09-02: K-M06. [Freigabe bezog sich auf einen früheren Stand (Regel, abhängige Fragen oder Gefährdungslogik geändert) – neu prüfen]</t>
  </si>
  <si>
    <t xml:space="preserve">MF-M16-R2</t>
  </si>
  <si>
    <t xml:space="preserve">[5.36 Bauseitige Elektroinstallation im Raum (Steckdosen, Schalter, Leitungen) unbeschädigt?] = Nein</t>
  </si>
  <si>
    <t xml:space="preserve">• Betroffene Betriebsmittel abschalten und gegen Benutzung sichern [O]</t>
  </si>
  <si>
    <t xml:space="preserve">• Instandsetzung durch eine Elektrofachkraft [T]</t>
  </si>
  <si>
    <t xml:space="preserve">MF-M16-R3</t>
  </si>
  <si>
    <t xml:space="preserve">[5.37 Prüfung der BAUSEITIGEN ortsfesten elektrischen Anlage des Raumes nachgewiesen (Zuleitung, Steckdosen, Raumbeleuchtung)?] = Nein</t>
  </si>
  <si>
    <t xml:space="preserve">• Prüfnachweis der bauseitigen Installation beim Betreiber anfordern [O]</t>
  </si>
  <si>
    <t xml:space="preserve">• Wiederkehrende Prüfung der bauseitigen ortsfesten Anlage (Zuleitung, Steckdosen, Raumbeleuchtung) nach DGUV Vorschrift 3 durch den Betreiber veranlassen [O]</t>
  </si>
  <si>
    <t xml:space="preserve">Prüfbericht 20.09.2026: Abgrenzung zu 5.35 (Aufzugsanlage) geschärft.</t>
  </si>
  <si>
    <t xml:space="preserve">MF-M16-R4</t>
  </si>
  <si>
    <t xml:space="preserve">[5.38 Hauptpotenzialausgleich an der Aufzugskonstruktion vorhanden?] ist beantwortet</t>
  </si>
  <si>
    <t xml:space="preserve">MF-M17</t>
  </si>
  <si>
    <t xml:space="preserve">Fehlende Kennzeichnung elektrischer Einrichtungen, Stromlaufplan, Beschilderung und Betriebsanleitung
Faktor: Gefährdung durch organisatorische Mängel (Unterlagen, Unterweisung, Zuständigkeit)
Betroffen: Beauftragte Person, Wartungspersonal
Bewertungslogik: Höchste Stufe – alle zutreffenden Regeln zählen, maßgeblich ist die HÖCHSTE STUFE; Maßnahmen aller Treffer werden übernommen.
Bewertet, wenn: immer
Pflichtfragen: 5.54, 5.55, 5.56, 5.57</t>
  </si>
  <si>
    <t xml:space="preserve">EN 81-80: Nr. 66 (5.13.1), Nr. 74 (5.15)
DIN EN 81-20 7
DIN EN 81-20 5.10.1.3
BetrSichV § 12
TRBS 3121 Anh. 1 Nr. 21 (Schutz gegen elektrischen Schlag und Kennzeichnung)</t>
  </si>
  <si>
    <t xml:space="preserve">MF-M17-R1</t>
  </si>
  <si>
    <t xml:space="preserve">[5.54 Elektrische Einrichtungen gekennzeichnet (Zuordnung im Notfall möglich)?] = Nein
UND [5.55 Stromlaufplan / Schaltunterlagen] = „Nicht vorhanden"</t>
  </si>
  <si>
    <t xml:space="preserve">• Arbeiten an der Elektrik nur durch Elektrofachkraft [O]</t>
  </si>
  <si>
    <t xml:space="preserve">• Stromlaufpläne ergänzen, DGUV V3 Prüfung [O]</t>
  </si>
  <si>
    <t xml:space="preserve">MF-M17-R2</t>
  </si>
  <si>
    <t xml:space="preserve">[5.54 Elektrische Einrichtungen gekennzeichnet (Zuordnung im Notfall möglich)?] = Nein</t>
  </si>
  <si>
    <t xml:space="preserve">• Anlagenteile provisorisch kennzeichnen [O]</t>
  </si>
  <si>
    <t xml:space="preserve">• Dauerhafte Kennzeichnung aller elektrischen Einrichtungen herstellen [T]</t>
  </si>
  <si>
    <t xml:space="preserve">MF-M17-R3</t>
  </si>
  <si>
    <t xml:space="preserve">[5.55 Stromlaufplan / Schaltunterlagen] ist eines von „Vorhanden, aber unrichtig oder unvollständig" / „Nicht vorhanden"</t>
  </si>
  <si>
    <t xml:space="preserve">MF-M17-R4</t>
  </si>
  <si>
    <t xml:space="preserve">[5.56 Beschilderung vollständig (Schutzraum, Notablass, Entriegelungsschlüssel, Verhalten bei Personenbefreiung)?] = Nein</t>
  </si>
  <si>
    <t xml:space="preserve">• Beschilderung nach DIN EN 81-20, Abschnitt 7 vervollständigen [O]</t>
  </si>
  <si>
    <t xml:space="preserve">MF-M17-R5</t>
  </si>
  <si>
    <t xml:space="preserve">[5.57 Betriebs-/Bedienungsanleitung der Anlage] ist eines von „Vorhanden, aber nicht aktuell oder unvollständig" / „Nicht vorhanden"</t>
  </si>
  <si>
    <t xml:space="preserve">• Vorhandene Unterlagen sichten [O]</t>
  </si>
  <si>
    <t xml:space="preserve">• Aktuelle Betriebsanleitung anfordern und an der Anlage hinterlegen [O]</t>
  </si>
  <si>
    <t xml:space="preserve">MF-M17-R6</t>
  </si>
  <si>
    <t xml:space="preserve">[5.54 Elektrische Einrichtungen gekennzeichnet (Zuordnung im Notfall möglich)?] ist beantwortet</t>
  </si>
  <si>
    <t xml:space="preserve">MF-M18</t>
  </si>
  <si>
    <t xml:space="preserve">Fehlende oder unzulängliche Sprechverbindung zwischen Fahrkorb und Triebwerksraum
Faktor: Sonstige Gefährdung durch fehlende oder unzureichende Notfallorganisation
Betroffen: Wartungspersonal, Beauftragte Person
Bewertungslogik: Vorrang – es gilt die zutreffende Regel mit der HÖCHSTEN PRIORITÄT (so wirken Kompensationen); bei gleicher Priorität die höhere Stufe.
Bewertet, wenn: [5.58 Sprechverbindung zwischen Fahrkorb und Triebwerksraum/Steuerung] ≠ „Verständigung ohne Hilfsmittel möglich (kurze Wege)"
Pflichtfragen: 5.58</t>
  </si>
  <si>
    <t xml:space="preserve">EN 81-80: Nr. 72 (5.14.4)
DIN EN 81-20 5.12.3</t>
  </si>
  <si>
    <t xml:space="preserve">MF-M18-R1</t>
  </si>
  <si>
    <t xml:space="preserve">[5.58 Sprechverbindung zwischen Fahrkorb und Triebwerksraum/Steuerung] = „Keine Sprechverbindung"</t>
  </si>
  <si>
    <t xml:space="preserve">• Arbeiten nur mit zweiter Person und vereinbarten Signalen durchführen [O]</t>
  </si>
  <si>
    <t xml:space="preserve">• Sprechstelle zwischen Fahrkorb und Triebwerksraum nachrüsten [T]</t>
  </si>
  <si>
    <t xml:space="preserve">MF-M18-R2</t>
  </si>
  <si>
    <t xml:space="preserve">[5.58 Sprechverbindung zwischen Fahrkorb und Triebwerksraum/Steuerung] = „Vorhanden, Verständigung nur eingeschränkt"</t>
  </si>
  <si>
    <t xml:space="preserve">• Bei Arbeiten eine zweite Person zur Verständigung einsetzen [O]</t>
  </si>
  <si>
    <t xml:space="preserve">• Sprechverbindung instand setzen oder erneuern [T]</t>
  </si>
  <si>
    <t xml:space="preserve">MF-M18-R3</t>
  </si>
  <si>
    <t xml:space="preserve">[5.58 Sprechverbindung zwischen Fahrkorb und Triebwerksraum/Steuerung] ist beantwortet</t>
  </si>
  <si>
    <t xml:space="preserve">MF-M19</t>
  </si>
  <si>
    <t xml:space="preserve">Aufzugsfremde Einrichtungen im Triebwerksraum
Faktor: Mechanische Gefährdung durch Stolpern, Rutschen, Stürzen
Betroffen: Wartungspersonal
Bewertungslogik: Vorrang – es gilt die zutreffende Regel mit der HÖCHSTEN PRIORITÄT (so wirken Kompensationen); bei gleicher Priorität die höhere Stufe.
Bewertet, wenn: [4.7 Eigener Triebwerks-/Maschinenraum vorhanden?] = Ja
Pflichtfragen: 5.59</t>
  </si>
  <si>
    <t xml:space="preserve">EN 81-80: im Bestandskatalog (organisatorisch)
DIN EN 81-20 5.2.1.2
DIN EN 81-20 5.2.6.1</t>
  </si>
  <si>
    <t xml:space="preserve">MF-M19-R1</t>
  </si>
  <si>
    <t xml:space="preserve">[5.59 Triebwerksraum frei von aufzugsfremden Einrichtungen (Lager, Leitungen, Geräte Dritter)?] = Nein</t>
  </si>
  <si>
    <t xml:space="preserve">• Fremdnutzung mit dem Betreiber klären, Zugang nur für Aufzugspersonal [O]</t>
  </si>
  <si>
    <t xml:space="preserve">• Aufzugsfremde Einrichtungen entfernen; Raum ausschließlich für den Aufzug nutzen [T]</t>
  </si>
  <si>
    <t xml:space="preserve">MF-M19-R2</t>
  </si>
  <si>
    <t xml:space="preserve">[5.59 Triebwerksraum frei von aufzugsfremden Einrichtungen (Lager, Leitungen, Geräte Dritter)?] ist beantwortet</t>
  </si>
  <si>
    <t xml:space="preserve">Fehlender Not-Halt im zusätzlichen Rollenraum
Faktor: Gefährdung durch unbeabsichtigtes Betätigen von Befehlsgebern
Betroffen: Wartungspersonal
Bewertungslogik: Vorrang – es gilt die zutreffende Regel mit der HÖCHSTEN PRIORITÄT (so wirken Kompensationen); bei gleicher Priorität die höhere Stufe.
Bewertet, wenn: [4.7a Zusätzlicher Rollenraum vorhanden?] = Ja
Pflichtfragen: 5.24</t>
  </si>
  <si>
    <t xml:space="preserve">EN 81-80: Nr. 16 (5.5.9)
DIN EN 81-20 5.2.6.4.5
DIN EN 81-20 5.12.1.11
TRBS 3121 Anh. 1 Nr. 7 (Stoppeinrichtungen in Grube und Rollenraum)</t>
  </si>
  <si>
    <t xml:space="preserve">MF-M20-R1</t>
  </si>
  <si>
    <t xml:space="preserve">[5.24 Notbremsschalter im zusätzlichen Rollenraum vorhanden?] = Nein</t>
  </si>
  <si>
    <t xml:space="preserve">• Arbeiten im Rollenraum nur bei freigeschalteter und gegen Wiedereinschalten gesicherter Anlage [O]</t>
  </si>
  <si>
    <t xml:space="preserve">• Notbremsschalter (Stoppeinrichtung) im Rollenraum nachrüsten (DIN EN 81-20 5.12.1.11) [T]</t>
  </si>
  <si>
    <t xml:space="preserve">Blaupause Schindler M049 (f132 Rollenraum). [Prüfbericht: B13 – Maßnahme auf den Rollenraum bezogen]
Evidenz: abgeleitet</t>
  </si>
  <si>
    <t xml:space="preserve">MF-M20-R2</t>
  </si>
  <si>
    <t xml:space="preserve">[5.24 Notbremsschalter im zusätzlichen Rollenraum vorhanden?] ist beantwortet</t>
  </si>
  <si>
    <t xml:space="preserve">MF-T01</t>
  </si>
  <si>
    <t xml:space="preserve">Unsichere Verriegelung der Schachttüren
Faktor: Mechanische Gefährdung durch Absturz in den Schacht
Betroffen: Nutzer
Bewertungslogik: Höchste Stufe – alle zutreffenden Regeln zählen, maßgeblich ist die HÖCHSTE STUFE; Maßnahmen aller Treffer werden übernommen.
Bewertet, wenn: immer
Pflichtfragen: 7.1, 7.2</t>
  </si>
  <si>
    <t xml:space="preserve">EN 81-80: Nr. 31 (5.7.7), Nr. 33 (5.7.8.2)
DIN EN 81-20 5.3.9.1
TRBS 3121 Anh. 1 Nr. 11 (Schachttürverriegelung)</t>
  </si>
  <si>
    <t xml:space="preserve">MF-T01-R1</t>
  </si>
  <si>
    <t xml:space="preserve">[7.1 Schachttürverriegelung vom Sicherheitskreis elektrisch überwacht?] = Nein</t>
  </si>
  <si>
    <t xml:space="preserve">• Aufzug ausschalten und sichern [O]</t>
  </si>
  <si>
    <t xml:space="preserve">• Ersatz aller Schachttür-Verriegelungen durch normgerechte Verriegelungen [T]</t>
  </si>
  <si>
    <t xml:space="preserve">MF-T01-R2</t>
  </si>
  <si>
    <t xml:space="preserve">[7.2 Fehlschließsicherung / Nachschließeinrichtung an den Schachttüren vorhanden?] = Nein</t>
  </si>
  <si>
    <t xml:space="preserve">• Schließ- und Verriegelungsfunktion aller Schachttüren prüfen; Beauftragte Person auf offen stehende Schachttüren hinweisen [O]</t>
  </si>
  <si>
    <t xml:space="preserve">• Riegel mit Fehlschließeinrichtung nachrüsten [T]</t>
  </si>
  <si>
    <t xml:space="preserve">MF-T01-R3</t>
  </si>
  <si>
    <t xml:space="preserve">[7.1 Schachttürverriegelung vom Sicherheitskreis elektrisch überwacht?] ist beantwortet</t>
  </si>
  <si>
    <t xml:space="preserve">MF-T02</t>
  </si>
  <si>
    <t xml:space="preserve">Fehlende oder schlecht erreichbare Notentriegelung der Schachttüren
Faktor: Sonstige Gefährdung durch fehlende oder unzureichende Notfallorganisation
Betroffen: Nutzer, Beauftragte Person
Bewertungslogik: Höchste Stufe – alle zutreffenden Regeln zählen, maßgeblich ist die HÖCHSTE STUFE; Maßnahmen aller Treffer werden übernommen.
Bewertet, wenn: immer
Pflichtfragen: 7.5, 7.6, 7.7 (wenn [7.5] = Ja)</t>
  </si>
  <si>
    <t xml:space="preserve">EN 81-80: Nr. 32 (5.7.8.1)
DIN EN 81-20 5.3.9.3
TRBS 3121 Anh. 1 Nr. 11 (Schachttürverriegelung)</t>
  </si>
  <si>
    <t xml:space="preserve">MF-T02-R1</t>
  </si>
  <si>
    <t xml:space="preserve">[7.6 Passender Entriegelungsschlüssel (Dreikant) für die Personenbefreiung vor Ort hinterlegt?] = Nein</t>
  </si>
  <si>
    <t xml:space="preserve">• Entriegelungsschlüssel beschaffen und an der Anlage (Schlüsseltresor) hinterlegen [O]</t>
  </si>
  <si>
    <t xml:space="preserve">• Schlüsselverwaltung für die Personenbefreiung in der Betriebsanweisung regeln [O]</t>
  </si>
  <si>
    <t xml:space="preserve">MF-T02-R2</t>
  </si>
  <si>
    <t xml:space="preserve">[7.5 Notentriegelung an allen Schachttüren vorhanden?] = Nein</t>
  </si>
  <si>
    <t xml:space="preserve">• Personenbefreiung bis zur Nachrüstung nur durch das Aufzugsfachunternehmen; betroffene Haltestellen im Notfallplan kennzeichnen [O]</t>
  </si>
  <si>
    <t xml:space="preserve">• Notentriegelungen nachrüsten [T]</t>
  </si>
  <si>
    <t xml:space="preserve">[Prüfbericht: H11 – Sofortmaßnahme ergänzt] Frühere Klärung (vor der Änderung entschieden): K-K06</t>
  </si>
  <si>
    <t xml:space="preserve">MF-T02-R3</t>
  </si>
  <si>
    <t xml:space="preserve">[7.7 Notentriegelung erreichbar (max. 2,00 m über Boden im Türblatt bzw. 2,70 m im Rahmen mit langem Schlüssel)?] = Nein</t>
  </si>
  <si>
    <t xml:space="preserve">• Leiter/Tritt für die Personenbefreiung bereithalten, Beauftragte unterweisen [O]</t>
  </si>
  <si>
    <t xml:space="preserve">• Notentriegelung in erreichbarer Höhe (max. 2,00 m) nachrüsten oder langen Entriegelungsschlüssel hinterlegen [T]</t>
  </si>
  <si>
    <t xml:space="preserve">MF-T02-R4</t>
  </si>
  <si>
    <t xml:space="preserve">[7.5 Notentriegelung an allen Schachttüren vorhanden?] ist beantwortet</t>
  </si>
  <si>
    <t xml:space="preserve">MF-T03</t>
  </si>
  <si>
    <t xml:space="preserve">Schachttüren nicht selbstschließend
Faktor: Mechanische Gefährdung durch Absturz in den Schacht
Betroffen: Nutzer
Bewertungslogik: Höchste Stufe – alle zutreffenden Regeln zählen, maßgeblich ist die HÖCHSTE STUFE; Maßnahmen aller Treffer werden übernommen.
Bewertet, wenn: immer
Pflichtfragen: 7.3, 7.4</t>
  </si>
  <si>
    <t xml:space="preserve">EN 81-80: Nr. 34 (5.7.9)
DIN EN 81-20 5.3.9.3.4
TRBS 3121 Anh. 1 Nr. 12 (Selbstschließung von Schiebetüren)</t>
  </si>
  <si>
    <t xml:space="preserve">MF-T03-R1</t>
  </si>
  <si>
    <t xml:space="preserve">[7.4 Schließt die Schachttür nach einer Notentriegelung selbsttätig?] = Nein</t>
  </si>
  <si>
    <t xml:space="preserve">• Nach jeder Notentriegelung Schachttür von Hand schließen und Verriegelung prüfen; Personenbefreiung nur durch unterwiesene Personen [O]</t>
  </si>
  <si>
    <t xml:space="preserve">• Schachttür umrüsten [T]</t>
  </si>
  <si>
    <t xml:space="preserve">MF-T03-R2</t>
  </si>
  <si>
    <t xml:space="preserve">[7.3 Schachttüren selbstschließend (Feder oder Gewicht)?] = Nein</t>
  </si>
  <si>
    <t xml:space="preserve">• Schachttüren nach jeder Personenbefreiung auf Schließ- und Verriegelungsstellung prüfen; Beauftragte Person entsprechend unterweisen [O]</t>
  </si>
  <si>
    <t xml:space="preserve">• Selbstschließung nachrüsten [T]</t>
  </si>
  <si>
    <t xml:space="preserve">MF-T03-R3</t>
  </si>
  <si>
    <t xml:space="preserve">[7.3 Schachttüren selbstschließend (Feder oder Gewicht)?] ist beantwortet</t>
  </si>
  <si>
    <t xml:space="preserve">Ungeeignetes Glas oder fehlender Einzugsschutz an Türen mit Glas
Faktor: Mechanische Gefährdung durch Bruch von Bauteilen und Einziehen an Glastüren
Betroffen: Nutzer
Bewertungslogik: Höchste Stufe – alle zutreffenden Regeln zählen, maßgeblich ist die HÖCHSTE STUFE; Maßnahmen aller Treffer werden übernommen.
Bewertet, wenn: ([4.1 Schachttüren mit Glas?] = Ja ODER [4.3 Fahrkorbtüren mit Glas?] = Ja)
Pflichtfragen: 7.8, 7.9, 7.8a, 7.9a, 7.10 (wenn [7.9a] = Ja)
Prüfbericht 20.09.2026: Der Nutzerkreis „Kinder" (4.12) war hier als Modifikator geführt, ohne in einer Regel vorzukommen. Er ist entfernt – der Schutz gegen das Einziehen von Kinderhänden (EN 81-20 5.3.5.3.7) gilt an kraftbetätigten Glas-Schiebetüren unabhängig davon, ob Kinder erwartet werden, und wird deshalb ohne Abschlag mit Hoch bewertet.</t>
  </si>
  <si>
    <t xml:space="preserve">EN 81-80: Nr. 25 (5.7.1), Nr. 27 (5.7.3), Nr. 28 (5.7.4)
DIN EN 81-20 5.3.5.3.5
DIN EN 81-20 5.3.5.3.6
DIN EN 81-20 5.3.5.3.7
TRBS 3121 Anh. 1 Nr. 9 (Glas und Sichtfenster in Schachttüren)
TRBS 3121 Anh. 1 Nr. 10 (Schutz an kraftbetätigten Türen)</t>
  </si>
  <si>
    <t xml:space="preserve">MF-T04-R5</t>
  </si>
  <si>
    <t xml:space="preserve">[7.8 Glaseinsätze in Schacht-/Fahrkorbtüren aus normgerechtem Glas (Verbundsicherheitsglas nach EN 81-20 5.3.5.3)?] = Nein
UND [7.9 Drahtglas (Gitterglas) verbaut?] = Nein</t>
  </si>
  <si>
    <t xml:space="preserve">• Anlage zur Gefahrenabwehr abschalten! [O]</t>
  </si>
  <si>
    <t xml:space="preserve">• Normgerechtes Glas (z.B. VSG) einbauen oder verschließen und Anwesenheitsanzeige nachrüsten. [T]</t>
  </si>
  <si>
    <t xml:space="preserve">[Prüfbericht: B06 – Drahtglas ausgenommen, damit die Niedrig-Regel (TRBS 3121 Anh. 1 Nr. 9) greift]</t>
  </si>
  <si>
    <t xml:space="preserve">MF-T04-R6</t>
  </si>
  <si>
    <t xml:space="preserve">[7.8a Glaseinsatz beschädigt, lose oder nicht sicher befestigt?] = Ja</t>
  </si>
  <si>
    <t xml:space="preserve">[Prüfbericht: B06 – neu: beschädigtes oder loses Glas unabhängig von der Glasart Hoch]</t>
  </si>
  <si>
    <t xml:space="preserve">MF-T04-R7</t>
  </si>
  <si>
    <t xml:space="preserve">[7.9a Verglaste Türen als kraftbetätigte Schiebetüren ausgeführt?] = Ja
UND [7.10 Schutz gegen Einziehen von Kinderhänden an Glas-Schiebetüren vorhanden (Sensorleiste, Abstand, Beschichtung)?] = Nein</t>
  </si>
  <si>
    <t xml:space="preserve">• Aufzug nur für eingeschränkten Personenkreis freigeben und für sonstigen Personentransport sperren [O]</t>
  </si>
  <si>
    <t xml:space="preserve">• Schutzmaßnahme gegen Einzug von Kinderhänden nachrüsten [T]</t>
  </si>
  <si>
    <t xml:space="preserve">[Prüfbericht: Prüfbericht 16.09.2026 – Einzugsschutz nur bei kraftbetätigten Schiebetüren; Glasfestigkeit getrennt]</t>
  </si>
  <si>
    <t xml:space="preserve">MF-T04-R3</t>
  </si>
  <si>
    <t xml:space="preserve">[7.9 Drahtglas (Gitterglas) verbaut?] = Ja</t>
  </si>
  <si>
    <t xml:space="preserve">• Häufige Kontrolle durch Aufzugswärter [O]</t>
  </si>
  <si>
    <t xml:space="preserve">TRBS 3121 Anh. 1 Nr. 9: Risiko bei intaktem, sicher befestigtem Drahtglas ausdrücklich niedrig (App K9: gelb). Entschieden 2026-09-02: K-T01. [Freigabe bezog sich auf einen früheren Stand (Regel, abhängige Fragen oder Gefährdungslogik geändert) – neu prüfen]</t>
  </si>
  <si>
    <t xml:space="preserve">MF-T04-R4</t>
  </si>
  <si>
    <t xml:space="preserve">[7.8 Glaseinsätze in Schacht-/Fahrkorbtüren aus normgerechtem Glas (Verbundsicherheitsglas nach EN 81-20 5.3.5.3)?] ist beantwortet</t>
  </si>
  <si>
    <t xml:space="preserve">MF-T05</t>
  </si>
  <si>
    <t xml:space="preserve">Unzureichende Feuerwiderstandsfähigkeit der Schachttüren
Faktor: Brand- und Explosionsgefährdung
Betroffen: Nutzer
Bewertungslogik: Höchste Stufe – alle zutreffenden Regeln zählen, maßgeblich ist die HÖCHSTE STUFE; Maßnahmen aller Treffer werden übernommen.
Bewertet, wenn: [7.11 Feuerwiderstandsfähigkeit der Schachttüren (EN 81-58 / bauaufsichtliche Anforderung)] ≠ „Nicht gefordert (kein Brandschutzerfordernis)"
Pflichtfragen: 7.11</t>
  </si>
  <si>
    <t xml:space="preserve">EN 81-80: Nr. 36 (5.7.11)
DIN EN 81-58
DIN EN 81-20 5.3.1.2</t>
  </si>
  <si>
    <t xml:space="preserve">2 von 3 offen</t>
  </si>
  <si>
    <t xml:space="preserve">MF-T05-R1</t>
  </si>
  <si>
    <t xml:space="preserve">[7.11 Feuerwiderstandsfähigkeit der Schachttüren (EN 81-58 / bauaufsichtliche Anforderung)] = „Gefordert, aber nicht gegeben"</t>
  </si>
  <si>
    <t xml:space="preserve">• Betreiber informieren; Abstimmung mit Brandschutzkonzept / Bauaufsicht [O]</t>
  </si>
  <si>
    <t xml:space="preserve">• Schachttüren mit nachgewiesener Feuerwiderstandsfähigkeit (EN 81-58) einbauen [T]</t>
  </si>
  <si>
    <t xml:space="preserve">MF-T05-R2</t>
  </si>
  <si>
    <t xml:space="preserve">[7.11 Feuerwiderstandsfähigkeit der Schachttüren (EN 81-58 / bauaufsichtliche Anforderung)] = „Unbekannt / kein Nachweis"</t>
  </si>
  <si>
    <t xml:space="preserve">• Nachweis (Zertifikat, Baugenehmigung) beim Betreiber anfordern [O]</t>
  </si>
  <si>
    <t xml:space="preserve">• Feuerwiderstandsanforderung aus dem Brandschutzkonzept klären und dokumentieren [O]</t>
  </si>
  <si>
    <t xml:space="preserve">Entschieden 2026-09-02: K-K07.
Evidenz: abgeleitet</t>
  </si>
  <si>
    <t xml:space="preserve">MF-T05-R3</t>
  </si>
  <si>
    <t xml:space="preserve">[7.11 Feuerwiderstandsfähigkeit der Schachttüren (EN 81-58 / bauaufsichtliche Anforderung)] ist beantwortet</t>
  </si>
  <si>
    <t xml:space="preserve">Fahrkorb ohne Abschlusstür oder ohne Schließkantensicherung
Faktor: Mechanische Gefährdung durch bewegte Teile (Quetschen, Scheren, Einziehen)
Betroffen: Nutzer
Bewertungslogik: Vorrang – es gilt die zutreffende Regel mit der HÖCHSTEN PRIORITÄT (so wirken Kompensationen); bei gleicher Priorität die höhere Stufe.
Bewertet, wenn: immer
Pflichtfragen: 8.6, 8.9 (wenn [8.6] = Nein), 8.9a (wenn [8.6] = Nein), 8.9b (wenn ([8.6] = Nein UND ([8.9] = Ja ODER [8.9a] = Ja))), 2.1 (wenn ([8.6] = Nein UND ([8.9] = Ja ODER [8.9a] = Ja))), 8.8 (wenn ([8.6] = Ja UND [8.7] = Ja)), 8.7 (wenn [8.6] = Ja), 4.9, 4.12</t>
  </si>
  <si>
    <t xml:space="preserve">EN 81-80: Nr. 25 (5.7.1), Nr. 30 (5.7.6), Nr. 40 (5.8.3)
DIN EN 81-20 5.3
DIN EN 81-20 5.3.6
TRBS 3121 Anh. 1 Nr. 10 (Schutz an kraftbetätigten Türen)
TRBS 3121 Anh. 1 Nr. 14 (Fahrkorbabschlusstüren)</t>
  </si>
  <si>
    <t xml:space="preserve">10 von 11 offen</t>
  </si>
  <si>
    <t xml:space="preserve">MF-T06-R1</t>
  </si>
  <si>
    <t xml:space="preserve">[8.6 Fahrkorbabschlusstür vorhanden?] = Nein
UND [8.9 Ohne Fahrkorbtür: Sicherheitslichtgitter vorhanden?] = Nein
UND [8.9a Ohne Fahrkorbtür: Scherengitter vorhanden?] = Nein</t>
  </si>
  <si>
    <t xml:space="preserve">• Aufzug für Personentransport sperren [O]</t>
  </si>
  <si>
    <t xml:space="preserve">• Fahrkorbtür nachrüsten (ein Sicherheitslichtgitter genügt nur bei Lastenaufzügen mit ausschließlich eingewiesenem Nutzerkreis, TRBS 3121 Anh. 1 Nr. 14 c) [T]</t>
  </si>
  <si>
    <t xml:space="preserve">[Prüfbericht: Prüfbericht 16.09.2026 – Lichtgitter-Alternative auf den zulässigen Fall begrenzt]</t>
  </si>
  <si>
    <t xml:space="preserve">MF-T06-R2</t>
  </si>
  <si>
    <t xml:space="preserve">[8.6 Fahrkorbabschlusstür vorhanden?] = Nein
UND ([4.9 Nutzung durch Personen mit eingeschränkter Mobilität (Rollstuhl, Rollator, Sehbehinderung) zu erwarten?] = Ja ODER [4.12 Nutzung durch unbeaufsichtigte Kinder zu erwarten (Schule, Kita, Wohnanlage)?] = Ja)</t>
  </si>
  <si>
    <t xml:space="preserve">• Ohne weitere Schließkantensicherung für Personentransport sperren [O]</t>
  </si>
  <si>
    <t xml:space="preserve">• Kabinentür nachrüsten [T]</t>
  </si>
  <si>
    <t xml:space="preserve">Entschieden 2026-09-02: K-K09. [Freigabe bezog sich auf einen früheren Stand (Regel, abhängige Fragen oder Gefährdungslogik geändert) – neu prüfen]
Evidenz: abgeleitet</t>
  </si>
  <si>
    <t xml:space="preserve">MF-T06-R13</t>
  </si>
  <si>
    <t xml:space="preserve">[8.6 Fahrkorbabschlusstür vorhanden?] = Ja
UND [8.8 Schließkantensicherung der Fahrkorbtür] = „Keine Schließkantensicherung"
UND ([4.9 Nutzung durch Personen mit eingeschränkter Mobilität (Rollstuhl, Rollator, Sehbehinderung) zu erwarten?] = Ja ODER [4.12 Nutzung durch unbeaufsichtigte Kinder zu erwarten (Schule, Kita, Wohnanlage)?] = Ja)</t>
  </si>
  <si>
    <t xml:space="preserve">• Lichtgitter nachrüsten [T]</t>
  </si>
  <si>
    <t xml:space="preserve">Folgerichtig zur Einzel-Lichtschranke: fehlt die Schließkantensicherung ganz, darf die Stufe nicht günstiger sein. Prüfbericht 20.09.2026: Nutzerkreis Kinder wirkt hier wie bei fehlender Fahrkorbtür (MF-T06-R2). [Prüfbericht: Prüfbericht 16.09.2026 – neu: keine Schließkantensicherung bei mobilitätseingeschränkten Nutzern Hoch]
Evidenz: abgeleitet</t>
  </si>
  <si>
    <t xml:space="preserve">offen – geändert (Rev. 1)</t>
  </si>
  <si>
    <t xml:space="preserve">MF-T06-R14</t>
  </si>
  <si>
    <t xml:space="preserve">[8.6 Fahrkorbabschlusstür vorhanden?] = Ja
UND [8.8 Schließkantensicherung der Fahrkorbtür] = „Einzel-Lichtschranke mit Kraftbegrenzung 150 N / 10 J (ältere Ausführung)"
UND ([4.9 Nutzung durch Personen mit eingeschränkter Mobilität (Rollstuhl, Rollator, Sehbehinderung) zu erwarten?] = Ja ODER [4.12 Nutzung durch unbeaufsichtigte Kinder zu erwarten (Schule, Kita, Wohnanlage)?] = Ja)</t>
  </si>
  <si>
    <t xml:space="preserve">TRBS 3121 Anh. 1 Nr. 10: 150 N + Lichtschranke + 10 J = Mittel, ausdrücklich NICHT bei behinderten, alten oder gebrechlichen Personen. Entschieden 2026-09-02: K-T02.
Evidenz: abgeleitet</t>
  </si>
  <si>
    <t xml:space="preserve">MF-T06-R9</t>
  </si>
  <si>
    <t xml:space="preserve">[8.6 Fahrkorbabschlusstür vorhanden?] = Nein
UND [8.9a Ohne Fahrkorbtür: Scherengitter vorhanden?] = Ja
UND ([8.9b Ohne Fahrkorbtür: Lastenaufzug, der ausschließlich von eingewiesenen Personen benutzt wird (Einweisung dokumentiert)?] = Ja UND [2.1 Nutzungsart der Anlage] ist eines von „Lastenaufzug mit Personenbegleitung" / „Güteraufzug ohne Personenbeförderung")</t>
  </si>
  <si>
    <t xml:space="preserve">• Aufzug nur für unterwiesene Personen freigeben und für sonstigen Personentransport sperren [O]</t>
  </si>
  <si>
    <t xml:space="preserve">[Prüfbericht: Prüfbericht 16.09.2026 – Scherengitter nur mit derselben Voraussetzung wie das Lichtgitter]
Evidenz: abgeleitet</t>
  </si>
  <si>
    <t xml:space="preserve">MF-T06-R10</t>
  </si>
  <si>
    <t xml:space="preserve">[8.6 Fahrkorbabschlusstür vorhanden?] = Nein
UND [8.9 Ohne Fahrkorbtür: Sicherheitslichtgitter vorhanden?] = Ja
UND ([8.9b Ohne Fahrkorbtür: Lastenaufzug, der ausschließlich von eingewiesenen Personen benutzt wird (Einweisung dokumentiert)?] = Ja UND [2.1 Nutzungsart der Anlage] ist eines von „Lastenaufzug mit Personenbegleitung" / „Güteraufzug ohne Personenbeförderung")</t>
  </si>
  <si>
    <t xml:space="preserve">[Prüfbericht: B07 – Kompensation nur bei Lastenaufzug mit ausschließlich eingewiesenen Personen]</t>
  </si>
  <si>
    <t xml:space="preserve">MF-T06-R5</t>
  </si>
  <si>
    <t xml:space="preserve">[8.6 Fahrkorbabschlusstür vorhanden?] = Ja
UND [8.8 Schließkantensicherung der Fahrkorbtür] = „Keine Schließkantensicherung"</t>
  </si>
  <si>
    <t xml:space="preserve">MF-T06-R7</t>
  </si>
  <si>
    <t xml:space="preserve">[8.6 Fahrkorbabschlusstür vorhanden?] = Ja
UND [8.8 Schließkantensicherung der Fahrkorbtür] = „Einzel-Lichtschranke mit Kraftbegrenzung 150 N / 10 J (ältere Ausführung)"</t>
  </si>
  <si>
    <t xml:space="preserve">TRBS 3121 Anh. 1 Nr. 10: ausdrücklich mittleres Risiko. Entschieden 2026-09-02: K-T02. [Freigabe bezog sich auf einen früheren Stand (Regel, abhängige Fragen oder Gefährdungslogik geändert) – neu prüfen]</t>
  </si>
  <si>
    <t xml:space="preserve">MF-T06-R15</t>
  </si>
  <si>
    <t xml:space="preserve">[8.6 Fahrkorbabschlusstür vorhanden?] = Ja
UND [8.8 Schließkantensicherung der Fahrkorbtür] = „Andere Schließkantensicherung (Bauart dokumentieren)"</t>
  </si>
  <si>
    <t xml:space="preserve">• Bauart der Schließkantensicherung im Bericht benennen und ihre Wirkung beim Schließvorgang erproben [O]</t>
  </si>
  <si>
    <t xml:space="preserve">• Wirksamkeit der Schließkantensicherung nachweisen (Kraft- und Energiemessung nach EN 81-20 5.3.6.2.2) oder Lichtgitter nachrüsten [T]</t>
  </si>
  <si>
    <t xml:space="preserve">Prüfbericht 20.09.2026: „Andere" war eine Auffangoption ohne Prüfkriterium und damit ohne Bewertung. Jetzt Niedrig mit Nachweispflicht.
Evidenz: abgeleitet</t>
  </si>
  <si>
    <t xml:space="preserve">MF-T06-R11</t>
  </si>
  <si>
    <t xml:space="preserve">[8.6 Fahrkorbabschlusstür vorhanden?] = Nein
UND ([8.9 Ohne Fahrkorbtür: Sicherheitslichtgitter vorhanden?] = Ja ODER [8.9a Ohne Fahrkorbtür: Scherengitter vorhanden?] = Ja)</t>
  </si>
  <si>
    <t xml:space="preserve">• Aufzug für die Personenbeförderung durch nicht eingewiesene Personen sperren [O]</t>
  </si>
  <si>
    <t xml:space="preserve">• Fahrkorbtür nachrüsten (Lichtgitter oder Scherengitter genügen nur bei Lastenaufzügen mit ausschließlich eingewiesenem Nutzerkreis) [T]</t>
  </si>
  <si>
    <t xml:space="preserve">[Prüfbericht: B07/Prüfbericht 16.09.2026 – Ersatzlösung ohne diese Voraussetzung ist keine zulässige Kompensation]</t>
  </si>
  <si>
    <t xml:space="preserve">MF-T06-R8</t>
  </si>
  <si>
    <t xml:space="preserve">[8.6 Fahrkorbabschlusstür vorhanden?] ist beantwortet</t>
  </si>
  <si>
    <t xml:space="preserve">MF-K01</t>
  </si>
  <si>
    <t xml:space="preserve">Fehlende oder unzulängliche Notrufeinrichtung im Fahrkorb
Faktor: Sonstige Gefährdung durch fehlende oder unzureichende Notfallorganisation
Betroffen: Nutzer, Beauftragte Person
Bewertungslogik: Höchste Stufe – alle zutreffenden Regeln zählen, maßgeblich ist die HÖCHSTE STUFE; Maßnahmen aller Treffer werden übernommen.
Bewertet, wenn: immer
Pflichtfragen: 8.1, 8.2 (wenn [8.1] = Ja), 8.3 (wenn [8.2] ist eines von „Sprechverbindung zu ständig besetzter Stelle" / „Klingel zu ständig besetzter Stelle")</t>
  </si>
  <si>
    <t xml:space="preserve">EN 81-80: Nr. 71 (5.14.3)
DIN EN 81-20 5.12.3
DIN EN 81-28
BetrSichV Anh. 1 Nr. 4.1</t>
  </si>
  <si>
    <t xml:space="preserve">MF-K01-R1</t>
  </si>
  <si>
    <t xml:space="preserve">[8.1 Notrufeinrichtung im Fahrkorb vorhanden?] = Nein</t>
  </si>
  <si>
    <t xml:space="preserve">• Notrufsystem mit Sprechverbindung installieren [T]</t>
  </si>
  <si>
    <t xml:space="preserve">MF-K01-R7</t>
  </si>
  <si>
    <t xml:space="preserve">[8.2 Art der Notrufeinrichtung] ist eines von „Klingel im Schacht ohne Weiterleitung" / „Sprechverbindung oder Klingel zu nicht ständig besetzter Stelle" / „Klingel zu ständig besetzter Stelle"</t>
  </si>
  <si>
    <t xml:space="preserve">Prüfbericht 20.09.2026: drei wortgleiche Einzelregeln (Klingel im Schacht, nicht ständig besetzt, Klingel zu ständig besetzter Stelle) zu einer zusammengefasst – alle verlangen dieselbe Maßnahme (Sprechverbindung nach EN 81-28).</t>
  </si>
  <si>
    <t xml:space="preserve">MF-K01-R5</t>
  </si>
  <si>
    <t xml:space="preserve">[8.3 Nachweis: Notruf auf eine rund um die Uhr besetzte Stelle aufgeschaltet (Aufschaltbestätigung, Testruf)?] = Nein</t>
  </si>
  <si>
    <t xml:space="preserve">• Betreiber informieren; Erreichbarkeit der Notrufstelle außerhalb der Betriebszeiten regeln [O]</t>
  </si>
  <si>
    <t xml:space="preserve">• Notruf auf einen 24 h besetzten Notrufdienst (EN 81-28) aufschalten [T]</t>
  </si>
  <si>
    <t xml:space="preserve">Entschieden 2026-09-02: K-K01. [Freigabe bezog sich auf einen früheren Stand (Regel, abhängige Fragen oder Gefährdungslogik geändert) – neu prüfen]
Evidenz: abgeleitet</t>
  </si>
  <si>
    <t xml:space="preserve">MF-K01-R6</t>
  </si>
  <si>
    <t xml:space="preserve">[8.1 Notrufeinrichtung im Fahrkorb vorhanden?] ist beantwortet</t>
  </si>
  <si>
    <t xml:space="preserve">MF-K02</t>
  </si>
  <si>
    <t xml:space="preserve">Fehlende oder unzulängliche Notbeleuchtung im Fahrkorb
Faktor: Gefährdung durch Arbeitsumgebungsbedingungen (unzureichende Beleuchtung)
Betroffen: Nutzer
Bewertungslogik: Vorrang – es gilt die zutreffende Regel mit der HÖCHSTEN PRIORITÄT (so wirken Kompensationen); bei gleicher Priorität die höhere Stufe.
Bewertet, wenn: immer
Pflichtfragen: 8.5</t>
  </si>
  <si>
    <t xml:space="preserve">EN 81-80: Nr. 46 (5.8.8.2)
DIN EN 81-20 5.4.10.4</t>
  </si>
  <si>
    <t xml:space="preserve">MF-K02-R1</t>
  </si>
  <si>
    <t xml:space="preserve">[8.5 Notbeleuchtung im Fahrkorb] = „Keine Notbeleuchtung"</t>
  </si>
  <si>
    <t xml:space="preserve">• Betreiber informieren; Verhalten bei Stromausfall im Notfallplan festlegen und Notbeleuchtung kurzfristig nachrüsten lassen [O]</t>
  </si>
  <si>
    <t xml:space="preserve">• Beleuchtung nachrüsten [T]</t>
  </si>
  <si>
    <t xml:space="preserve">[Prüfbericht 16.09.2026: konkrete Sofortmaßnahme statt „Vorsicht“] Frühere Klärung (vor der Änderung entschieden): K-K02</t>
  </si>
  <si>
    <t xml:space="preserve">MF-K02-R2</t>
  </si>
  <si>
    <t xml:space="preserve">[8.5 Notbeleuchtung im Fahrkorb] = „Keine Notbeleuchtung, aber beleuchteter Notruftaster"</t>
  </si>
  <si>
    <t xml:space="preserve">• Beleuchtung des Notruftasters bei Netzausfall prüfen; Verhalten bei Stromausfall im Notfallplan festlegen [O]</t>
  </si>
  <si>
    <t xml:space="preserve">• Notbeleuchtung nach DIN EN 81-20 5.4.10.4 nachrüsten (mind. 5 lx am Notrufauslöser, 1 h) [T]</t>
  </si>
  <si>
    <t xml:space="preserve">App K10: Leuchte ohne Netzersatzfunktion, jedoch beleuchteter Notruf-Taster = grün. [Prüfbericht: Prüfbericht 16.09.2026 – Tasterbeleuchtung ersetzt keine Notbeleuchtung: Niedrig statt Kein Risiko]
Evidenz: abgeleitet</t>
  </si>
  <si>
    <t xml:space="preserve">MF-K02-R3</t>
  </si>
  <si>
    <t xml:space="preserve">[8.5 Notbeleuchtung im Fahrkorb] ist beantwortet</t>
  </si>
  <si>
    <t xml:space="preserve">MF-K03</t>
  </si>
  <si>
    <t xml:space="preserve">Unzureichende Haltegenauigkeit / Stufenbildung an den Haltestellen
Faktor: Mechanische Gefährdung durch Stolpern, Rutschen, Stürzen
Betroffen: Nutzer
Bewertungslogik: Vorrang – es gilt die zutreffende Regel mit der HÖCHSTEN PRIORITÄT (so wirken Kompensationen); bei gleicher Priorität die höhere Stufe.
Bewertet, wenn: immer
Pflichtfragen: 8.10, 4.9</t>
  </si>
  <si>
    <t xml:space="preserve">EN 81-80: Nr. 3 (5.2.2)
DIN EN 81-20 5.12.1.1.4
TRBS 3121 Anh. 1 Nr. 1 (Anhalte- und Nachregulierungsgenauigkeit)</t>
  </si>
  <si>
    <t xml:space="preserve">MF-K03-R1</t>
  </si>
  <si>
    <t xml:space="preserve">[8.10 Größte Stufenbildung / Haltegenauigkeit an den Haltestellen] ist eines von „über 20 mm"</t>
  </si>
  <si>
    <t xml:space="preserve">• Motorregelung oder andere technische Maßnahme nachrüsten [T]</t>
  </si>
  <si>
    <t xml:space="preserve">MF-K03-R2</t>
  </si>
  <si>
    <t xml:space="preserve">[8.10 Größte Stufenbildung / Haltegenauigkeit an den Haltestellen] ist eines von „11–20 mm" / „über 20 mm"
UND [4.9 Nutzung durch Personen mit eingeschränkter Mobilität (Rollstuhl, Rollator, Sehbehinderung) zu erwarten?] = Ja</t>
  </si>
  <si>
    <t xml:space="preserve">Entschieden 2026-09-02: K-K03. [Freigabe bezog sich auf einen früheren Stand (Regel, abhängige Fragen oder Gefährdungslogik geändert) – neu prüfen]
Evidenz: abgeleitet</t>
  </si>
  <si>
    <t xml:space="preserve">offen – geändert (Rev. 4)</t>
  </si>
  <si>
    <t xml:space="preserve">MF-K03-R3</t>
  </si>
  <si>
    <t xml:space="preserve">[8.10 Größte Stufenbildung / Haltegenauigkeit an den Haltestellen] ist eines von „11–20 mm" / „über 20 mm"</t>
  </si>
  <si>
    <t xml:space="preserve">• Aufzug/Bremse/Motorregelung einstellen [O]</t>
  </si>
  <si>
    <t xml:space="preserve">• Haltegenauigkeit auf ±10 mm und Nachregulierung auf ±20 mm herstellen (geregelter Antrieb, Nachstelleinrichtung bzw. geregeltes Ventil) [T]</t>
  </si>
  <si>
    <t xml:space="preserve">Entscheidung 02.09.2026: kein Warnhinweis als Kompensation, bleibt Mittel. [Prüfbericht: H11 – mittelfristige Maßnahme ergänzt] Frühere Klärung (vor der Änderung entschieden): K-K10</t>
  </si>
  <si>
    <t xml:space="preserve">MF-K03-R4</t>
  </si>
  <si>
    <t xml:space="preserve">[8.10 Größte Stufenbildung / Haltegenauigkeit an den Haltestellen] ist beantwortet</t>
  </si>
  <si>
    <t xml:space="preserve">MF-K04</t>
  </si>
  <si>
    <t xml:space="preserve">Unzureichende Fahrkorbtürschürze
Faktor: Mechanische Gefährdung durch Absturz in den Schacht
Betroffen: Nutzer, Wartungspersonal
Bewertungslogik: Vorrang – es gilt die zutreffende Regel mit der HÖCHSTEN PRIORITÄT (so wirken Kompensationen); bei gleicher Priorität die höhere Stufe.
Bewertet, wenn: immer
Pflichtfragen: 8.12, 8.13 (wenn [8.12] ist eines von „unter 300 mm oder keine Schürze")</t>
  </si>
  <si>
    <t xml:space="preserve">EN 81-80: Nr. 39 (5.8.2)
DIN EN 81-20 5.4.5
TRBS 3121 Anh. 1 Nr. 13 (Fahrkorbschürze)</t>
  </si>
  <si>
    <t xml:space="preserve">MF-K04-R1</t>
  </si>
  <si>
    <t xml:space="preserve">[8.12 Fahrkorbtürschürze] ist eines von „unter 300 mm oder keine Schürze"
UND [8.13 Personenbefreiung ausschließlich durch fachkundige Personen (Betriebsanweisung, keine Selbstbefreiung durch Aufzugswärter)?] = Ja</t>
  </si>
  <si>
    <t xml:space="preserve">• Personenbefreiung nur durch fachkundige Personen und nur mit dem Fahrkorb in der Entriegelungszone; Schachtöffnung unter dem Fahrkorb sichern [O]</t>
  </si>
  <si>
    <t xml:space="preserve">• Kabinentürschürze nachrüsten [T]</t>
  </si>
  <si>
    <t xml:space="preserve">MF-K04-R2</t>
  </si>
  <si>
    <t xml:space="preserve">[8.12 Fahrkorbtürschürze] ist eines von „unter 300 mm oder keine Schürze"</t>
  </si>
  <si>
    <t xml:space="preserve">MF-K04-R3</t>
  </si>
  <si>
    <t xml:space="preserve">[8.12 Fahrkorbtürschürze] ist eines von „300–749 mm" / „unter 300 mm oder keine Schürze"</t>
  </si>
  <si>
    <t xml:space="preserve">MF-K04-R4</t>
  </si>
  <si>
    <t xml:space="preserve">[8.12 Fahrkorbtürschürze] ist beantwortet</t>
  </si>
  <si>
    <t xml:space="preserve">Zu großer Abstand zwischen Fahrkorbschwelle und Schachtwand
Faktor: Mechanische Gefährdung durch Absturz in den Schacht
Betroffen: Nutzer
Bewertungslogik: Vorrang – es gilt die zutreffende Regel mit der HÖCHSTEN PRIORITÄT (so wirken Kompensationen); bei gleicher Priorität die höhere Stufe.
Bewertet, wenn: immer
Pflichtfragen: 8.14, 4.12 (wenn [8.14] = Ja), 8.15 (wenn [8.14] = Ja), 8.15a (wenn [8.14] = Ja)</t>
  </si>
  <si>
    <t xml:space="preserve">EN 81-80: Nr. 37 (5.7.12), Nr. 59 (5.11.2)
DIN EN 81-20 5.2.5.3.1
TRBS 3121 Anh. 1 Nr. 19 (Verriegelung der Fahrkorbtür bei großem Schachtwandabstand)</t>
  </si>
  <si>
    <t xml:space="preserve">MF-K05-R1</t>
  </si>
  <si>
    <t xml:space="preserve">[8.14 Abstand Fahrkorbschwelle – Schachtwand über 150 mm?] = Ja
UND [8.15 Fahrkorbtür-Verriegelung (Fahrkorbtür außerhalb der Entriegelungszone verriegelt)?] = Ja
UND [8.15a Zusatzverriegelung an den Schachttüren vorhanden?] = Ja</t>
  </si>
  <si>
    <t xml:space="preserve">Entscheidung 02.09.2026: Kein Risiko nur mit Fahrkorbtür-Verriegelung UND Zusatzverriegelung an der Schachttür. Entschieden 2026-09-02: K-K04. [Freigabe bezog sich auf einen früheren Stand (Regel, abhängige Fragen oder Gefährdungslogik geändert) – neu prüfen]</t>
  </si>
  <si>
    <t xml:space="preserve">MF-K05-R4</t>
  </si>
  <si>
    <t xml:space="preserve">[8.14 Abstand Fahrkorbschwelle – Schachtwand über 150 mm?] = Ja
UND (([8.15 Fahrkorbtür-Verriegelung (Fahrkorbtür außerhalb der Entriegelungszone verriegelt)?] = Ja UND [8.15a Zusatzverriegelung an den Schachttüren vorhanden?] = Nein) ODER ([8.15 Fahrkorbtür-Verriegelung (Fahrkorbtür außerhalb der Entriegelungszone verriegelt)?] = Nein UND [8.15a Zusatzverriegelung an den Schachttüren vorhanden?] = Ja))</t>
  </si>
  <si>
    <t xml:space="preserve">• Nutzer über die Absturzgefahr bei Selbstbefreiung unterweisen [O]</t>
  </si>
  <si>
    <t xml:space="preserve">• Zweite Maßnahme (Fahrkorbtür-Verriegelung bzw. Zusatzverriegelung der Schachttüren) bei der nächsten Modernisierung ergänzen [T]</t>
  </si>
  <si>
    <t xml:space="preserve">TRBS 3121 Anh. 1 Nr. 19 ist mit einer der Alternativen a) oder b) erfüllt. EIGENER STANDARD (strenger): Kein Risiko erst mit beiden Maßnahmen (K-K04). [Prüfbericht: Prüfbericht 16.09.2026 – TRBS-Alternative und eigener Standard getrennt]
Evidenz: abgeleitet</t>
  </si>
  <si>
    <t xml:space="preserve">MF-K05-R5</t>
  </si>
  <si>
    <t xml:space="preserve">[8.14 Abstand Fahrkorbschwelle – Schachtwand über 150 mm?] = Ja
UND [4.12 Nutzung durch unbeaufsichtigte Kinder zu erwarten (Schule, Kita, Wohnanlage)?] = Ja</t>
  </si>
  <si>
    <t xml:space="preserve">• Nutzer über die Absturzgefahr bei Selbstbefreiung unterweisen; Personenbefreiung nur durch fachkundige Personen [O]</t>
  </si>
  <si>
    <t xml:space="preserve">• Fahrkorbtür-Verriegelung außerhalb der Entriegelungszone oder Zusatzverriegelung an den Schachttüren nachrüsten oder Abstand auf unter 150 mm reduzieren [T]</t>
  </si>
  <si>
    <t xml:space="preserve">EIGENER STANDARD (strenger als TRBS 3121 Anh. 1 Nr. 19, dort bis Mittel): Hoch bei Nutzung durch Kinder. [Prüfbericht: Prüfbericht 16.09.2026 – neu: Nutzerkreis Kinder]
Evidenz: abgeleitet</t>
  </si>
  <si>
    <t xml:space="preserve">MF-K05-R2</t>
  </si>
  <si>
    <t xml:space="preserve">[8.14 Abstand Fahrkorbschwelle – Schachtwand über 150 mm?] = Ja</t>
  </si>
  <si>
    <t xml:space="preserve">TRBS 3121 Anh. 1 Nr. 19: bei Altanlagen niedrig bis mittel je nach Benutzerkreis. [Prüfbericht: Prüfbericht 16.09.2026 – Hoch auf Mittel; Hoch nur bei Nutzung durch Kinder]</t>
  </si>
  <si>
    <t xml:space="preserve">MF-K05-R3</t>
  </si>
  <si>
    <t xml:space="preserve">[8.14 Abstand Fahrkorbschwelle – Schachtwand über 150 mm?] ist beantwortet</t>
  </si>
  <si>
    <t xml:space="preserve">MF-K06</t>
  </si>
  <si>
    <t xml:space="preserve">Fehlende Kennzeichnung der Nennlast, unpassende Nutzfläche oder fehlende Überlastkontrolle
Faktor: Mechanische Gefährdung durch Überlastung und unkontrollierte Bewegung
Betroffen: Nutzer
Bewertungslogik: Höchste Stufe – alle zutreffenden Regeln zählen, maßgeblich ist die HÖCHSTE STUFE; Maßnahmen aller Treffer werden übernommen.
Bewertet, wenn: immer
Pflichtfragen: 8.16, 8.17, 8.18, 8.18a (wenn [8.18] = Ja), 2.1</t>
  </si>
  <si>
    <t xml:space="preserve">EN 81-80: Nr. 38 (5.8.1), Nr. 73 (5.14.5)
DIN EN 81-20 5.4.2
DIN EN 81-20 5.12.1.2</t>
  </si>
  <si>
    <t xml:space="preserve">5 von 6 offen</t>
  </si>
  <si>
    <t xml:space="preserve">MF-K06-R1</t>
  </si>
  <si>
    <t xml:space="preserve">[8.17 Nutzfläche des Fahrkorbs passt zur Nennlast (Tabelle EN 81-20 5.4.2)?] = Nein</t>
  </si>
  <si>
    <t xml:space="preserve">• Beladung begrenzen und Nutzer unterweisen, Personenbeförderung einschränken [O]</t>
  </si>
  <si>
    <t xml:space="preserve">• Nutzfläche verkleinern oder Nennlast anpassen und die Anlage neu bewerten lassen [T]</t>
  </si>
  <si>
    <t xml:space="preserve">MF-K06-R2</t>
  </si>
  <si>
    <t xml:space="preserve">[8.18 Überlastkontrolle / Lastmessung vorhanden?] = Nein
UND [2.1 Nutzungsart der Anlage] ist eines von „Lastenaufzug mit Personenbegleitung" / „Güteraufzug ohne Personenbeförderung" / „Personen- und Lastenaufzug"</t>
  </si>
  <si>
    <t xml:space="preserve">• Überlastsicherung nachrüsten [T]</t>
  </si>
  <si>
    <t xml:space="preserve">MF-K06-R3</t>
  </si>
  <si>
    <t xml:space="preserve">[8.18 Überlastkontrolle / Lastmessung vorhanden?] = Nein</t>
  </si>
  <si>
    <t xml:space="preserve">• Beladung organisatorisch begrenzen und überwachen [O]</t>
  </si>
  <si>
    <t xml:space="preserve">• Überlasteinrichtung nachrüsten [T]</t>
  </si>
  <si>
    <t xml:space="preserve">MF-K06-R4</t>
  </si>
  <si>
    <t xml:space="preserve">[8.16 Nennlast und zulässige Personenzahl im Fahrkorb gekennzeichnet?] = Nein</t>
  </si>
  <si>
    <t xml:space="preserve">• Kennzeichnung provisorisch anbringen und Nutzer unterweisen [O]</t>
  </si>
  <si>
    <t xml:space="preserve">• Dauerhafte Kennzeichnung von Nennlast und zulässiger Personenzahl im Fahrkorb anbringen [O]</t>
  </si>
  <si>
    <t xml:space="preserve">MF-K06-R5</t>
  </si>
  <si>
    <t xml:space="preserve">[8.18a Funktion der Überlastkontrolle nachweislich geprüft?] = Nein</t>
  </si>
  <si>
    <t xml:space="preserve">• Funktion der Überlastkontrolle prüfen lassen [O]</t>
  </si>
  <si>
    <t xml:space="preserve">• Überlastkontrolle in die wiederkehrende Prüfung aufnehmen und dokumentieren [O]</t>
  </si>
  <si>
    <t xml:space="preserve">Entschieden 2026-09-02: K-K05.</t>
  </si>
  <si>
    <t xml:space="preserve">MF-K06-R6</t>
  </si>
  <si>
    <t xml:space="preserve">[8.16 Nennlast und zulässige Personenzahl im Fahrkorb gekennzeichnet?] ist beantwortet</t>
  </si>
  <si>
    <t xml:space="preserve">MF-K07</t>
  </si>
  <si>
    <t xml:space="preserve">Unzureichende Lüftung des Fahrkorbs
Faktor: Gefährdung durch Arbeitsumgebungsbedingungen (Klima, Lärm, Emissionen)
Betroffen: Nutzer
Bewertungslogik: Vorrang – es gilt die zutreffende Regel mit der HÖCHSTEN PRIORITÄT (so wirken Kompensationen); bei gleicher Priorität die höhere Stufe.
Bewertet, wenn: immer
Pflichtfragen: 8.19</t>
  </si>
  <si>
    <t xml:space="preserve">EN 81-80: Nr. 44 (5.8.7)
DIN EN 81-20 5.4.9</t>
  </si>
  <si>
    <t xml:space="preserve">MF-K07-R1</t>
  </si>
  <si>
    <t xml:space="preserve">[8.19 Lüftung des Fahrkorbs] = „Lüftungsöffnungen fehlen oder unzureichend"</t>
  </si>
  <si>
    <t xml:space="preserve">• Aufenthaltsdauer begrenzen und Notbefreiung sicherstellen [O]</t>
  </si>
  <si>
    <t xml:space="preserve">• Lüftungsöffnungen nach DIN EN 81-20, 5.4.9 herstellen [T]</t>
  </si>
  <si>
    <t xml:space="preserve">MF-K07-R2</t>
  </si>
  <si>
    <t xml:space="preserve">[8.19 Lüftung des Fahrkorbs] = „Lüftungsöffnungen teilweise verdeckt oder verschmutzt"</t>
  </si>
  <si>
    <t xml:space="preserve">• Öffnungen freimachen und reinigen [O]</t>
  </si>
  <si>
    <t xml:space="preserve">• Reinigung der Lüftungsöffnungen in den Wartungsplan aufnehmen [O]</t>
  </si>
  <si>
    <t xml:space="preserve">MF-K07-R3</t>
  </si>
  <si>
    <t xml:space="preserve">[8.19 Lüftung des Fahrkorbs] = „Keine Zwangsbelüftung bei langen Fahrzeiten / hoher Belegung"</t>
  </si>
  <si>
    <t xml:space="preserve">• Belegung und Fahrzeiten beobachten [O]</t>
  </si>
  <si>
    <t xml:space="preserve">• Zwangsbelüftung des Fahrkorbs nachrüsten [T]</t>
  </si>
  <si>
    <t xml:space="preserve">MF-K07-R4</t>
  </si>
  <si>
    <t xml:space="preserve">[8.19 Lüftung des Fahrkorbs] ist beantwortet</t>
  </si>
  <si>
    <t xml:space="preserve">MF-K08</t>
  </si>
  <si>
    <t xml:space="preserve">Fehlende Brandfallsteuerung trotz Anforderung im Brandschutzkonzept
Faktor: Brand- und Explosionsgefährdung
Betroffen: Nutzer, Feuerwehr
Bewertungslogik: Höchste Stufe – alle zutreffenden Regeln zählen, maßgeblich ist die HÖCHSTE STUFE; Maßnahmen aller Treffer werden übernommen.
Bewertet, wenn: [4.11 Fordert das Brandschutzkonzept des Gebäudes eine Brandfallsteuerung?] = Ja
Pflichtfragen: 8.21, 8.21b (wenn [8.21] = Ja), 8.21a (wenn [8.21] = Ja)</t>
  </si>
  <si>
    <t xml:space="preserve">EN 81-80: Nr. 5 (5.4)
DIN EN 81-73
TRBS 3121 Anh. 4</t>
  </si>
  <si>
    <t xml:space="preserve">MF-K08-R1</t>
  </si>
  <si>
    <t xml:space="preserve">[8.21 Brandfallsteuerung vorhanden?] = Nein</t>
  </si>
  <si>
    <t xml:space="preserve">• Betreiber und Brandschutzbeauftragten informieren, Ersatzmaßnahmen festlegen [O]</t>
  </si>
  <si>
    <t xml:space="preserve">• Brandfallsteuerung nach DIN EN 81-73 nachrüsten [T]</t>
  </si>
  <si>
    <t xml:space="preserve">MF-K08-R4</t>
  </si>
  <si>
    <t xml:space="preserve">[8.21b Auslösung der Brandfallsteuerung] = „Nur manuell (Schlüsselschalter, Taster, Feuerwehr)"</t>
  </si>
  <si>
    <t xml:space="preserve">• Feuerwehr und Brandschutzbeauftragten über die nur manuelle Auslösung informieren; Auslösestelle kennzeichnen [O]</t>
  </si>
  <si>
    <t xml:space="preserve">• Ansteuerung der Brandfallsteuerung aus der Brandmeldeanlage nach DIN EN 81-73 herstellen [T]</t>
  </si>
  <si>
    <t xml:space="preserve">Prüfbericht 20.09.2026: aus der bisherigen Doppelfrage 8.21 herausgelöst – fehlt nur die Einbindung, ist nicht die ganze Brandfallsteuerung nachzurüsten.
Evidenz: abgeleitet</t>
  </si>
  <si>
    <t xml:space="preserve">MF-K08-R5</t>
  </si>
  <si>
    <t xml:space="preserve">[8.21b Auslösung der Brandfallsteuerung] = „Einbindung in das Brandschutzkonzept unbekannt"</t>
  </si>
  <si>
    <t xml:space="preserve">• Einbindung des Aufzugs in das Brandschutzkonzept beim Betreiber klären [O]</t>
  </si>
  <si>
    <t xml:space="preserve">• Brandschutzkonzept und Ansteuerung dokumentieren und in die Prüfung aufnehmen [O]</t>
  </si>
  <si>
    <t xml:space="preserve">Entspricht dem Istzustand „Einbindung des Aufzugs in das Brandschutzkonzept unbekannt" der VFA-/Riedl-Vorlage.
Evidenz: abgeleitet</t>
  </si>
  <si>
    <t xml:space="preserve">MF-K08-R2</t>
  </si>
  <si>
    <t xml:space="preserve">[8.21a Funktion der Brandfallsteuerung regelmäßig geprüft (Nachweis der Wartung/Prüfung der Aufzugsanlage)?] = Nein</t>
  </si>
  <si>
    <t xml:space="preserve">• Funktionsprüfung veranlassen [O]</t>
  </si>
  <si>
    <t xml:space="preserve">• Funktionsprüfung in Wartung und wiederkehrende Prüfung aufnehmen [O]</t>
  </si>
  <si>
    <t xml:space="preserve">MF-K08-R3</t>
  </si>
  <si>
    <t xml:space="preserve">[8.21 Brandfallsteuerung vorhanden?] ist beantwortet</t>
  </si>
  <si>
    <t xml:space="preserve">MF-K09</t>
  </si>
  <si>
    <t xml:space="preserve">Fehlender Hinweis „Aufzug im Brandfall nicht benutzen"
Faktor: Brand- und Explosionsgefährdung
Betroffen: Nutzer
Bewertungslogik: Vorrang – es gilt die zutreffende Regel mit der HÖCHSTEN PRIORITÄT (so wirken Kompensationen); bei gleicher Priorität die höhere Stufe.
Bewertet, wenn: immer
Pflichtfragen: 8.20</t>
  </si>
  <si>
    <t xml:space="preserve">EN 81-80: Nr. 5 (5.4)
DIN EN 81-73 5.3
DIN EN 81-20 7.2</t>
  </si>
  <si>
    <t xml:space="preserve">MF-K09-R1</t>
  </si>
  <si>
    <t xml:space="preserve">[8.20 Hinweisschild „Aufzug im Brandfall nicht benutzen" an allen Haltestellen vorhanden und lesbar?] = Nein</t>
  </si>
  <si>
    <t xml:space="preserve">• Provisorischen Hinweis an den Haltestellen anbringen [O]</t>
  </si>
  <si>
    <t xml:space="preserve">• Dauerhafte Beschilderung an allen Haltestellen anbringen [O]</t>
  </si>
  <si>
    <t xml:space="preserve">MF-K09-R2</t>
  </si>
  <si>
    <t xml:space="preserve">[8.20 Hinweisschild „Aufzug im Brandfall nicht benutzen" an allen Haltestellen vorhanden und lesbar?] ist beantwortet</t>
  </si>
  <si>
    <t xml:space="preserve">Eingeschränkte Zugänglichkeit für Personen mit eingeschränkter Mobilität
Faktor: Mechanische Gefährdung durch Stolpern, Rutschen, Stürzen
Betroffen: Nutzer
Bewertungslogik: Höchste Stufe – alle zutreffenden Regeln zählen, maßgeblich ist die HÖCHSTE STUFE; Maßnahmen aller Treffer werden übernommen.
Bewertet, wenn: ([4.9 Nutzung durch Personen mit eingeschränkter Mobilität (Rollstuhl, Rollator, Sehbehinderung) zu erwarten?] = Ja ODER [4.9a Barrierefreie Ausführung gefordert (Baugenehmigung, Nutzungskonzept, öffentlich zugängliches Gebäude)?] = Ja)
Pflichtfragen: 8.22, 8.23 (wenn [8.22] = Nein), 8.24 (wenn [8.22] = Nein)</t>
  </si>
  <si>
    <t xml:space="preserve">EN 81-80: Nr. 2 (5.2.1)
DIN EN 81-70</t>
  </si>
  <si>
    <t xml:space="preserve">MF-K10-R1</t>
  </si>
  <si>
    <t xml:space="preserve">[8.24 Fahrkorbabmessungen für Rollstuhlnutzung ausreichend (mind. 1,00 m × 1,25 m, Fahrkorbtyp 1 nach DIN EN 81-70:2022-12)?] = Nein</t>
  </si>
  <si>
    <t xml:space="preserve">• Alternative barrierefreie Zugangsmöglichkeit festlegen und ausschildern [O]</t>
  </si>
  <si>
    <t xml:space="preserve">• Umbau oder Ersatz der Anlage prüfen [O]</t>
  </si>
  <si>
    <t xml:space="preserve">MF-K10-R2</t>
  </si>
  <si>
    <t xml:space="preserve">[8.22 Anlage nach DIN EN 81-70 barrierefrei ausgeführt?] = Nein</t>
  </si>
  <si>
    <t xml:space="preserve">• Betreiber auf die fehlende barrierefreie Ausführung hinweisen; alternative Zugangsmöglichkeit benennen [O]</t>
  </si>
  <si>
    <t xml:space="preserve">• Nachrüstung nach DIN EN 81-70 prüfen (Bedienelemente, Handlauf, Spiegel, akustische Ansage) [O]</t>
  </si>
  <si>
    <t xml:space="preserve">Prüfbericht 20.09.2026: Sofortmaßnahme („Bündigkeit und Türoffenhaltezeit prüfen") passte nicht zur Frage; 8.23/8.24 sind jetzt Teilaspekte von 8.22.</t>
  </si>
  <si>
    <t xml:space="preserve">MF-K10-R3</t>
  </si>
  <si>
    <t xml:space="preserve">[8.23 Bedienelemente in erreichbarer Höhe und ertastbar?] = Nein</t>
  </si>
  <si>
    <t xml:space="preserve">• Nutzer unterweisen und Hilfestellung organisieren [O]</t>
  </si>
  <si>
    <t xml:space="preserve">• Bedienelemente nach DIN EN 81-70 versetzen oder ersetzen [T]</t>
  </si>
  <si>
    <t xml:space="preserve">MF-K10-R4</t>
  </si>
  <si>
    <t xml:space="preserve">[8.22 Anlage nach DIN EN 81-70 barrierefrei ausgeführt?] ist beantwortet</t>
  </si>
  <si>
    <t xml:space="preserve">Beschädigte Fahrkorbausstattung / Vandalismus
Faktor: Mechanische Gefährdung durch Bruch von Bauteilen und Einziehen an Glastüren
Betroffen: Nutzer
Bewertungslogik: Höchste Stufe – alle zutreffenden Regeln zählen, maßgeblich ist die HÖCHSTE STUFE; Maßnahmen aller Treffer werden übernommen.
Bewertet, wenn: immer
Pflichtfragen: 8.25, 8.26, 8.26a (wenn [8.26] = Ja)</t>
  </si>
  <si>
    <t xml:space="preserve">EN 81-80: Nr. 4 (5.3)
DIN EN 81-71</t>
  </si>
  <si>
    <t xml:space="preserve">MF-K11-R1</t>
  </si>
  <si>
    <t xml:space="preserve">[8.25 Zustand der Fahrkorbausstattung] = „Beschädigt mit unmittelbarer Gefährdung (freiliegende Elektrik, gebrochenes Glas, defekter Notruf)"</t>
  </si>
  <si>
    <t xml:space="preserve">• Instandsetzung veranlassen und Anlage vor Wiederinbetriebnahme prüfen [O]</t>
  </si>
  <si>
    <t xml:space="preserve">MF-K11-R2</t>
  </si>
  <si>
    <t xml:space="preserve">[8.25 Zustand der Fahrkorbausstattung] = „Beschädigt ohne unmittelbare Gefährdung (Tableau, Spiegel, Verkleidung)"</t>
  </si>
  <si>
    <t xml:space="preserve">• Scharfe Kanten und lose Teile sichern [O]</t>
  </si>
  <si>
    <t xml:space="preserve">• Beschädigte Bauteile instand setzen oder ersetzen [T]</t>
  </si>
  <si>
    <t xml:space="preserve">MF-K11-R3</t>
  </si>
  <si>
    <t xml:space="preserve">[8.26 Wiederholte Vandalismusschäden?] = Ja
UND [8.26a Vandalismussichere Ausführung nach DIN EN 81-71?] = Nein</t>
  </si>
  <si>
    <t xml:space="preserve">• Schäden zeitnah beseitigen und dokumentieren [O]</t>
  </si>
  <si>
    <t xml:space="preserve">• Vandalismusgeschützte Ausstattung nach DIN EN 81-71 nachrüsten; weitere Maßnahmen (z. B. Zugangsregelung) erst nach Ursachenanalyse und Verhältnismäßigkeitsprüfung [T]</t>
  </si>
  <si>
    <t xml:space="preserve">[Prüfbericht: H16 – Videoüberwachung nicht mehr als pauschale Abhilfe]</t>
  </si>
  <si>
    <t xml:space="preserve">MF-K11-R4</t>
  </si>
  <si>
    <t xml:space="preserve">[8.25 Zustand der Fahrkorbausstattung] ist beantwortet</t>
  </si>
  <si>
    <t xml:space="preserve">MF-K12</t>
  </si>
  <si>
    <t xml:space="preserve">Fehlender Schutz gegen unbeabsichtigte Fahrkorbbewegung bei offenen Türen (UCM)
Faktor: Mechanische Gefährdung durch unkontrollierte Bewegung bei geöffneten Türen
Betroffen: Nutzer
Bewertungslogik: Vorrang – es gilt die zutreffende Regel mit der HÖCHSTEN PRIORITÄT (so wirken Kompensationen); bei gleicher Priorität die höhere Stufe.
Bewertet, wenn: immer
Pflichtfragen: 4.5, 8.27 (wenn ([4.5] = Nein UND NICHT [3.1] ist eines von „Hydraulikaufzug" / „Seil-Hydraulikaufzug (indirekt)")), 6.2 (wenn [3.1] ist eines von „Seil-/Riemenaufzug (Treibscheibe)" / „Trommel- oder Kettenaufzug"), 6.2a (wenn [6.2] = Ja), 4.6 (wenn [3.1] ist eines von „Seil-/Riemenaufzug (Treibscheibe)" / „Trommel- oder Kettenaufzug"), 3.1</t>
  </si>
  <si>
    <t xml:space="preserve">EN 81-80: im Bestandskatalog (organisatorisch)
DIN EN 81-20 5.6.7
DIN EN 81-20 5.9.2.2.2
TRBS 3121 Anh. 1 Nr. 16 (UCM und Aufwärts-Übergeschwindigkeit bei Seilaufzügen)</t>
  </si>
  <si>
    <t xml:space="preserve">MF-K12-R1</t>
  </si>
  <si>
    <t xml:space="preserve">[4.5 UCM-Schutz (unbeabsichtigte Fahrkorbbewegung, A3 / EN 81-20 5.6.7) vorhanden?] = Nein
UND ([8.27 Türüberbrückung (SR-Modul) für Nachregulieren / Voraböffnen mit offener Tür vorhanden?] = Ja ODER [3.1 Aufzugsart] ist eines von „Hydraulikaufzug" / „Seil-Hydraulikaufzug (indirekt)")</t>
  </si>
  <si>
    <t xml:space="preserve">• Voraböffnen und Nachregulieren mit offener Tür prüfen; Beauftragte Person und Nutzer auf Stolper- und Schergefahr an der Schwelle hinweisen [O]</t>
  </si>
  <si>
    <t xml:space="preserve">• UCM-Schutz nach DIN EN 81-20 5.6.7 nachrüsten; Ausbau der Türüberbrückung nur nach anlagenspezifischer Prüfung (Haltegenauigkeit, Nachregulierung) [T]</t>
  </si>
  <si>
    <t xml:space="preserve">Entscheidung 02.09.2026: Hydraulikaufzug hat immer eine Türüberbrückung (Nachregulieren bei Druckverlust) – ohne UCM daher Hoch wie bei Seilaufzügen mit SR-Modul. [Prüfbericht: H11 – Sofortmaßnahme ergänzt; Prüfbericht 16.09.2026 – Ausbau der Türüberbrückung keine Standardalternative] Frühere Klärung (vor der Änderung entschieden): K-K12</t>
  </si>
  <si>
    <t xml:space="preserve">MF-K12-R2</t>
  </si>
  <si>
    <t xml:space="preserve">[4.5 UCM-Schutz (unbeabsichtigte Fahrkorbbewegung, A3 / EN 81-20 5.6.7) vorhanden?] = Nein
UND [8.27 Türüberbrückung (SR-Modul) für Nachregulieren / Voraböffnen mit offener Tür vorhanden?] = Nein
UND [6.2 Zweikreisbremse (redundante Betriebsbremse) vorhanden?] = Ja
UND [6.2a Bremse elektrisch überwacht (Bremskontrollschalter)?] = Ja
UND [4.6 Antriebswelle statisch bestimmt gelagert (keine 3-Punkt-Lagerung)?] = Ja</t>
  </si>
  <si>
    <t xml:space="preserve">• Bremsüberwachung und Bremsprüfung im Wartungsumfang halten [O]</t>
  </si>
  <si>
    <t xml:space="preserve">• Bei Steuerungs- oder Antriebsmodernisierung UCM-Schutz nach EN 81-20 5.6.7 vorsehen [T]</t>
  </si>
  <si>
    <t xml:space="preserve">Entschieden 2026-09-02: K-K08. [Freigabe bezog sich auf einen früheren Stand (Regel, abhängige Fragen oder Gefährdungslogik geändert) – neu prüfen]</t>
  </si>
  <si>
    <t xml:space="preserve">MF-K12-R3</t>
  </si>
  <si>
    <t xml:space="preserve">[4.5 UCM-Schutz (unbeabsichtigte Fahrkorbbewegung, A3 / EN 81-20 5.6.7) vorhanden?] = Nein
UND [8.27 Türüberbrückung (SR-Modul) für Nachregulieren / Voraböffnen mit offener Tür vorhanden?] = Nein
UND [6.2 Zweikreisbremse (redundante Betriebsbremse) vorhanden?] = Ja
UND [4.6 Antriebswelle statisch bestimmt gelagert (keine 3-Punkt-Lagerung)?] = Ja</t>
  </si>
  <si>
    <t xml:space="preserve">TRBS 3121 Anh. 1 Nr. 16: statisch bestimmte Lagerung und Zweikreisbremse (ohne Überwachung) ausdrücklich mittleres Risiko. [Prüfbericht: H11 – Sofortmaßnahme ergänzt] Frühere Klärung (vor der Änderung entschieden): K-K11</t>
  </si>
  <si>
    <t xml:space="preserve">MF-K12-R4</t>
  </si>
  <si>
    <t xml:space="preserve">[4.5 UCM-Schutz (unbeabsichtigte Fahrkorbbewegung, A3 / EN 81-20 5.6.7) vorhanden?] = Nein</t>
  </si>
  <si>
    <t xml:space="preserve">• Regelmäßige Kontrolle durch beauftragte Person [O]</t>
  </si>
  <si>
    <t xml:space="preserve">• UCM-Schutz nach DIN EN 81-20 5.6.7 nachrüsten (baumustergeprüft, zur Anlage passend); eine überwachte Zweikreisbremse allein senkt das Risiko, ersetzt den UCM-Schutz aber nicht [T]</t>
  </si>
  <si>
    <t xml:space="preserve">[Prüfbericht: H05 – Maßnahme präzisiert]</t>
  </si>
  <si>
    <t xml:space="preserve">MF-K12-R5</t>
  </si>
  <si>
    <t xml:space="preserve">[4.5 UCM-Schutz (unbeabsichtigte Fahrkorbbewegung, A3 / EN 81-20 5.6.7) vorhanden?] ist beantwortet</t>
  </si>
  <si>
    <t xml:space="preserve">MF-K13</t>
  </si>
  <si>
    <t xml:space="preserve">Fehlender Schutz gegen Übergeschwindigkeit aufwärts / Sturz nach oben
Faktor: Mechanische Gefährdung durch Beschleunigung und Abbremsung (kinetische Energie)
Betroffen: Nutzer
Bewertungslogik: Vorrang – es gilt die zutreffende Regel mit der HÖCHSTEN PRIORITÄT (so wirken Kompensationen); bei gleicher Priorität die höhere Stufe.
Bewertet, wenn: ([3.1 Aufzugsart] ist eines von „Seil-/Riemenaufzug (Treibscheibe)" / „Trommel- oder Kettenaufzug" UND [3.1b Gegengewicht oder Ausgleichsgewicht vorhanden?] = Ja)
Pflichtfragen: 8.28</t>
  </si>
  <si>
    <t xml:space="preserve">EN 81-80: Nr. 52 (5.9.4)
DIN EN 81-20 5.6.6
TRBS 3121 Anh. 1 Nr. 16 (UCM und Aufwärts-Übergeschwindigkeit bei Seilaufzügen)</t>
  </si>
  <si>
    <t xml:space="preserve">MF-K13-R1</t>
  </si>
  <si>
    <t xml:space="preserve">[8.28 Schutz gegen Übergeschwindigkeit aufwärts / Sturz nach oben] = „Nicht verhindert"</t>
  </si>
  <si>
    <t xml:space="preserve">• Bremse, Treibfähigkeit und Tragmittel bei jeder Wartung prüfen; Arbeiten im Schachtkopf nur bei gegen Bewegung gesichertem Fahrkorb [O]</t>
  </si>
  <si>
    <t xml:space="preserve">• Schutzeinrichtung gegen Übergeschwindigkeit aufwärts nachrüsten (z. B. Fangvorrichtung am Gegengewicht, Seil- oder Treibscheibenbremse), baumustergeprüft und zur Anlage passend [T]</t>
  </si>
  <si>
    <t xml:space="preserve">[Prüfbericht: H05 – sachfremde Sofortmaßnahme (Ultraschall) ersetzt]</t>
  </si>
  <si>
    <t xml:space="preserve">MF-K13-R2</t>
  </si>
  <si>
    <t xml:space="preserve">[8.28 Schutz gegen Übergeschwindigkeit aufwärts / Sturz nach oben] ist beantwortet</t>
  </si>
  <si>
    <t xml:space="preserve">MF-K14</t>
  </si>
  <si>
    <t xml:space="preserve">Statisch unbestimmt gelagerte Antriebswelle (3-Punkt-Lagerung)
Faktor: Mechanische Gefährdung durch Beschleunigung und Abbremsung (kinetische Energie)
Betroffen: Nutzer
Bewertungslogik: Vorrang – es gilt die zutreffende Regel mit der HÖCHSTEN PRIORITÄT (so wirken Kompensationen); bei gleicher Priorität die höhere Stufe.
Bewertet, wenn: [3.1 Aufzugsart] ist eines von „Seil-/Riemenaufzug (Treibscheibe)" / „Trommel- oder Kettenaufzug"
Pflichtfragen: 4.6, 8.28 (wenn ([3.1] ist eines von „Seil-/Riemenaufzug (Treibscheibe)" / „Trommel- oder Kettenaufzug" UND [3.1b] = Ja))</t>
  </si>
  <si>
    <t xml:space="preserve">EN 81-80: im Bestandskatalog (organisatorisch)
DIN EN 81-20 5.9.2.2.2
TRBS 3121 Anh. 1 Nr. 16 (UCM und Aufwärts-Übergeschwindigkeit bei Seilaufzügen)</t>
  </si>
  <si>
    <t xml:space="preserve">MF-K14-R1</t>
  </si>
  <si>
    <t xml:space="preserve">[4.6 Antriebswelle statisch bestimmt gelagert (keine 3-Punkt-Lagerung)?] = Nein
UND [8.28 Schutz gegen Übergeschwindigkeit aufwärts / Sturz nach oben] = „Aktive Maßnahme (Notbremssystem / SAFÜ auf Seil oder Treibscheibe)"</t>
  </si>
  <si>
    <t xml:space="preserve">• Schutzmaßnahmen (SAFÜ/Notbremse) weiterhin aufrechterhalten und prüfen [O]</t>
  </si>
  <si>
    <t xml:space="preserve">• Bei Modernisierung des Antriebs statisch bestimmte Lagerung vorsehen [T]</t>
  </si>
  <si>
    <t xml:space="preserve">Blaupause Schindler M004: 3-Punkt-Lagerung mit SAFÜ = Niedrig (DIRECT belegt).
Evidenz: abgeleitet</t>
  </si>
  <si>
    <t xml:space="preserve">MF-K14-R2</t>
  </si>
  <si>
    <t xml:space="preserve">[4.6 Antriebswelle statisch bestimmt gelagert (keine 3-Punkt-Lagerung)?] = Nein</t>
  </si>
  <si>
    <t xml:space="preserve">• Regelmäßige Materialprüfung (z.B. Ultraschall) [O]</t>
  </si>
  <si>
    <t xml:space="preserve">• Antrieb mit statisch bestimmter Lagerung einbauen oder Maschinenrahmen umbauen; bis dahin Schutz gegen Übergeschwindigkeit aufwärts / Sturz nach oben nachrüsten [T]</t>
  </si>
  <si>
    <t xml:space="preserve">[Prüfbericht: H05 – UCM ist keine Abhilfe gegen Wellenbruch]</t>
  </si>
  <si>
    <t xml:space="preserve">MF-K14-R3</t>
  </si>
  <si>
    <t xml:space="preserve">[4.6 Antriebswelle statisch bestimmt gelagert (keine 3-Punkt-Lagerung)?] ist beantwortet</t>
  </si>
  <si>
    <t xml:space="preserve">MF-F01</t>
  </si>
  <si>
    <t xml:space="preserve">Fehlende oder unzureichende Absturzsicherung auf dem Fahrkorbdach
Faktor: Mechanische Gefährdung durch Absturz in den Schacht
Betroffen: Wartungspersonal
Bewertungslogik: Höchste Stufe – alle zutreffenden Regeln zählen, maßgeblich ist die HÖCHSTE STUFE; Maßnahmen aller Treffer werden übernommen.
Bewertet, wenn: immer
Pflichtfragen: 9.1, 9.2 (wenn [9.1] ist eines von „301–500 mm" / „501–850 mm" / „über 850 mm"), 9.3 (wenn [9.2] = Ja), 9.4</t>
  </si>
  <si>
    <t xml:space="preserve">EN 81-80: Nr. 43 (5.8.6), Nr. 58 (5.11.1)
DIN EN 81-20 5.4.7.3
DIN EN 81-20 5.4.7.4
TRBS 3121 Anh. 1 Nr. 15 (Fahrkorbdachumwehrung)</t>
  </si>
  <si>
    <t xml:space="preserve">MF-F01-R1</t>
  </si>
  <si>
    <t xml:space="preserve">[9.1 Größter horizontaler Abstand Fahrkorbdachkante – Schachtwand] ist eines von „301–500 mm" / „501–850 mm" / „über 850 mm"
UND [9.2 Geländer auf dem Fahrkorbdach vorhanden?] = Nein</t>
  </si>
  <si>
    <t xml:space="preserve">• Rückhalte- oder Absturzsicherungssystem verwenden [O]</t>
  </si>
  <si>
    <t xml:space="preserve">• Geländer nachrüsten bzw. erhöhen [T]</t>
  </si>
  <si>
    <t xml:space="preserve">Entschieden 2026-09-02: K-F02. [Freigabe bezog sich auf einen früheren Stand (Regel, abhängige Fragen oder Gefährdungslogik geändert) – neu prüfen]</t>
  </si>
  <si>
    <t xml:space="preserve">MF-F01-R2</t>
  </si>
  <si>
    <t xml:space="preserve">[9.1 Größter horizontaler Abstand Fahrkorbdachkante – Schachtwand] ist eines von „301–500 mm" / „501–850 mm" / „über 850 mm"
UND [9.2 Geländer auf dem Fahrkorbdach vorhanden?] = Ja
UND [9.3 Geländerhöhe auf dem Fahrkorbdach] ist eines von „unter 700 mm"</t>
  </si>
  <si>
    <t xml:space="preserve">MF-F01-R3</t>
  </si>
  <si>
    <t xml:space="preserve">[9.1 Größter horizontaler Abstand Fahrkorbdachkante – Schachtwand] ist eines von „über 850 mm"
UND [9.2 Geländer auf dem Fahrkorbdach vorhanden?] = Ja
UND [9.3 Geländerhöhe auf dem Fahrkorbdach] ist eines von „700–1 099 mm" / „unter 700 mm"</t>
  </si>
  <si>
    <t xml:space="preserve">Entschieden 2026-09-02: K-F01. [Freigabe bezog sich auf einen früheren Stand (Regel, abhängige Fragen oder Gefährdungslogik geändert) – neu prüfen]
Evidenz: abgeleitet</t>
  </si>
  <si>
    <t xml:space="preserve">MF-F01-R7</t>
  </si>
  <si>
    <t xml:space="preserve">[9.1 Größter horizontaler Abstand Fahrkorbdachkante – Schachtwand] ist eines von „501–850 mm" / „über 850 mm"
UND [9.1 Größter horizontaler Abstand Fahrkorbdachkante – Schachtwand] ist eines von „≤ 300 mm" / „301–500 mm" / „501–850 mm"
UND [9.2 Geländer auf dem Fahrkorbdach vorhanden?] = Ja
UND [9.3 Geländerhöhe auf dem Fahrkorbdach] ist eines von „700–1 099 mm" / „unter 700 mm"</t>
  </si>
  <si>
    <t xml:space="preserve">• Geländer auf 110 cm erhöhen bzw. erneuern [T]</t>
  </si>
  <si>
    <t xml:space="preserve">Prüfbericht 20.09.2026: auf 501–850 mm begrenzt; darüber gilt MF-F01-R3 (Hoch), beide Regeln trafen bisher gemeinsam zu.</t>
  </si>
  <si>
    <t xml:space="preserve">MF-F01-R5</t>
  </si>
  <si>
    <t xml:space="preserve">[9.4 Fußleiste (mind. 100 mm) am Rand des Fahrkorbdachs vorhanden?] = Nein</t>
  </si>
  <si>
    <t xml:space="preserve">• Mit Fuß nicht über den Rand des Fahrkorbdaches treten! [O]</t>
  </si>
  <si>
    <t xml:space="preserve">• Fußleiste nachrüsten [T]</t>
  </si>
  <si>
    <t xml:space="preserve">MF-F01-R6</t>
  </si>
  <si>
    <t xml:space="preserve">[9.1 Größter horizontaler Abstand Fahrkorbdachkante – Schachtwand] ist beantwortet</t>
  </si>
  <si>
    <t xml:space="preserve">MF-F02</t>
  </si>
  <si>
    <t xml:space="preserve">Einzugsgefahr an Rollen im Schachtkopf / auf dem Fahrkorbdach
Faktor: Mechanische Gefährdung durch rotierende Teile (Erfassen, Einziehen)
Betroffen: Wartungspersonal
Bewertungslogik: Höchste Stufe – alle zutreffenden Regeln zählen, maßgeblich ist die HÖCHSTE STUFE; Maßnahmen aller Treffer werden übernommen.
Bewertet, wenn: immer
Pflichtfragen: 9.5, 9.5a (wenn [9.5] = Ja)</t>
  </si>
  <si>
    <t xml:space="preserve">EN 81-80: nicht im Bestandskatalog (nur EN 81-20)
DIN EN 81-20 5.5.7</t>
  </si>
  <si>
    <t xml:space="preserve">MF-F02-R1</t>
  </si>
  <si>
    <t xml:space="preserve">[9.5a Abdeckung der Einzugstellen] = „Einzugstellen offen"</t>
  </si>
  <si>
    <t xml:space="preserve">• Arbeiten im Bereich der Einzugstellen nur bei stillgesetzter und gegen Wiederanlauf gesicherter Anlage; keine Fahrt mit Personen auf dem Fahrkorbdach [O]</t>
  </si>
  <si>
    <t xml:space="preserve">[Prüfbericht: B11 – Sofortmaßnahme wirksam gemacht]</t>
  </si>
  <si>
    <t xml:space="preserve">MF-F02-R2</t>
  </si>
  <si>
    <t xml:space="preserve">[9.5a Abdeckung der Einzugstellen] = „Teilweise abgedeckt"</t>
  </si>
  <si>
    <t xml:space="preserve">• Offene Einzugstellen vor Arbeiten ermitteln; dort nur bei stillgesetzter Anlage arbeiten [O]</t>
  </si>
  <si>
    <t xml:space="preserve">MF-F02-R3</t>
  </si>
  <si>
    <t xml:space="preserve">[9.5 Einzugstellen im Schachtkopf / auf dem Fahrkorbdach vorhanden (Umlenkrollen, Heberrolle, Seilrollen)?] ist beantwortet</t>
  </si>
  <si>
    <t xml:space="preserve">MF-F03</t>
  </si>
  <si>
    <t xml:space="preserve">Gefährdung durch Nachbaraufzug oder dessen Gegengewicht (Fahrkorbdach)
Faktor: Mechanische Gefährdung durch bewegte Teile (Quetschen, Scheren, Einziehen)
Betroffen: Wartungspersonal
Bewertungslogik: Vorrang – es gilt die zutreffende Regel mit der HÖCHSTEN PRIORITÄT (so wirken Kompensationen); bei gleicher Priorität die höhere Stufe.
Bewertet, wenn: [4.8 Mehrere Aufzüge in einem gemeinsamen Schacht?] = Ja
Pflichtfragen: 9.6, 9.6a (wenn [9.6] ist eines von „Keine Abdeckung / kein Trenngitter" / „Teilweise Abdeckungen" / „Grobmaschiges Trenngitter oder Spanndrähte"), 9.6b (wenn [9.6a] = Ja)</t>
  </si>
  <si>
    <t xml:space="preserve">EN 81-80: Nr. 13 (5.5.6.2)
DIN EN 81-20 5.2.5.5.2.2
TRBS 3121 Anh. 1 Nr. 4 (Benachbarte Aufzüge im Fahrschacht)</t>
  </si>
  <si>
    <t xml:space="preserve">MF-F03-R7</t>
  </si>
  <si>
    <t xml:space="preserve">[9.6 Abtrennung zum Nachbaraufzug / Nachbar-Gegengewicht im Bereich des Fahrkorbdachs] = „Keine Abdeckung / kein Trenngitter"
UND [9.6a Einrichtung zum automatischen Abschalten des Nachbaraufzugs bei Arbeiten im Fahrschacht vorhanden?] = Ja
UND [9.6b Automatische Abschaltung in der Funktion geprüft, alle Nachbaranlagen erfasst und Wirkung bei Inspektionsbetrieb bestätigt?] = Nein</t>
  </si>
  <si>
    <t xml:space="preserve">• Nachbaraufzug zusätzlich von Hand abschalten und gegen Wiedereinschalten sichern [O]</t>
  </si>
  <si>
    <t xml:space="preserve">• Funktion der automatischen Abschaltung für alle Nachbaranlagen prüfen und dokumentieren [O]</t>
  </si>
  <si>
    <t xml:space="preserve">Prüfbericht 20.09.2026: fail-closed – ohne Funktionsnachweis senkt die automatische Abschaltung die Stufe nicht (vorher Mittel trotz fehlender Abtrennung). [Prüfbericht: Prüfbericht 16.09.2026 – Abschaltung ohne Funktionsnachweis]
Evidenz: abgeleitet</t>
  </si>
  <si>
    <t xml:space="preserve">MF-F03-R8</t>
  </si>
  <si>
    <t xml:space="preserve">[9.6 Abtrennung zum Nachbaraufzug / Nachbar-Gegengewicht im Bereich des Fahrkorbdachs] ist eines von „Teilweise Abdeckungen" / „Grobmaschiges Trenngitter oder Spanndrähte"
UND [9.6a Einrichtung zum automatischen Abschalten des Nachbaraufzugs bei Arbeiten im Fahrschacht vorhanden?] = Ja
UND [9.6b Automatische Abschaltung in der Funktion geprüft, alle Nachbaranlagen erfasst und Wirkung bei Inspektionsbetrieb bestätigt?] = Nein</t>
  </si>
  <si>
    <t xml:space="preserve">Teilabdeckung bzw. grobmaschiges Gitter: die Grundstufe bleibt Mittel, der fehlende Funktionsnachweis senkt sie aber nicht. [Prüfbericht: Prüfbericht 16.09.2026 – Abschaltung ohne Funktionsnachweis]
Evidenz: abgeleitet</t>
  </si>
  <si>
    <t xml:space="preserve">MF-F03-R6</t>
  </si>
  <si>
    <t xml:space="preserve">[9.6 Abtrennung zum Nachbaraufzug / Nachbar-Gegengewicht im Bereich des Fahrkorbdachs] ist eines von „Keine Abdeckung / kein Trenngitter" / „Teilweise Abdeckungen" / „Grobmaschiges Trenngitter oder Spanndrähte"
UND [9.6a Einrichtung zum automatischen Abschalten des Nachbaraufzugs bei Arbeiten im Fahrschacht vorhanden?] = Ja
UND [9.6b Automatische Abschaltung in der Funktion geprüft, alle Nachbaranlagen erfasst und Wirkung bei Inspektionsbetrieb bestätigt?] = Ja</t>
  </si>
  <si>
    <t xml:space="preserve">TRBS 3121 Anh. 1 Nr. 4 c): automatische Abschaltung des Nachbaraufzugs ist gleichwertige Alternative. [Prüfbericht: H03 – neu: Alternative automatische Abschaltung]</t>
  </si>
  <si>
    <t xml:space="preserve">MF-F03-R1</t>
  </si>
  <si>
    <t xml:space="preserve">[9.6 Abtrennung zum Nachbaraufzug / Nachbar-Gegengewicht im Bereich des Fahrkorbdachs] = „Keine Abdeckung / kein Trenngitter"</t>
  </si>
  <si>
    <t xml:space="preserve">• Vor Arbeiten auf dem Fahrkorbdach den Nachbaraufzug abschalten und gegen Wiedereinschalten sichern [O]</t>
  </si>
  <si>
    <t xml:space="preserve">• Trenngitter über die volle Schachthöhe nachrüsten, Umwehrung mit mehr als 0,5 m Abstand zu beweglichen Teilen herstellen oder automatische Abschaltung des Nachbaraufzugs vorsehen [T]</t>
  </si>
  <si>
    <t xml:space="preserve">[Prüfbericht: H03 – Maßnahme benennt den Nachbaraufzug und die Alternativen]</t>
  </si>
  <si>
    <t xml:space="preserve">MF-F03-R2</t>
  </si>
  <si>
    <t xml:space="preserve">[9.6 Abtrennung zum Nachbaraufzug / Nachbar-Gegengewicht im Bereich des Fahrkorbdachs] = „Teilweise Abdeckungen"</t>
  </si>
  <si>
    <t xml:space="preserve">• Vor Arbeiten im Bereich der offenen Stellen den Nachbaraufzug abschalten und sichern [O]</t>
  </si>
  <si>
    <t xml:space="preserve">• Abdeckung nachrüsten [T]</t>
  </si>
  <si>
    <t xml:space="preserve">[Prüfbericht: H03 – Sofortmaßnahme benennt den Nachbaraufzug]</t>
  </si>
  <si>
    <t xml:space="preserve">MF-F03-R3</t>
  </si>
  <si>
    <t xml:space="preserve">[9.6 Abtrennung zum Nachbaraufzug / Nachbar-Gegengewicht im Bereich des Fahrkorbdachs] = „Grobmaschiges Trenngitter oder Spanndrähte"</t>
  </si>
  <si>
    <t xml:space="preserve">• Vor Arbeiten im Bereich des Trenngitters den Nachbaraufzug abschalten und sichern [O]</t>
  </si>
  <si>
    <t xml:space="preserve">• Engmaschiges Trenngitter nachrüsten [T]</t>
  </si>
  <si>
    <t xml:space="preserve">MF-F03-R4</t>
  </si>
  <si>
    <t xml:space="preserve">[9.6 Abtrennung zum Nachbaraufzug / Nachbar-Gegengewicht im Bereich des Fahrkorbdachs] ist beantwortet</t>
  </si>
  <si>
    <t xml:space="preserve">Unzureichender Schutzraum / Kopffreiheit im Schachtkopf
Faktor: Mechanische Gefährdung durch Quetschen zwischen Fahrkorb und Schacht
Betroffen: Wartungspersonal
Bewertungslogik: Höchste Stufe – alle zutreffenden Regeln zählen, maßgeblich ist die HÖCHSTE STUFE; Maßnahmen aller Treffer werden übernommen.
Bewertet, wenn: immer
Pflichtfragen: 9.7, 9.7a (wenn [9.7] = „Reduzierter Schachtkopf mit wirksamer Zusatzeinrichtung und Betriebsanweisung")</t>
  </si>
  <si>
    <t xml:space="preserve">EN 81-80: Nr. 14 (5.5.7)
DIN EN 81-20 5.2.5.7
DIN EN 81-20 5.2.5.8
TRBS 3121 Anh. 1 Nr. 5 (Schutzräume in Grube und Schachtkopf)</t>
  </si>
  <si>
    <t xml:space="preserve">3 von 5 offen</t>
  </si>
  <si>
    <t xml:space="preserve">MF-F04-R1</t>
  </si>
  <si>
    <t xml:space="preserve">[9.7 Schutzraum im Schachtkopf] = „Schutzraum nicht gegeben (z. B. nachträgliche Einbauten)"</t>
  </si>
  <si>
    <t xml:space="preserve">• Fahrkorbdach nicht betreten, Einbauten entfernen [O]</t>
  </si>
  <si>
    <t xml:space="preserve">• Fahrbegrenzung nachrüsten oder Schutzraum wiederherstellen [T]</t>
  </si>
  <si>
    <t xml:space="preserve">MF-F04-R2</t>
  </si>
  <si>
    <t xml:space="preserve">[9.7 Schutzraum im Schachtkopf] = „Reduzierter Schachtkopf mit wirksamer Zusatzeinrichtung und Betriebsanweisung"
UND [9.7a Warnkennzeichnung zur reduzierten Kopffreiheit vorhanden?] = Nein</t>
  </si>
  <si>
    <t xml:space="preserve">• Kopfschutz verwenden, Anstoßstellen kennzeichnen [O]</t>
  </si>
  <si>
    <t xml:space="preserve">• Schutzraumkennzeichnung nach DIN EN 81-20 anbringen [O]</t>
  </si>
  <si>
    <t xml:space="preserve">[Prüfbericht: H15 – Hoch auf Mittel: Schutzeinrichtung wirkt, es fehlt die Kennzeichnung]</t>
  </si>
  <si>
    <t xml:space="preserve">MF-F04-R3</t>
  </si>
  <si>
    <t xml:space="preserve">[9.7 Schutzraum im Schachtkopf] = „Schutzraum nach TRA 200 / EN 81-1/-2 (kleiner als EN 81-20)"</t>
  </si>
  <si>
    <t xml:space="preserve">• Zustand dokumentieren, Beschäftigte über den reduzierten Schutzraum unterweisen [O]</t>
  </si>
  <si>
    <t xml:space="preserve">• Bei Modernisierung Schutzräume nach EN 81-20 herstellen oder Schutzeinrichtung für temporären Schutzraum vorsehen [T]</t>
  </si>
  <si>
    <t xml:space="preserve">TRBS 3121 Anh. 1 Nr. 5: Risiko niedrig bei Schutzräumen nach TRA 200 oder EN 81-1/-2. Entschieden 2026-09-02: K-F05.
Evidenz: abgeleitet</t>
  </si>
  <si>
    <t xml:space="preserve">MF-F04-R4</t>
  </si>
  <si>
    <t xml:space="preserve">[9.7 Schutzraum im Schachtkopf] = „Reduzierter Schachtkopf mit wirksamer Zusatzeinrichtung und Betriebsanweisung"</t>
  </si>
  <si>
    <t xml:space="preserve">Entscheidung 02.09.2026: reduzierter Schachtkopf mit wirksamer Zusatzeinrichtung = kein Risiko (App F5). Entschieden 2026-09-02: K-F03.</t>
  </si>
  <si>
    <t xml:space="preserve">MF-F04-R5</t>
  </si>
  <si>
    <t xml:space="preserve">[9.7 Schutzraum im Schachtkopf] ist beantwortet</t>
  </si>
  <si>
    <t xml:space="preserve">MF-F05</t>
  </si>
  <si>
    <t xml:space="preserve">Fehlende oder unzulängliche Inspektionssteuerung auf dem Fahrkorbdach
Faktor: Gefährdung durch unbeabsichtigtes Betätigen von Befehlsgebern
Betroffen: Wartungspersonal
Bewertungslogik: Höchste Stufe – alle zutreffenden Regeln zählen, maßgeblich ist die HÖCHSTE STUFE; Maßnahmen aller Treffer werden übernommen.
Bewertet, wenn: immer
Pflichtfragen: 9.8, 9.8a (wenn [9.8] = Ja), 9.8b (wenn [9.8] = Ja), 9.8c (wenn [9.8] = Ja)</t>
  </si>
  <si>
    <t xml:space="preserve">EN 81-80: Nr. 70 (5.14.2)
DIN EN 81-20 5.12.1.5.1.1
DIN EN 81-20 5.12.1.5.2
TRBS 3121 Anh. 1 Nr. 22 (Inspektionssteuerung und Stoppeinrichtung auf dem Fahrkorbdach)</t>
  </si>
  <si>
    <t xml:space="preserve">MF-F05-R1</t>
  </si>
  <si>
    <t xml:space="preserve">[9.8 Inspektionssteuerung auf dem Fahrkorbdach vorhanden?] = Nein</t>
  </si>
  <si>
    <t xml:space="preserve">• Keine Alleinarbeit, Vorgaben der DGUV Information 209-053 beachten [O]</t>
  </si>
  <si>
    <t xml:space="preserve">• Inspektionssteuerung nach DIN EN 81-20, 5.12.1.5 nachrüsten [T]</t>
  </si>
  <si>
    <t xml:space="preserve">MF-F05-R2</t>
  </si>
  <si>
    <t xml:space="preserve">[9.8c Inspektionsgeschwindigkeit max. 0,63 m/s?] = Nein</t>
  </si>
  <si>
    <t xml:space="preserve">• Keine Inspektionsfahrten mit Personen auf dem Fahrkorbdach bis zur Begrenzung der Geschwindigkeit; Arbeiten nur bei stillgesetzter Anlage [O]</t>
  </si>
  <si>
    <t xml:space="preserve">• Inspektionsgeschwindigkeit &lt; 0,63 m/s nachrüsten [T]</t>
  </si>
  <si>
    <t xml:space="preserve">[Prüfbericht: B11 – „nur abwärts" ist keine wirksame Maßnahme]</t>
  </si>
  <si>
    <t xml:space="preserve">MF-F05-R3</t>
  </si>
  <si>
    <t xml:space="preserve">[9.8a Inspektionssteuerung gegen unbeabsichtigtes Betätigen geschützt?] = Nein</t>
  </si>
  <si>
    <t xml:space="preserve">• Vor Arbeiten Not-Halt betätigen und Befehlsgeber auf unbeabsichtigte Betätigung prüfen [O]</t>
  </si>
  <si>
    <t xml:space="preserve">• Schutzkragen oder gleichwertigen Schutz nachrüsten [T]</t>
  </si>
  <si>
    <t xml:space="preserve">MF-F05-R4</t>
  </si>
  <si>
    <t xml:space="preserve">[9.8b Inspektionssteuerung vom Zugang aus gut erreichbar?] = Nein</t>
  </si>
  <si>
    <t xml:space="preserve">• Inspektionssteuerung erst nach sicherem Betreten und Betätigen des Not-Halts einschalten; nicht allein arbeiten [O]</t>
  </si>
  <si>
    <t xml:space="preserve">• Bedieneinrichtung versetzen oder ändern [T]</t>
  </si>
  <si>
    <t xml:space="preserve">MF-F05-R5</t>
  </si>
  <si>
    <t xml:space="preserve">[9.8 Inspektionssteuerung auf dem Fahrkorbdach vorhanden?] ist beantwortet</t>
  </si>
  <si>
    <t xml:space="preserve">MF-F06</t>
  </si>
  <si>
    <t xml:space="preserve">Fehlender oder unwirksamer Not-Halt auf dem Fahrkorbdach
Faktor: Gefährdung durch unbeabsichtigtes Betätigen von Befehlsgebern
Betroffen: Wartungspersonal
Bewertungslogik: Höchste Stufe – alle zutreffenden Regeln zählen, maßgeblich ist die HÖCHSTE STUFE; Maßnahmen aller Treffer werden übernommen.
Bewertet, wenn: immer
Pflichtfragen: 9.9, 9.9a (wenn [9.9] = Ja), 9.9b (wenn [9.9] = Ja)</t>
  </si>
  <si>
    <t xml:space="preserve">EN 81-80: Nr. 70 (5.14.2)
DIN EN 81-20 5.4.8
DIN EN 81-20 5.12.1.11
TRBS 3121 Anh. 1 Nr. 22 (Inspektionssteuerung und Stoppeinrichtung auf dem Fahrkorbdach)</t>
  </si>
  <si>
    <t xml:space="preserve">MF-F06-R1</t>
  </si>
  <si>
    <t xml:space="preserve">[9.9 Notbremsschalter (Not-Halt) auf dem Fahrkorbdach vorhanden?] = Nein</t>
  </si>
  <si>
    <t xml:space="preserve">• Fahrkorbdach nur nach Freischalten der Anlage betreten [O]</t>
  </si>
  <si>
    <t xml:space="preserve">• Notbremsschalter nach DIN EN 81-20, 5.4.8 nachrüsten [T]</t>
  </si>
  <si>
    <t xml:space="preserve">MF-F06-R2</t>
  </si>
  <si>
    <t xml:space="preserve">[9.9b Not-Halt wirksam (Funktion geprüft)?] = Nein</t>
  </si>
  <si>
    <t xml:space="preserve">• Anlage stilllegen [O]</t>
  </si>
  <si>
    <t xml:space="preserve">• Sicherheitskreis instand setzen und Wirkung prüfen [T]</t>
  </si>
  <si>
    <t xml:space="preserve">MF-F06-R3</t>
  </si>
  <si>
    <t xml:space="preserve">[9.9a Not-Halt vom Zugang aus erreichbar?] = Nein</t>
  </si>
  <si>
    <t xml:space="preserve">• Position vor dem Betreten prüfen [O]</t>
  </si>
  <si>
    <t xml:space="preserve">• Schalter erreichbar versetzen [T]</t>
  </si>
  <si>
    <t xml:space="preserve">MF-F06-R4</t>
  </si>
  <si>
    <t xml:space="preserve">[9.9 Notbremsschalter (Not-Halt) auf dem Fahrkorbdach vorhanden?] ist beantwortet</t>
  </si>
  <si>
    <t xml:space="preserve">MF-F07</t>
  </si>
  <si>
    <t xml:space="preserve">Nicht tragfähiges Fahrkorbdach oder unüberwachte Dachklappe
Faktor: Mechanische Gefährdung durch Absturz in den Schacht
Betroffen: Wartungspersonal
Bewertungslogik: Höchste Stufe – alle zutreffenden Regeln zählen, maßgeblich ist die HÖCHSTE STUFE; Maßnahmen aller Treffer werden übernommen.
Bewertet, wenn: immer
Pflichtfragen: 9.10, 9.11, 9.11a (wenn [9.11] = Ja)</t>
  </si>
  <si>
    <t xml:space="preserve">EN 81-80: Nr. 41 (5.8.4), Nr. 42 (5.8.5)
DIN EN 81-20 5.4.7.1
DIN EN 81-20 5.4.6.2</t>
  </si>
  <si>
    <t xml:space="preserve">MF-F07-R1</t>
  </si>
  <si>
    <t xml:space="preserve">[9.10 Fahrkorbdach tragfähig (200 kg auf 0,30 m × 0,30 m)?] = Nein</t>
  </si>
  <si>
    <t xml:space="preserve">• Fahrkorbdach nicht betreten, bis die Tragfähigkeit hergestellt oder nachgewiesen ist; Warnhinweis am Zugang anbringen [O]</t>
  </si>
  <si>
    <t xml:space="preserve">• Tragfähiges Fahrkorbdach herstellen (200 kg auf 0,30 m × 0,30 m, DIN EN 81-20 5.4.7.1) und nachweisen [T]</t>
  </si>
  <si>
    <t xml:space="preserve">[Prüfbericht: B11 – widersprüchliche Sofortmaßnahme bereinigt]</t>
  </si>
  <si>
    <t xml:space="preserve">MF-F07-R2</t>
  </si>
  <si>
    <t xml:space="preserve">[9.11a Klappe elektrisch überwacht (Sicherheitskreis)?] = Nein</t>
  </si>
  <si>
    <t xml:space="preserve">• Klappe vor Fahrbetrieb sichern [O]</t>
  </si>
  <si>
    <t xml:space="preserve">• Elektrische Überwachung der Klappe nachrüsten [T]</t>
  </si>
  <si>
    <t xml:space="preserve">MF-F07-R3</t>
  </si>
  <si>
    <t xml:space="preserve">[9.10 Fahrkorbdach tragfähig (200 kg auf 0,30 m × 0,30 m)?] ist beantwortet</t>
  </si>
  <si>
    <t xml:space="preserve">MF-F08</t>
  </si>
  <si>
    <t xml:space="preserve">Fehlende Notbeleuchtung auf dem Fahrkorbdach
Faktor: Gefährdung durch Arbeitsumgebungsbedingungen (unzureichende Beleuchtung)
Betroffen: Wartungspersonal
Bewertungslogik: Vorrang – es gilt die zutreffende Regel mit der HÖCHSTEN PRIORITÄT (so wirken Kompensationen); bei gleicher Priorität die höhere Stufe.
Bewertet, wenn: immer
Pflichtfragen: 9.12</t>
  </si>
  <si>
    <t xml:space="preserve">EN 81-80: im Bestandskatalog (organisatorisch)
DIN EN 81-20 5.4.10.4</t>
  </si>
  <si>
    <t xml:space="preserve">MF-F08-R1</t>
  </si>
  <si>
    <t xml:space="preserve">[9.12 Notbeleuchtung auf dem Fahrkorbdach (mind. 5 Lux, 1 h) vorhanden?] = Nein</t>
  </si>
  <si>
    <t xml:space="preserve">• Handleuchte für Arbeiten auf dem Fahrkorbdach mitführen [O]</t>
  </si>
  <si>
    <t xml:space="preserve">• Notbeleuchtung (mind. 5 Lux, 1 h) auf dem Fahrkorbdach nachrüsten [T]</t>
  </si>
  <si>
    <t xml:space="preserve">Entschieden 2026-09-02: K-F04.
Evidenz: abgeleitet</t>
  </si>
  <si>
    <t xml:space="preserve">MF-F08-R2</t>
  </si>
  <si>
    <t xml:space="preserve">[9.12 Notbeleuchtung auf dem Fahrkorbdach (mind. 5 Lux, 1 h) vorhanden?] ist beantwortet</t>
  </si>
  <si>
    <t xml:space="preserve">MF-F09</t>
  </si>
  <si>
    <t xml:space="preserve">Fehlender Notruf auf dem Fahrkorbdach
Faktor: Sonstige Gefährdung durch fehlende oder unzureichende Notfallorganisation
Betroffen: Wartungspersonal
Bewertungslogik: Vorrang – es gilt die zutreffende Regel mit der HÖCHSTEN PRIORITÄT (so wirken Kompensationen); bei gleicher Priorität die höhere Stufe.
Bewertet, wenn: immer
Pflichtfragen: 9.13</t>
  </si>
  <si>
    <t xml:space="preserve">EN 81-80: Nr. 18 (5.5.11)
DIN EN 81-20 5.12.3.2</t>
  </si>
  <si>
    <t xml:space="preserve">MF-F09-R1</t>
  </si>
  <si>
    <t xml:space="preserve">[9.13 Eindeutig erkennbarer Auslöser für den (Fern-)Notruf auf dem Fahrkorbdach vorhanden?] = Nein</t>
  </si>
  <si>
    <t xml:space="preserve">• Schachteinschluss verhindern durch alternative Maßnahme (z.B. Mobilfunk, Funk, 2. Person) [O]</t>
  </si>
  <si>
    <t xml:space="preserve">• Notrufsystem FK-Dach und Schachtgrube nachrüsten [T]</t>
  </si>
  <si>
    <t xml:space="preserve">MF-F09-R2</t>
  </si>
  <si>
    <t xml:space="preserve">[9.13 Eindeutig erkennbarer Auslöser für den (Fern-)Notruf auf dem Fahrkorbdach vorhanden?] ist beantwortet</t>
  </si>
  <si>
    <t xml:space="preserve">Unzureichende Schachtbeleuchtung
Faktor: Gefährdung durch Arbeitsumgebungsbedingungen (unzureichende Beleuchtung)
Betroffen: Wartungspersonal
Bewertungslogik: Höchste Stufe – alle zutreffenden Regeln zählen, maßgeblich ist die HÖCHSTE STUFE; Maßnahmen aller Treffer werden übernommen.
Bewertet, wenn: immer
Pflichtfragen: 10.1, 10.1a (wenn [10.1] = Ja), 10.1c (wenn [10.1a] = Nein), 10.1b (wenn [10.1] = Ja)</t>
  </si>
  <si>
    <t xml:space="preserve">EN 81-80: Nr. 17 (5.5.10)
DIN EN 81-20 5.2.1.4.1
TRBS 3121 Anh. 1 Nr. 8 (Schachtbeleuchtung)</t>
  </si>
  <si>
    <t xml:space="preserve">MF-S01-R1</t>
  </si>
  <si>
    <t xml:space="preserve">[10.1 Schachtbeleuchtung vorhanden?] = Nein</t>
  </si>
  <si>
    <t xml:space="preserve">MF-S01-R5</t>
  </si>
  <si>
    <t xml:space="preserve">[10.1a Schachtbeleuchtung ausreichend (mind. 50 Lux 1 m über dem Fahrkorbdach, mind. 20 Lux im übrigen Schacht)?] = Nein
UND [10.1c Falls nicht ausreichend: erfüllt die Schachtbeleuchtung die Anforderungen des Errichtungs-Regelwerks (TRA 200 bzw. DIN EN 81-1/-2)?] = Nein</t>
  </si>
  <si>
    <t xml:space="preserve">[Prüfbericht: B05 – Maßstab 50 lx auf dem Fahrkorbdach; Altnorm-Fall getrennt]</t>
  </si>
  <si>
    <t xml:space="preserve">MF-S01-R6</t>
  </si>
  <si>
    <t xml:space="preserve">[10.1a Schachtbeleuchtung ausreichend (mind. 50 Lux 1 m über dem Fahrkorbdach, mind. 20 Lux im übrigen Schacht)?] = Nein
UND [10.1c Falls nicht ausreichend: erfüllt die Schachtbeleuchtung die Anforderungen des Errichtungs-Regelwerks (TRA 200 bzw. DIN EN 81-1/-2)?] = Ja</t>
  </si>
  <si>
    <t xml:space="preserve">TRBS 3121 Anh. 1 Nr. 8: Risiko niedrig, wenn die Schachtbeleuchtung TRA 200 bzw. EN 81-1/-2 entspricht. [Prüfbericht: B05 – neu]</t>
  </si>
  <si>
    <t xml:space="preserve">MF-S01-R3</t>
  </si>
  <si>
    <t xml:space="preserve">[10.1b Leuchten im Schacht mit Splitterschutz und an geeigneter Stelle?] = Nein</t>
  </si>
  <si>
    <t xml:space="preserve">MF-S01-R4</t>
  </si>
  <si>
    <t xml:space="preserve">[10.1 Schachtbeleuchtung vorhanden?] ist beantwortet</t>
  </si>
  <si>
    <t xml:space="preserve">MF-S02</t>
  </si>
  <si>
    <t xml:space="preserve">Unzureichende Beleuchtung an den Schachtzugängen
Faktor: Gefährdung durch Arbeitsumgebungsbedingungen (unzureichende Beleuchtung)
Betroffen: Nutzer
Bewertungslogik: Vorrang – es gilt die zutreffende Regel mit der HÖCHSTEN PRIORITÄT (so wirken Kompensationen); bei gleicher Priorität die höhere Stufe.
Bewertet, wenn: immer
Pflichtfragen: 10.2</t>
  </si>
  <si>
    <t xml:space="preserve">EN 81-80: Nr. 29 (5.7.5)
DIN EN 81-20 5.3.7.1</t>
  </si>
  <si>
    <t xml:space="preserve">MF-S02-R1</t>
  </si>
  <si>
    <t xml:space="preserve">[10.2 Beleuchtung an den Schachtzugängen (Haltestellen) mind. 50 lx?] = Nein</t>
  </si>
  <si>
    <t xml:space="preserve">• Betreiber auf die Beleuchtung der Haltestellen hinweisen [O]</t>
  </si>
  <si>
    <t xml:space="preserve">• Beleuchtung an den Schachtzugängen auf mind. 50 lx (Boden) herstellen [T]</t>
  </si>
  <si>
    <t xml:space="preserve">MF-S02-R2</t>
  </si>
  <si>
    <t xml:space="preserve">[10.2 Beleuchtung an den Schachtzugängen (Haltestellen) mind. 50 lx?] ist beantwortet</t>
  </si>
  <si>
    <t xml:space="preserve">MF-S03</t>
  </si>
  <si>
    <t xml:space="preserve">Unzureichende Schachtumwehrung oder Schachtwände
Faktor: Mechanische Gefährdung durch Absturz in den Schacht
Betroffen: Nutzer, Wartungspersonal
Bewertungslogik: Höchste Stufe – alle zutreffenden Regeln zählen, maßgeblich ist die HÖCHSTE STUFE; Maßnahmen aller Treffer werden übernommen.
Bewertet, wenn: immer
Pflichtfragen: 10.3, 10.3a (wenn [10.3] = Nein), 10.4, 10.5 (wenn [4.2] = Ja)</t>
  </si>
  <si>
    <t xml:space="preserve">EN 81-80: Nr. 6 (5.5.1.1), Nr. 7 (5.5.1.2), Nr. 33 (5.7.8.2)
DIN EN 81-20 5.2.5
DIN EN 81-20 5.2.5.2.3</t>
  </si>
  <si>
    <t xml:space="preserve">4 von 5 offen</t>
  </si>
  <si>
    <t xml:space="preserve">MF-S03-R1</t>
  </si>
  <si>
    <t xml:space="preserve">[10.4 Schachtwände ausreichend fest (100 kg auf 0,30 m × 0,30 m, keine Durchbrüche)?] = Nein</t>
  </si>
  <si>
    <t xml:space="preserve">• Gefahrbereich absperren [O]</t>
  </si>
  <si>
    <t xml:space="preserve">• Schachtwände nach DIN EN 81-20, 5.2.5 ertüchtigen [T]</t>
  </si>
  <si>
    <t xml:space="preserve">MF-S03-R2</t>
  </si>
  <si>
    <t xml:space="preserve">[10.3 Schacht vollständig umwehrt (Wände, Decke, Boden)?] = Nein
UND [10.3a Teilumwehrung nach EN 81-20 5.2.5.2.3 zulässig ausgeführt (Höhen, Abstände)?] = Nein</t>
  </si>
  <si>
    <t xml:space="preserve">MF-S03-R3</t>
  </si>
  <si>
    <t xml:space="preserve">[10.3 Schacht vollständig umwehrt (Wände, Decke, Boden)?] = Nein
UND [10.3a Teilumwehrung nach EN 81-20 5.2.5.2.3 zulässig ausgeführt (Höhen, Abstände)?] = Ja</t>
  </si>
  <si>
    <t xml:space="preserve">Entscheidung 02.09.2026: zulässig ausgeführte Teilumwehrung = kein Risiko. Entschieden 2026-09-02: K-S05.</t>
  </si>
  <si>
    <t xml:space="preserve">MF-S03-R4</t>
  </si>
  <si>
    <t xml:space="preserve">[10.5 Nachweis Verbundsicherheitsglas für die Schachtverglasung vorhanden?] = Nein</t>
  </si>
  <si>
    <t xml:space="preserve">• Nachweis beim Betreiber anfordern [O]</t>
  </si>
  <si>
    <t xml:space="preserve">• Statischen Nachweis erbringen oder Verglasung ersetzen [T]</t>
  </si>
  <si>
    <t xml:space="preserve">MF-S03-R5</t>
  </si>
  <si>
    <t xml:space="preserve">[10.3 Schacht vollständig umwehrt (Wände, Decke, Boden)?] ist beantwortet</t>
  </si>
  <si>
    <t xml:space="preserve">MF-S04</t>
  </si>
  <si>
    <t xml:space="preserve">Führungsschienen nicht aus Stahl
Faktor: Mechanische Gefährdung durch Beschleunigung und Abbremsung (kinetische Energie)
Betroffen: Nutzer
Bewertungslogik: Vorrang – es gilt die zutreffende Regel mit der HÖCHSTEN PRIORITÄT (so wirken Kompensationen); bei gleicher Priorität die höhere Stufe.
Bewertet, wenn: immer
Pflichtfragen: 10.6</t>
  </si>
  <si>
    <t xml:space="preserve">EN 81-80: Nr. 55 (5.10.1)
DIN EN 81-20 5.7.1</t>
  </si>
  <si>
    <t xml:space="preserve">MF-S04-R1</t>
  </si>
  <si>
    <t xml:space="preserve">[10.6 Führungsschienen für Fahrkorb und Gegengewicht aus Stahl?] = Nein</t>
  </si>
  <si>
    <t xml:space="preserve">• Zustand der Führungsschienen bei jeder Wartung prüfen [O]</t>
  </si>
  <si>
    <t xml:space="preserve">• Bei Modernisierung Führungsschienen aus Stahl nach EN 81-20 5.7 vorsehen [T]</t>
  </si>
  <si>
    <t xml:space="preserve">MF-S04-R2</t>
  </si>
  <si>
    <t xml:space="preserve">[10.6 Führungsschienen für Fahrkorb und Gegengewicht aus Stahl?] ist beantwortet</t>
  </si>
  <si>
    <t xml:space="preserve">MF-S05</t>
  </si>
  <si>
    <t xml:space="preserve">Fehlende oder ungeprüfte Fangvorrichtung, Geschwindigkeitsbegrenzer oder Schlaffseilsicherung
Faktor: Mechanische Gefährdung durch Beschleunigung und Abbremsung (kinetische Energie)
Betroffen: Nutzer
Bewertungslogik: Höchste Stufe – alle zutreffenden Regeln zählen, maßgeblich ist die HÖCHSTE STUFE; Maßnahmen aller Treffer werden übernommen.
Bewertet, wenn: [3.1 Aufzugsart] ist eines von „Seil-/Riemenaufzug (Treibscheibe)" / „Trommel- oder Kettenaufzug" / „Seil-Hydraulikaufzug (indirekt)"
Pflichtfragen: 10.7, 10.8, 10.9 (wenn ([10.7] = Ja UND [10.8] = Ja)), 10.10 (wenn [10.8] = Ja), 10.11 (wenn [3.1] = „Trommel- oder Kettenaufzug")</t>
  </si>
  <si>
    <t xml:space="preserve">EN 81-80: Nr. 50 (5.9.2), Nr. 51 (5.9.3), Nr. 63 (5.12.5)
DIN EN 81-20 5.6.2
DIN EN 81-20 5.6.2.2.1.6
DIN EN 81-20 5.5.5.3
TRBS 3121 Anh. 1 Nr. 16 (UCM und Aufwärts-Übergeschwindigkeit bei Seilaufzügen)</t>
  </si>
  <si>
    <t xml:space="preserve">MF-S05-R1</t>
  </si>
  <si>
    <t xml:space="preserve">[10.7 Fangvorrichtung am Fahrkorb vorhanden?] = Nein</t>
  </si>
  <si>
    <t xml:space="preserve">• Fangvorrichtung nach DIN EN 81-20, 5.6.2 nachrüsten [T]</t>
  </si>
  <si>
    <t xml:space="preserve">MF-S05-R2</t>
  </si>
  <si>
    <t xml:space="preserve">[10.8 Geschwindigkeitsbegrenzer vorhanden?] = Nein</t>
  </si>
  <si>
    <t xml:space="preserve">• Geschwindigkeitsbegrenzer nachrüsten, der die Fangvorrichtung auslöst (DIN EN 81-20 5.6.2.2.1) [T]</t>
  </si>
  <si>
    <t xml:space="preserve">[Prüfbericht: B11 – Maßnahme zielte auf die Fangvorrichtung statt den Begrenzer]</t>
  </si>
  <si>
    <t xml:space="preserve">MF-S05-R3</t>
  </si>
  <si>
    <t xml:space="preserve">[10.11 Schlaffseil-/Schlaffkettensicherung vorhanden?] = Nein</t>
  </si>
  <si>
    <t xml:space="preserve">• Schlaffseileinrichtung nachrüsten [T]</t>
  </si>
  <si>
    <t xml:space="preserve">MF-S05-R4</t>
  </si>
  <si>
    <t xml:space="preserve">[10.9 Prüfung von Fangvorrichtung und Begrenzer dokumentiert?] = Nein</t>
  </si>
  <si>
    <t xml:space="preserve">• Prüfung durchführen lassen und dokumentieren [O]</t>
  </si>
  <si>
    <t xml:space="preserve">MF-S05-R5</t>
  </si>
  <si>
    <t xml:space="preserve">[10.10 Spanngewicht des Begrenzerseils mit Schlaffseilschalter?] = Nein</t>
  </si>
  <si>
    <t xml:space="preserve">• Spanngewicht bei Wartung sichtprüfen [O]</t>
  </si>
  <si>
    <t xml:space="preserve">• Schlaffseilschalter nachrüsten [T]</t>
  </si>
  <si>
    <t xml:space="preserve">MF-S05-R6</t>
  </si>
  <si>
    <t xml:space="preserve">[10.7 Fangvorrichtung am Fahrkorb vorhanden?] ist beantwortet</t>
  </si>
  <si>
    <t xml:space="preserve">MF-S06</t>
  </si>
  <si>
    <t xml:space="preserve">Aufzugsfremde Einrichtungen im Schacht
Faktor: Mechanische Gefährdung durch Stolpern, Rutschen, Stürzen
Betroffen: Wartungspersonal
Bewertungslogik: Vorrang – es gilt die zutreffende Regel mit der HÖCHSTEN PRIORITÄT (so wirken Kompensationen); bei gleicher Priorität die höhere Stufe.
Bewertet, wenn: immer
Pflichtfragen: 10.12, 10.12a (wenn [10.12] = Nein), 10.12b (wenn [10.12] = Nein)</t>
  </si>
  <si>
    <t xml:space="preserve">EN 81-80: im Bestandskatalog (organisatorisch)
DIN EN 81-20 5.2.1.2</t>
  </si>
  <si>
    <t xml:space="preserve">MF-S06-R1</t>
  </si>
  <si>
    <t xml:space="preserve">[10.12b Behindern aufzugsfremde Einrichtungen Arbeiten oder Rettungswege im Schacht?] = Ja</t>
  </si>
  <si>
    <t xml:space="preserve">• Bereich absperren, Arbeiten nur nach gesonderter Festlegung [O]</t>
  </si>
  <si>
    <t xml:space="preserve">• Aufzugsfremde Einrichtungen nach DIN EN 81-20, 5.2.1.2 entfernen [T]</t>
  </si>
  <si>
    <t xml:space="preserve">MF-S06-R2</t>
  </si>
  <si>
    <t xml:space="preserve">[10.12 Schacht frei von aufzugsfremden Einrichtungen?] = Nein
UND [10.12a Aufzugsfremde Leitungen fachgerecht verlegt und gekennzeichnet?] = Nein</t>
  </si>
  <si>
    <t xml:space="preserve">MF-S06-R3</t>
  </si>
  <si>
    <t xml:space="preserve">[10.12 Schacht frei von aufzugsfremden Einrichtungen?] = Nein</t>
  </si>
  <si>
    <t xml:space="preserve">• Leitungen bei Arbeiten beachten [O]</t>
  </si>
  <si>
    <t xml:space="preserve">• Rückbau bei der nächsten Modernisierung vorsehen [T]</t>
  </si>
  <si>
    <t xml:space="preserve">Entschieden 2026-09-02: K-S03.</t>
  </si>
  <si>
    <t xml:space="preserve">MF-S06-R4</t>
  </si>
  <si>
    <t xml:space="preserve">[10.12 Schacht frei von aufzugsfremden Einrichtungen?] ist beantwortet</t>
  </si>
  <si>
    <t xml:space="preserve">MF-S07</t>
  </si>
  <si>
    <t xml:space="preserve">Zugänge zum Schacht und zugehörige Schalteinrichtungen nicht frei und sicher begehbar
Faktor: Mechanische Gefährdung durch Stolpern, Rutschen, Stürzen
Betroffen: Beauftragte Person, Wartungspersonal
Bewertungslogik: Vorrang – es gilt die zutreffende Regel mit der HÖCHSTEN PRIORITÄT (so wirken Kompensationen); bei gleicher Priorität die höhere Stufe.
Bewertet, wenn: immer
Pflichtfragen: 10.13, 10.13a</t>
  </si>
  <si>
    <t xml:space="preserve">EN 81-80: Nr. 8 (5.5.2)
DIN EN 81-20 5.2.2.1</t>
  </si>
  <si>
    <t xml:space="preserve">MF-S07-R3</t>
  </si>
  <si>
    <t xml:space="preserve">[10.13a Elektrische Sicherheitseinrichtungen der Schacht- und Inspektionstüren vorhanden und wirksam (Türkontakt im Sicherheitskreis)?] = Nein</t>
  </si>
  <si>
    <t xml:space="preserve">• Anlage stilllegen, bis die Sicherheitseinrichtung der Schacht-/Inspektionstür wieder wirkt [O]</t>
  </si>
  <si>
    <t xml:space="preserve">• Türkontakt im Sicherheitskreis instand setzen bzw. nachrüsten und Wirkung prüfen (DIN EN 81-20 5.3.9.1) [O]</t>
  </si>
  <si>
    <t xml:space="preserve">Prüfbericht 20.09.2026: aus 10.13 herausgelöst – unwirksamer Türkontakt ist ein technischer Mangel am Sicherheitskreis, nicht ein zugestellter Verkehrsweg.</t>
  </si>
  <si>
    <t xml:space="preserve">MF-S07-R1</t>
  </si>
  <si>
    <t xml:space="preserve">[10.13 Zugänge zum Schacht (Schachttüren, Inspektionstüren) frei und sicher erreichbar (nicht zugestellt, nicht verbaut)?] = Nein</t>
  </si>
  <si>
    <t xml:space="preserve">• Zugänge freiräumen, Hindernisse entfernen, Betreiber informieren [O]</t>
  </si>
  <si>
    <t xml:space="preserve">• Freihaltung der Schachtzugänge und Schalteinrichtungen in der Betriebsanweisung festlegen und bei Betreiberkontrollen prüfen [O]</t>
  </si>
  <si>
    <t xml:space="preserve">Blaupause Schindler M107 (f021 = Nein -&gt; Hoch, DIRECT). Prüfbericht 20.09.2026: Hoch auf Mittel – ein zugestellter Zugang wird vor der Arbeit beseitigt; Hoch bleibt dem unwirksamen Sicherheitsschalter (10.13a) vorbehalten.
Evidenz: abgeleitet</t>
  </si>
  <si>
    <t xml:space="preserve">MF-S07-R2</t>
  </si>
  <si>
    <t xml:space="preserve">[10.13 Zugänge zum Schacht (Schachttüren, Inspektionstüren) frei und sicher erreichbar (nicht zugestellt, nicht verbaut)?] ist beantwortet</t>
  </si>
  <si>
    <t xml:space="preserve">MF-G01</t>
  </si>
  <si>
    <t xml:space="preserve">Unzureichende Beleuchtung in der Schachtgrube
Faktor: Gefährdung durch Arbeitsumgebungsbedingungen (unzureichende Beleuchtung)
Betroffen: Wartungspersonal
Bewertungslogik: Höchste Stufe – alle zutreffenden Regeln zählen, maßgeblich ist die HÖCHSTE STUFE; Maßnahmen aller Treffer werden übernommen.
Bewertet, wenn: immer
Pflichtfragen: 11.2, 11.2a (wenn [11.2] = Ja)</t>
  </si>
  <si>
    <t xml:space="preserve">MF-G01-R1</t>
  </si>
  <si>
    <t xml:space="preserve">[11.2 Beleuchtung in der Schachtgrube vorhanden?] = Nein</t>
  </si>
  <si>
    <t xml:space="preserve">MF-G01-R2</t>
  </si>
  <si>
    <t xml:space="preserve">[11.2a Grubenbeleuchtung ausreichend (mind. 50 Lux), Leuchten geeignet angeordnet?] = Nein</t>
  </si>
  <si>
    <t xml:space="preserve">MF-G01-R3</t>
  </si>
  <si>
    <t xml:space="preserve">[11.2 Beleuchtung in der Schachtgrube vorhanden?] ist beantwortet</t>
  </si>
  <si>
    <t xml:space="preserve">MF-G02</t>
  </si>
  <si>
    <t xml:space="preserve">Unzureichender Schutzraum in der Schachtgrube
Faktor: Mechanische Gefährdung durch Quetschen zwischen Fahrkorb und Schacht
Betroffen: Wartungspersonal
Bewertungslogik: Vorrang – es gilt die zutreffende Regel mit der HÖCHSTEN PRIORITÄT (so wirken Kompensationen); bei gleicher Priorität die höhere Stufe.
Bewertet, wenn: immer
Pflichtfragen: 11.3</t>
  </si>
  <si>
    <t xml:space="preserve">EN 81-80: Nr. 14 (5.5.7)
DIN EN 81-20 5.2.5.8
TRBS 3121 Anh. 1 Nr. 5 (Schutzräume in Grube und Schachtkopf)</t>
  </si>
  <si>
    <t xml:space="preserve">2 von 4 offen</t>
  </si>
  <si>
    <t xml:space="preserve">MF-G02-R1</t>
  </si>
  <si>
    <t xml:space="preserve">[11.3 Schutzraum in der Schachtgrube] = „Schutzraum nicht gegeben"</t>
  </si>
  <si>
    <t xml:space="preserve">• Schachtgrube nicht betreten, Anlage stilllegen [O]</t>
  </si>
  <si>
    <t xml:space="preserve">• Fahrbegrenzung nachrüsten oder Schutzraum herstellen [T]</t>
  </si>
  <si>
    <t xml:space="preserve">MF-G02-R2</t>
  </si>
  <si>
    <t xml:space="preserve">[11.3 Schutzraum in der Schachtgrube] = „Schutzraum nach TRA 200 / EN 81-1/-2 (kleiner als EN 81-20)"</t>
  </si>
  <si>
    <t xml:space="preserve">MF-G02-R3</t>
  </si>
  <si>
    <t xml:space="preserve">[11.3 Schutzraum in der Schachtgrube] = „Reduzierte Grube mit wirksamer Zusatzeinrichtung und Kennzeichnung"</t>
  </si>
  <si>
    <t xml:space="preserve">Entscheidung 02.09.2026: reduzierte Grube mit wirksamer Zusatzeinrichtung = kein Risiko. Entschieden 2026-09-02: K-F03.</t>
  </si>
  <si>
    <t xml:space="preserve">MF-G02-R4</t>
  </si>
  <si>
    <t xml:space="preserve">[11.3 Schutzraum in der Schachtgrube] ist beantwortet</t>
  </si>
  <si>
    <t xml:space="preserve">Fehlender Not-Halt oder fehlende Inspektionssteuerung in der Schachtgrube
Faktor: Gefährdung durch unbeabsichtigtes Betätigen von Befehlsgebern
Betroffen: Wartungspersonal
Bewertungslogik: Höchste Stufe – alle zutreffenden Regeln zählen, maßgeblich ist die HÖCHSTE STUFE; Maßnahmen aller Treffer werden übernommen.
Bewertet, wenn: immer
Pflichtfragen: 11.4, 11.4a (wenn [11.4] = Ja), 11.4b (wenn ([11.4] = Ja UND [11.1] = Ja)), 11.5</t>
  </si>
  <si>
    <t xml:space="preserve">EN 81-80: Nr. 16 (5.5.9)
DIN EN 81-20 5.2.1.5.1
DIN EN 81-20 5.12.1.5.1.1
TRBS 3121 Anh. 1 Nr. 7 (Stoppeinrichtungen in Grube und Rollenraum)</t>
  </si>
  <si>
    <t xml:space="preserve">MF-G03-R1</t>
  </si>
  <si>
    <t xml:space="preserve">[11.4 Notbremsschalter in der Schachtgrube vorhanden?] = Nein</t>
  </si>
  <si>
    <t xml:space="preserve">• Grube nur nach Freischalten und Sichern der Anlage betreten [O]</t>
  </si>
  <si>
    <t xml:space="preserve">• Notbremsschalter nachrüsten [T]</t>
  </si>
  <si>
    <t xml:space="preserve">MF-G03-R2</t>
  </si>
  <si>
    <t xml:space="preserve">[11.5 Inspektionssteuerung in der Schachtgrube vorhanden?] = Nein</t>
  </si>
  <si>
    <t xml:space="preserve">• Keine Alleinarbeit in der Schachtgrube [O]</t>
  </si>
  <si>
    <t xml:space="preserve">Entschieden 2026-09-02: K-S01. [Freigabe bezog sich auf einen früheren Stand (Regel, abhängige Fragen oder Gefährdungslogik geändert) – neu prüfen]</t>
  </si>
  <si>
    <t xml:space="preserve">MF-G03-R3</t>
  </si>
  <si>
    <t xml:space="preserve">[11.4a Notbremsschalter von der Schachttür aus erreichbar?] = Nein</t>
  </si>
  <si>
    <t xml:space="preserve">• Vor dem Abstieg die Anlage stilllegen [O]</t>
  </si>
  <si>
    <t xml:space="preserve">• Zusätzlichen, von außen erreichbaren Notbremsschalter nachrüsten [T]</t>
  </si>
  <si>
    <t xml:space="preserve">MF-G03-R4</t>
  </si>
  <si>
    <t xml:space="preserve">[11.4b Bei Grubentiefe über 1,60 m: zweiter Notbremsschalter am Grubenboden vorhanden?] = Nein</t>
  </si>
  <si>
    <t xml:space="preserve">• Abstieg nur nach Stilllegen der Anlage [O]</t>
  </si>
  <si>
    <t xml:space="preserve">• Zweiten Notbremsschalter nach DIN EN 81-20, 5.4.8 nachrüsten [T]</t>
  </si>
  <si>
    <t xml:space="preserve">MF-G03-R5</t>
  </si>
  <si>
    <t xml:space="preserve">[11.4 Notbremsschalter in der Schachtgrube vorhanden?] ist beantwortet</t>
  </si>
  <si>
    <t xml:space="preserve">Unsicherer Zugang zur Schachtgrube (Leiter, Grubenzugangstür)
Faktor: Mechanische Gefährdung durch Absturz
Betroffen: Wartungspersonal, Beauftragte Person
Bewertungslogik: Höchste Stufe – alle zutreffenden Regeln zählen, maßgeblich ist die HÖCHSTE STUFE; Maßnahmen aller Treffer werden übernommen.
Bewertet, wenn: immer
Pflichtfragen: 11.7, 11.6 (wenn [11.7] = Nein), 11.7a (wenn [11.7] = Ja)</t>
  </si>
  <si>
    <t xml:space="preserve">EN 81-80: Nr. 8 (5.5.2), Nr. 15 (5.5.8)
DIN EN 81-20 5.2.2.4
DIN EN 81-20 5.2.3.3
TRBS 3121 Anh. 1 Nr. 6 (Zugang zur Schachtgrube)</t>
  </si>
  <si>
    <t xml:space="preserve">MF-G04-R7</t>
  </si>
  <si>
    <t xml:space="preserve">[11.7 Zugang zur Grube über eine separate Grubenzugangstür (ebenerdig, ohne Abstieg über eine Leiter)?] = Nein
UND [11.6 Grubenleiter] = „Keine Grubenleiter"</t>
  </si>
  <si>
    <t xml:space="preserve">• Ohne Leiter kein Einstieg! Eigene Leiter verwenden [O]</t>
  </si>
  <si>
    <t xml:space="preserve">• Schachtgrubenleiter nachrüsten [T]</t>
  </si>
  <si>
    <t xml:space="preserve">[Prüfbericht: Prüfbericht 16.09.2026 – Leiter nur bewertet, wenn der Zugang über eine Leiter erfolgt]</t>
  </si>
  <si>
    <t xml:space="preserve">MF-G04-R2</t>
  </si>
  <si>
    <t xml:space="preserve">[11.7a Elektrische Sicherheitseinrichtung an der Grubenzugangstür?] = Nein</t>
  </si>
  <si>
    <t xml:space="preserve">• Grubenzugangstür verschlossen halten, Zutritt nur mit Freischaltung der Anlage [O]</t>
  </si>
  <si>
    <t xml:space="preserve">• Elektrische Sicherheitseinrichtung (Türkontakt im Sicherheitskreis) an der Grubenzugangstür nachrüsten [T]</t>
  </si>
  <si>
    <t xml:space="preserve">Blaupause Schindler M008 (f069 = Ja, f070 = Nein -&gt; Hoch, DIRECT).
Evidenz: abgeleitet</t>
  </si>
  <si>
    <t xml:space="preserve">MF-G04-R12</t>
  </si>
  <si>
    <t xml:space="preserve">[11.7 Zugang zur Grube über eine separate Grubenzugangstür (ebenerdig, ohne Abstieg über eine Leiter)?] = Nein
UND [11.6 Grubenleiter] = „Mobile Leiter im Schacht deponiert"</t>
  </si>
  <si>
    <t xml:space="preserve">• Mobile Leiter vor jedem Abstieg auf Eignung, Unversehrtheit und sicheren Stand prüfen; Not-Halt vorher betätigen [O]</t>
  </si>
  <si>
    <t xml:space="preserve">• Fest installierte Grubenleiter nach DIN EN 81-20 5.2.2.4 nachrüsten [T]</t>
  </si>
  <si>
    <t xml:space="preserve">Prüfbericht 20.09.2026: Die Option blieb ohne Regel und damit ohne Stufe. Eine im Schacht deponierte mobile Leiter ist verfügbar, aber keine fest angebrachte Steigeinrichtung (TRBS 3121 Anh. 1 Nr. 6).
Evidenz: abgeleitet</t>
  </si>
  <si>
    <t xml:space="preserve">MF-G04-R8</t>
  </si>
  <si>
    <t xml:space="preserve">[11.7 Zugang zur Grube über eine separate Grubenzugangstür (ebenerdig, ohne Abstieg über eine Leiter)?] = Nein
UND [11.6 Grubenleiter] = „Grubenleiter vorhanden, aber schwer erreichbar"</t>
  </si>
  <si>
    <t xml:space="preserve">• Not-Halt vor dem Abstieg betätigen; Grube nur mit Dreipunktkontakt über die Leiter betreten [O]</t>
  </si>
  <si>
    <t xml:space="preserve">• Umbau Schachtgrubenleiter [T]</t>
  </si>
  <si>
    <t xml:space="preserve">[Prüfbericht: Prüfbericht 16.09.2026 – nur bei Zugang über Leiter]</t>
  </si>
  <si>
    <t xml:space="preserve">MF-G04-R9</t>
  </si>
  <si>
    <t xml:space="preserve">[11.7 Zugang zur Grube über eine separate Grubenzugangstür (ebenerdig, ohne Abstieg über eine Leiter)?] = Nein
UND [11.6 Grubenleiter] = „Leiter beim Kunden deponiert"</t>
  </si>
  <si>
    <t xml:space="preserve">• Auf Eignung, Unversehrtheit, Vollständigkeit achten [O]</t>
  </si>
  <si>
    <t xml:space="preserve">MF-G04-R10</t>
  </si>
  <si>
    <t xml:space="preserve">[11.7 Zugang zur Grube über eine separate Grubenzugangstür (ebenerdig, ohne Abstieg über eine Leiter)?] = Nein
UND [11.6 Grubenleiter] = „Leiter wird im Kundendienstfahrzeug mitgeführt"</t>
  </si>
  <si>
    <t xml:space="preserve">• Leiter aus dem Fahrzeug holen [O]</t>
  </si>
  <si>
    <t xml:space="preserve">[Prüfbericht: Prüfbericht 16.09.2026 – nur bei Zugang über Leiter] Frühere Klärung (vor der Änderung entschieden): K-S02</t>
  </si>
  <si>
    <t xml:space="preserve">MF-G04-R11</t>
  </si>
  <si>
    <t xml:space="preserve">[11.7 Zugang zur Grube über eine separate Grubenzugangstür (ebenerdig, ohne Abstieg über eine Leiter)?] ist beantwortet</t>
  </si>
  <si>
    <t xml:space="preserve">MF-G05</t>
  </si>
  <si>
    <t xml:space="preserve">Keine Selbstbefreiung aus der Schachtgrube und kein Notruf in der Grube
Faktor: Sonstige Gefährdung durch fehlende oder unzureichende Notfallorganisation
Betroffen: Wartungspersonal
Bewertungslogik: Vorrang – es gilt die zutreffende Regel mit der HÖCHSTEN PRIORITÄT (so wirken Kompensationen); bei gleicher Priorität die höhere Stufe.
Bewertet, wenn: immer
Pflichtfragen: 11.8, 11.9</t>
  </si>
  <si>
    <t xml:space="preserve">EN 81-80: Nr. 18 (5.5.11)
DIN EN 81-20 5.3.9.3.5
DIN EN 81-20 5.12.3.2</t>
  </si>
  <si>
    <t xml:space="preserve">MF-G05-R1</t>
  </si>
  <si>
    <t xml:space="preserve">[11.8 Selbstbefreiung aus der Grube über die Schachttür möglich (Verschluss innerhalb 1,80 m Höhe / 0,80 m horizontal)?] = Nein
UND [11.9 Notrufeinrichtung in der Schachtgrube vorhanden?] = Nein</t>
  </si>
  <si>
    <t xml:space="preserve">• Grube nur zu zweit betreten, an- und abmelden, Mobilfunkempfang prüfen [O]</t>
  </si>
  <si>
    <t xml:space="preserve">• Notrufeinrichtung in der Schachtgrube nachrüsten oder Selbstbefreiung ermöglichen [T]</t>
  </si>
  <si>
    <t xml:space="preserve">MF-G05-R2</t>
  </si>
  <si>
    <t xml:space="preserve">[11.8 Selbstbefreiung aus der Grube über die Schachttür möglich (Verschluss innerhalb 1,80 m Höhe / 0,80 m horizontal)?] = Nein</t>
  </si>
  <si>
    <t xml:space="preserve">• Vor dem Abstieg an- und abmelden [O]</t>
  </si>
  <si>
    <t xml:space="preserve">• Zugang zur Schachttür verbessern [T]</t>
  </si>
  <si>
    <t xml:space="preserve">MF-G05-R3</t>
  </si>
  <si>
    <t xml:space="preserve">[11.9 Notrufeinrichtung in der Schachtgrube vorhanden?] = Nein</t>
  </si>
  <si>
    <t xml:space="preserve">MF-G05-R4</t>
  </si>
  <si>
    <t xml:space="preserve">[11.8 Selbstbefreiung aus der Grube über die Schachttür möglich (Verschluss innerhalb 1,80 m Höhe / 0,80 m horizontal)?] ist beantwortet</t>
  </si>
  <si>
    <t xml:space="preserve">MF-G06</t>
  </si>
  <si>
    <t xml:space="preserve">Fehlende, beschädigte oder ungeeignete Puffer
Faktor: Mechanische Gefährdung durch Stoß (fehlende Endbegrenzung, Aufprall)
Betroffen: Nutzer, Wartungspersonal
Bewertungslogik: Höchste Stufe – alle zutreffenden Regeln zählen, maßgeblich ist die HÖCHSTE STUFE; Maßnahmen aller Treffer werden übernommen.
Bewertet, wenn: immer
Pflichtfragen: 11.10, 11.10a (wenn [11.10] = Ja), 11.10b (wenn [11.10] = Ja), 11.10c (wenn [11.10b] = „Energieverzehrend (hydraulisch)"), 3.1a</t>
  </si>
  <si>
    <t xml:space="preserve">EN 81-80: Nr. 56 (5.10.2)
DIN EN 81-20 5.8.1.1
DIN EN 81-20 5.8.2.1
TRBS 3121 Anh. 1 Nr. 18 (Puffer in den Endlagen)</t>
  </si>
  <si>
    <t xml:space="preserve">MF-G06-R1</t>
  </si>
  <si>
    <t xml:space="preserve">[11.10 Puffer für Fahrkorb und Gegengewicht vorhanden?] = Nein</t>
  </si>
  <si>
    <t xml:space="preserve">• Puffer nach DIN EN 81-20, 5.8.1 ersetzen [T]</t>
  </si>
  <si>
    <t xml:space="preserve">MF-G06-R2</t>
  </si>
  <si>
    <t xml:space="preserve">[11.10a Puffer unbeschädigt und nicht verschlissen?] = Nein</t>
  </si>
  <si>
    <t xml:space="preserve">MF-G06-R3</t>
  </si>
  <si>
    <t xml:space="preserve">[11.10b Bauart der Puffer] = „Energiespeichernd (Feder / Polyurethan)"
UND [3.1a Nenngeschwindigkeit [m/s]] &gt; 1,0</t>
  </si>
  <si>
    <t xml:space="preserve">• Puffertyp und Nenngeschwindigkeit durch die ZÜS bewerten lassen [O]</t>
  </si>
  <si>
    <t xml:space="preserve">• Energieverzehrende Puffer nachrüsten [T]</t>
  </si>
  <si>
    <t xml:space="preserve">Entschieden 2026-09-02: K-S04.</t>
  </si>
  <si>
    <t xml:space="preserve">MF-G06-R4</t>
  </si>
  <si>
    <t xml:space="preserve">[11.10c Ölstand hydraulischer Puffer prüfbar und Kennzeichnung vorhanden?] = Nein</t>
  </si>
  <si>
    <t xml:space="preserve">• Zustand sichtprüfen [O]</t>
  </si>
  <si>
    <t xml:space="preserve">• Prüfmöglichkeit und Kennzeichnung herstellen [T]</t>
  </si>
  <si>
    <t xml:space="preserve">MF-G06-R5</t>
  </si>
  <si>
    <t xml:space="preserve">[11.10 Puffer für Fahrkorb und Gegengewicht vorhanden?] ist beantwortet</t>
  </si>
  <si>
    <t xml:space="preserve">Fehlende oder unzulängliche Abtrennung und Sicherung des Gegengewichts
Faktor: Mechanische Gefährdung durch bewegte Teile (Quetschen, Scheren, Einziehen)
Betroffen: Wartungspersonal
Bewertungslogik: Höchste Stufe – alle zutreffenden Regeln zählen, maßgeblich ist die HÖCHSTE STUFE; Maßnahmen aller Treffer werden übernommen.
Bewertet, wenn: ([3.1 Aufzugsart] ist eines von „Seil-/Riemenaufzug (Treibscheibe)" / „Trommel- oder Kettenaufzug" / „Seil-Hydraulikaufzug (indirekt)" UND [3.1b Gegengewicht oder Ausgleichsgewicht vorhanden?] = Ja)
Pflichtfragen: 11.11, 11.12, 11.13 (wenn [4.8a] = Ja)</t>
  </si>
  <si>
    <t xml:space="preserve">EN 81-80: Nr. 10 (5.5.4), Nr. 11 (5.5.5)
DIN EN 81-20 5.2.5.5.1
DIN EN 81-20 5.2.5.5.2
TRBS 3121 Anh. 1 Nr. 2 (Gegen- und Ausgleichsgewichtsumwehrung)</t>
  </si>
  <si>
    <t xml:space="preserve">MF-G07-R1</t>
  </si>
  <si>
    <t xml:space="preserve">[11.11 Abtrennung der Gegengewichtsfahrbahn in der Grube] = „Keine Abtrennung"</t>
  </si>
  <si>
    <t xml:space="preserve">• Grube nicht betreten oder Anlage vorher stilllegen [O]</t>
  </si>
  <si>
    <t xml:space="preserve">• Abtrennung der Gegengewichtsfahrbahn von höchstens 0,30 m bis mindestens 2,0 m über der Schachtgrubensohle in der Breite des Gegengewichts herstellen [T]</t>
  </si>
  <si>
    <t xml:space="preserve">[Prüfbericht: B03 – Maß nach TRBS 3121 Anh. 1 Nr. 2 (2,0 m über Grubensohle); 2,50 m über unterster Haltestelle gilt für Nachbaraufzüge (Nr. 3)]</t>
  </si>
  <si>
    <t xml:space="preserve">MF-G07-R2</t>
  </si>
  <si>
    <t xml:space="preserve">[11.12 Gegengewichtsfüllung gegen Herausfallen gesichert (Rahmen)?] = Nein</t>
  </si>
  <si>
    <t xml:space="preserve">• Bereich unter dem Gegengewicht sperren [O]</t>
  </si>
  <si>
    <t xml:space="preserve">• Füllung sichern oder geschlossenen Rahmen nachrüsten [T]</t>
  </si>
  <si>
    <t xml:space="preserve">MF-G07-R3</t>
  </si>
  <si>
    <t xml:space="preserve">[11.13 Fangvorrichtung am Gegengewicht (oder durchgehendes Fundament) bei betretbarem Raum unter der Grube?] = Nein</t>
  </si>
  <si>
    <t xml:space="preserve">• Raum unterhalb des Schachtes sperren [O]</t>
  </si>
  <si>
    <t xml:space="preserve">• Fangvorrichtung am Gegengewicht nachrüsten oder Raum dauerhaft unzugänglich machen [T]</t>
  </si>
  <si>
    <t xml:space="preserve">MF-G07-R4</t>
  </si>
  <si>
    <t xml:space="preserve">[11.11 Abtrennung der Gegengewichtsfahrbahn in der Grube] = „Vorhanden, aber zu niedrig oder grobmaschig"</t>
  </si>
  <si>
    <t xml:space="preserve">• Warnhinweis mit Kennzeichnung der Gefahrenstelle anbringen; sichere Position einnehmen [O]</t>
  </si>
  <si>
    <t xml:space="preserve">• Abtrennung nach DIN EN 81-20, 5.2.5.5.2 ertüchtigen [T]</t>
  </si>
  <si>
    <t xml:space="preserve">[Prüfbericht: B03 – organisatorische Maßnahme nach TRBS 3121 Anh. 1 Nr. 2]</t>
  </si>
  <si>
    <t xml:space="preserve">MF-G07-R5</t>
  </si>
  <si>
    <t xml:space="preserve">[11.11 Abtrennung der Gegengewichtsfahrbahn in der Grube] ist beantwortet</t>
  </si>
  <si>
    <t xml:space="preserve">MF-G08</t>
  </si>
  <si>
    <t xml:space="preserve">Fehlende Abtrennung zum Nachbaraufzug in der Schachtgrube
Faktor: Mechanische Gefährdung durch bewegte Teile (Quetschen, Scheren, Einziehen)
Betroffen: Wartungspersonal
Bewertungslogik: Vorrang – es gilt die zutreffende Regel mit der HÖCHSTEN PRIORITÄT (so wirken Kompensationen); bei gleicher Priorität die höhere Stufe.
Bewertet, wenn: [4.8 Mehrere Aufzüge in einem gemeinsamen Schacht?] = Ja
Pflichtfragen: 11.14, 11.14a (wenn [11.14] = Nein), 11.14b (wenn [11.14a] = Ja)</t>
  </si>
  <si>
    <t xml:space="preserve">EN 81-80: Nr. 12 (5.5.6.1), Nr. 13 (5.5.6.2)
DIN EN 81-20 5.2.5.5.2.1
TRBS 3121 Anh. 1 Nr. 3 (Benachbarte Aufzüge in der Schachtgrube)</t>
  </si>
  <si>
    <t xml:space="preserve">MF-G08-R3</t>
  </si>
  <si>
    <t xml:space="preserve">[11.14 Abtrennung zum Nachbaraufzug in der Schachtgrube vorhanden?] = Nein
UND [11.14a Einrichtung zum automatischen Abschalten des Nachbaraufzugs bei Arbeiten in der Schachtgrube vorhanden?] = Ja
UND [11.14b Automatische Abschaltung in der Funktion geprüft, alle Nachbaranlagen erfasst und Wirkung bei Inspektions- und Rückholbetrieb bestätigt?] = Nein</t>
  </si>
  <si>
    <t xml:space="preserve">Prüfbericht 20.09.2026: fail-closed – ohne Funktionsnachweis ist die automatische Abschaltung keine wirksame Kompensation und senkt die Stufe der fehlenden Abtrennung nicht (vorher Mittel). [Prüfbericht: Prüfbericht 16.09.2026 – Abschaltung ohne Funktionsnachweis]
Evidenz: abgeleitet</t>
  </si>
  <si>
    <t xml:space="preserve">MF-G08-R4</t>
  </si>
  <si>
    <t xml:space="preserve">[11.14 Abtrennung zum Nachbaraufzug in der Schachtgrube vorhanden?] = Nein
UND [11.14a Einrichtung zum automatischen Abschalten des Nachbaraufzugs bei Arbeiten in der Schachtgrube vorhanden?] = Ja
UND [11.14b Automatische Abschaltung in der Funktion geprüft, alle Nachbaranlagen erfasst und Wirkung bei Inspektions- und Rückholbetrieb bestätigt?] = Ja</t>
  </si>
  <si>
    <t xml:space="preserve">TRBS 3121 Anh. 1 Nr. 3 b): automatische Abschaltung des Nachbaraufzugs ist gleichwertige Alternative. [Prüfbericht: H03 – neu: Alternative automatische Abschaltung]</t>
  </si>
  <si>
    <t xml:space="preserve">MF-G08-R1</t>
  </si>
  <si>
    <t xml:space="preserve">[11.14 Abtrennung zum Nachbaraufzug in der Schachtgrube vorhanden?] = Nein</t>
  </si>
  <si>
    <t xml:space="preserve">• Vor Betreten der Schachtgrube den Nachbaraufzug abschalten und gegen Wiedereinschalten sichern [O]</t>
  </si>
  <si>
    <t xml:space="preserve">• Abtrennung von höchstens 0,30 m über dem Grubenboden bis 2,50 m über dem Niveau der untersten Haltestelle nachrüsten oder automatische Abschaltung des Nachbaraufzugs vorsehen [T]</t>
  </si>
  <si>
    <t xml:space="preserve">MF-G08-R2</t>
  </si>
  <si>
    <t xml:space="preserve">[11.14 Abtrennung zum Nachbaraufzug in der Schachtgrube vorhanden?] ist beantwortet</t>
  </si>
  <si>
    <t xml:space="preserve">Asbesthaltige oder andere schädliche Baustoffe im Bereich der Anlage
Faktor: Gefährdung durch Gefahrstoffe und biologische Arbeitsstoffe
Betroffen: Wartungspersonal, Beauftragte Person
Bewertungslogik: Ortsmatrix – jede zutreffende Regel ist ein Befund, maßgeblich ist die HÖCHSTE STUFE.
Bewertet, wenn: immer
Pflichtfragen: 5.60, 5.61 (wenn [4.7] = Ja), 10.20, 11.20, 15.11</t>
  </si>
  <si>
    <t xml:space="preserve">EN 81-80: Nr. 1 (5.1.4)
GefStoffV § 6
TRGS 519</t>
  </si>
  <si>
    <t xml:space="preserve">MF-U01-R1</t>
  </si>
  <si>
    <t xml:space="preserve">[5.60 Asbesthaltige oder andere schädliche Baustoffe im Zugangsbereich zum Triebwerksraum (Bremsbeläge, Dichtungen, Brandschutzplatten, Isolierungen)?] = Ja</t>
  </si>
  <si>
    <t xml:space="preserve">• Zugangsbereich zum Triebwerksraum: Keine Tätigkeiten, die das Material beschädigen (Bohren, Schleifen, Stemmen); Fundstelle kennzeichnen und Betreiber schriftlich informieren [O]</t>
  </si>
  <si>
    <t xml:space="preserve">• Zugangsbereich zum Triebwerksraum: Fundstelle durch Sachkundige nach TRGS 519 bewerten und sanieren lassen; Tätigkeiten bis dahin nur nach TRGS 519 [O]</t>
  </si>
  <si>
    <t xml:space="preserve">[Prüfbericht: H07 – gefährdungsspezifische Maßnahmen statt generischer Schnittstellen-Texte] Frühere Klärung (vor der Änderung entschieden): K-U01
Evidenz: abgeleitet</t>
  </si>
  <si>
    <t xml:space="preserve">MF-U01-R2</t>
  </si>
  <si>
    <t xml:space="preserve">[5.61 Asbesthaltige oder andere schädliche Baustoffe im Triebwerks-/Maschinenraum (Bremsbeläge, Dichtungen, Brandschutzplatten, Isolierungen)?] = Ja</t>
  </si>
  <si>
    <t xml:space="preserve">• Triebwerks-/Maschinenraum: Keine Tätigkeiten, die das Material beschädigen (Bohren, Schleifen, Stemmen); Fundstelle kennzeichnen und Betreiber schriftlich informieren [O]</t>
  </si>
  <si>
    <t xml:space="preserve">• Triebwerks-/Maschinenraum: Fundstelle durch Sachkundige nach TRGS 519 bewerten und sanieren lassen; Tätigkeiten bis dahin nur nach TRGS 519 [O]</t>
  </si>
  <si>
    <t xml:space="preserve">MF-U01-R3</t>
  </si>
  <si>
    <t xml:space="preserve">[10.20 Asbesthaltige oder andere schädliche Baustoffe im Schacht / am Fahrkorb (Bremsbeläge, Dichtungen, Brandschutzplatten, Isolierungen)?] = Ja</t>
  </si>
  <si>
    <t xml:space="preserve">• Schacht / Fahrkorb: Keine Tätigkeiten, die das Material beschädigen (Bohren, Schleifen, Stemmen); Fundstelle kennzeichnen und Betreiber schriftlich informieren [O]</t>
  </si>
  <si>
    <t xml:space="preserve">• Schacht / Fahrkorb: Fundstelle durch Sachkundige nach TRGS 519 bewerten und sanieren lassen; Tätigkeiten bis dahin nur nach TRGS 519 [O]</t>
  </si>
  <si>
    <t xml:space="preserve">MF-U01-R4</t>
  </si>
  <si>
    <t xml:space="preserve">[11.20 Asbesthaltige oder andere schädliche Baustoffe in der Schachtgrube (Bremsbeläge, Dichtungen, Brandschutzplatten, Isolierungen)?] = Ja</t>
  </si>
  <si>
    <t xml:space="preserve">• Schachtgrube: Keine Tätigkeiten, die das Material beschädigen (Bohren, Schleifen, Stemmen); Fundstelle kennzeichnen und Betreiber schriftlich informieren [O]</t>
  </si>
  <si>
    <t xml:space="preserve">• Schachtgrube: Fundstelle durch Sachkundige nach TRGS 519 bewerten und sanieren lassen; Tätigkeiten bis dahin nur nach TRGS 519 [O]</t>
  </si>
  <si>
    <t xml:space="preserve">MF-U01-R5</t>
  </si>
  <si>
    <t xml:space="preserve">[15.11 Ist die Asbest-/Schadstoffsituation der Anlage unbekannt (Baujahr vor 1995, keine Unterlagen, keine Beprobung)?] = Ja</t>
  </si>
  <si>
    <t xml:space="preserve">• Vor Tätigkeiten, die Baustoffe beschädigen können, Schadstoffsituation klären; bis dahin solche Tätigkeiten unterlassen [O]</t>
  </si>
  <si>
    <t xml:space="preserve">• Schadstofferkundung (Probenahme) durch Sachkundige veranlassen und das Ergebnis in dieser Gefährdungsbeurteilung nachtragen [O]</t>
  </si>
  <si>
    <t xml:space="preserve">[Prüfbericht: H06 – Unsicherheit ist kein bestätigter Befund: Mittel mit Erkundung statt Hoch mit Stillsetzung]</t>
  </si>
  <si>
    <t xml:space="preserve">MF-U01-R6</t>
  </si>
  <si>
    <t xml:space="preserve">[5.60 Asbesthaltige oder andere schädliche Baustoffe im Zugangsbereich zum Triebwerksraum (Bremsbeläge, Dichtungen, Brandschutzplatten, Isolierungen)?] ist beantwortet</t>
  </si>
  <si>
    <t xml:space="preserve">MF-U02</t>
  </si>
  <si>
    <t xml:space="preserve">Erhebliche Verschmutzungen im Bereich der Anlage
Faktor: Gefährdung durch Gefahrstoffe und biologische Arbeitsstoffe
Betroffen: Wartungspersonal, Beauftragte Person
Bewertungslogik: Ortsmatrix – jede zutreffende Regel ist ein Befund, maßgeblich ist die HÖCHSTE STUFE.
Bewertet, wenn: immer
Pflichtfragen: 5.62, 5.63 (wenn [4.7] = Ja), 10.21, 11.21</t>
  </si>
  <si>
    <t xml:space="preserve">EN 81-80: im Bestandskatalog (organisatorisch)
BioStoffV</t>
  </si>
  <si>
    <t xml:space="preserve">MF-U02-R1</t>
  </si>
  <si>
    <t xml:space="preserve">[5.62 Erhebliche Verschmutzungen (Taubenkot, Unrat, Schimmel, Ablagerungen) im Zugangsbereich zum Triebwerksraum?] = Ja</t>
  </si>
  <si>
    <t xml:space="preserve">• Zugangsbereich zum Triebwerksraum: Bereich nur mit geeigneter Schutzausrüstung (Handschuhe, bei Taubenkot/Schimmel Atemschutz FFP3) betreten; Betreiber zur Reinigung auffordern [O]</t>
  </si>
  <si>
    <t xml:space="preserve">• Zugangsbereich zum Triebwerksraum: Reinigung veranlassen (bei Taubenkot/Schimmel durch Fachfirma) und Ursache abstellen (Abdichtung, Taubenabwehr) [O]</t>
  </si>
  <si>
    <t xml:space="preserve">MF-U02-R2</t>
  </si>
  <si>
    <t xml:space="preserve">[5.63 Erhebliche Verschmutzungen (Taubenkot, Unrat, Schimmel, Ablagerungen) im Triebwerks-/Maschinenraum?] = Ja</t>
  </si>
  <si>
    <t xml:space="preserve">• Triebwerks-/Maschinenraum: Bereich nur mit geeigneter Schutzausrüstung (Handschuhe, bei Taubenkot/Schimmel Atemschutz FFP3) betreten; Betreiber zur Reinigung auffordern [O]</t>
  </si>
  <si>
    <t xml:space="preserve">• Triebwerks-/Maschinenraum: Reinigung veranlassen (bei Taubenkot/Schimmel durch Fachfirma) und Ursache abstellen (Abdichtung, Taubenabwehr) [O]</t>
  </si>
  <si>
    <t xml:space="preserve">MF-U02-R3</t>
  </si>
  <si>
    <t xml:space="preserve">[10.21 Erhebliche Verschmutzungen (Taubenkot, Unrat, Schimmel, Ablagerungen) im Schacht / am Fahrkorb?] = Ja</t>
  </si>
  <si>
    <t xml:space="preserve">• Schacht / Fahrkorb: Bereich nur mit geeigneter Schutzausrüstung (Handschuhe, bei Taubenkot/Schimmel Atemschutz FFP3) betreten; Betreiber zur Reinigung auffordern [O]</t>
  </si>
  <si>
    <t xml:space="preserve">• Schacht / Fahrkorb: Reinigung veranlassen (bei Taubenkot/Schimmel durch Fachfirma) und Ursache abstellen (Abdichtung, Taubenabwehr) [O]</t>
  </si>
  <si>
    <t xml:space="preserve">MF-U02-R4</t>
  </si>
  <si>
    <t xml:space="preserve">[11.21 Erhebliche Verschmutzungen (Taubenkot, Unrat, Schimmel, Ablagerungen) in der Schachtgrube?] = Ja</t>
  </si>
  <si>
    <t xml:space="preserve">• Schachtgrube: Bereich nur mit geeigneter Schutzausrüstung (Handschuhe, bei Taubenkot/Schimmel Atemschutz FFP3) betreten; Betreiber zur Reinigung auffordern [O]</t>
  </si>
  <si>
    <t xml:space="preserve">• Schachtgrube: Reinigung veranlassen (bei Taubenkot/Schimmel durch Fachfirma) und Ursache abstellen (Abdichtung, Taubenabwehr) [O]</t>
  </si>
  <si>
    <t xml:space="preserve">MF-U02-R5</t>
  </si>
  <si>
    <t xml:space="preserve">[5.62 Erhebliche Verschmutzungen (Taubenkot, Unrat, Schimmel, Ablagerungen) im Zugangsbereich zum Triebwerksraum?] ist beantwortet</t>
  </si>
  <si>
    <t xml:space="preserve">MF-U03</t>
  </si>
  <si>
    <t xml:space="preserve">Lagerung brennbarer oder leicht entzündlicher Stoffe im Bereich der Anlage
Faktor: Brand- und Explosionsgefährdung
Betroffen: Nutzer, Wartungspersonal, Beauftragte Person
Bewertungslogik: Ortsmatrix – jede zutreffende Regel ist ein Befund, maßgeblich ist die HÖCHSTE STUFE.
Bewertet, wenn: immer
Pflichtfragen: 5.64, 5.65 (wenn [4.7] = Ja), 10.22, 11.22</t>
  </si>
  <si>
    <t xml:space="preserve">EN 81-80: im Bestandskatalog (organisatorisch)
BetrSichV § 3
TRGS 800</t>
  </si>
  <si>
    <t xml:space="preserve">MF-U03-R1</t>
  </si>
  <si>
    <t xml:space="preserve">[5.64 Lagerung brennbarer oder leicht entzündlicher Stoffe im Zugangsbereich zum Triebwerksraum?] = Ja</t>
  </si>
  <si>
    <t xml:space="preserve">• Zugangsbereich zum Triebwerksraum: Brennbare Stoffe aus dem Aufzugsbereich entfernen lassen; keine Zündquellen [T]</t>
  </si>
  <si>
    <t xml:space="preserve">• Zugangsbereich zum Triebwerksraum: Lagerverbot für brennbare Stoffe im Aufzugsbereich in der Betriebsanweisung festlegen und bei der Betreiberkontrolle prüfen [O]</t>
  </si>
  <si>
    <t xml:space="preserve">MF-U03-R2</t>
  </si>
  <si>
    <t xml:space="preserve">[5.65 Lagerung brennbarer oder leicht entzündlicher Stoffe im Triebwerks-/Maschinenraum?] = Ja</t>
  </si>
  <si>
    <t xml:space="preserve">• Triebwerks-/Maschinenraum: Brennbare Stoffe aus dem Aufzugsbereich entfernen lassen; keine Zündquellen [T]</t>
  </si>
  <si>
    <t xml:space="preserve">• Triebwerks-/Maschinenraum: Lagerverbot für brennbare Stoffe im Aufzugsbereich in der Betriebsanweisung festlegen und bei der Betreiberkontrolle prüfen [O]</t>
  </si>
  <si>
    <t xml:space="preserve">MF-U03-R3</t>
  </si>
  <si>
    <t xml:space="preserve">[10.22 Lagerung brennbarer oder leicht entzündlicher Stoffe im Schacht / am Fahrkorb?] = Ja</t>
  </si>
  <si>
    <t xml:space="preserve">• Schacht / Fahrkorb: Brennbare Stoffe aus dem Aufzugsbereich entfernen lassen; keine Zündquellen [T]</t>
  </si>
  <si>
    <t xml:space="preserve">• Schacht / Fahrkorb: Lagerverbot für brennbare Stoffe im Aufzugsbereich in der Betriebsanweisung festlegen und bei der Betreiberkontrolle prüfen [O]</t>
  </si>
  <si>
    <t xml:space="preserve">MF-U03-R4</t>
  </si>
  <si>
    <t xml:space="preserve">[11.22 Lagerung brennbarer oder leicht entzündlicher Stoffe in der Schachtgrube?] = Ja</t>
  </si>
  <si>
    <t xml:space="preserve">• Schachtgrube: Brennbare Stoffe aus dem Aufzugsbereich entfernen lassen; keine Zündquellen [T]</t>
  </si>
  <si>
    <t xml:space="preserve">• Schachtgrube: Lagerverbot für brennbare Stoffe im Aufzugsbereich in der Betriebsanweisung festlegen und bei der Betreiberkontrolle prüfen [O]</t>
  </si>
  <si>
    <t xml:space="preserve">MF-U03-R5</t>
  </si>
  <si>
    <t xml:space="preserve">[5.64 Lagerung brennbarer oder leicht entzündlicher Stoffe im Zugangsbereich zum Triebwerksraum?] ist beantwortet</t>
  </si>
  <si>
    <t xml:space="preserve">MF-U04</t>
  </si>
  <si>
    <t xml:space="preserve">Chemische oder biologische Gefahrstoffe in unmittelbarer Nähe der Anlage gelagert
Faktor: Gefährdung durch Gefahrstoffe und biologische Arbeitsstoffe
Betroffen: Wartungspersonal, Beauftragte Person
Bewertungslogik: Höchste Stufe – alle zutreffenden Regeln zählen, maßgeblich ist die HÖCHSTE STUFE; Maßnahmen aller Treffer werden übernommen.
Bewertet, wenn: immer
Pflichtfragen: 15.28, 15.29</t>
  </si>
  <si>
    <t xml:space="preserve">EN 81-80: im Bestandskatalog (organisatorisch)
GefStoffV
BioStoffV</t>
  </si>
  <si>
    <t xml:space="preserve">1 von 3 offen</t>
  </si>
  <si>
    <t xml:space="preserve">MF-U04-R1</t>
  </si>
  <si>
    <t xml:space="preserve">[15.28 Chemische Gefahrstoffe in unmittelbarer Nähe der Anlage gelagert?] = Ja</t>
  </si>
  <si>
    <t xml:space="preserve">• Lagerung mit dem Betreiber klären, Sicherheitsdatenblätter einsehen [O]</t>
  </si>
  <si>
    <t xml:space="preserve">• Gefahrstofflagerung aus dem Aufzugsbereich verlegen oder in die Betriebsanweisung aufnehmen [O]</t>
  </si>
  <si>
    <t xml:space="preserve">Entschieden 2026-09-02: K-U02.
Evidenz: abgeleitet</t>
  </si>
  <si>
    <t xml:space="preserve">MF-U04-R2</t>
  </si>
  <si>
    <t xml:space="preserve">[15.29 Biologische Arbeitsstoffe (Labor, Klinik, Entsorgung) in unmittelbarer Nähe der Anlage?] = Ja</t>
  </si>
  <si>
    <t xml:space="preserve">• Hygiene-/Schutzmaßnahmen für Wartungspersonal mit dem Betreiber abstimmen [O]</t>
  </si>
  <si>
    <t xml:space="preserve">• Umgang mit biologischen Arbeitsstoffen im Aufzugsbereich in der Betriebsanweisung regeln [O]</t>
  </si>
  <si>
    <t xml:space="preserve">MF-U04-R3</t>
  </si>
  <si>
    <t xml:space="preserve">[15.28 Chemische Gefahrstoffe in unmittelbarer Nähe der Anlage gelagert?] ist beantwortet</t>
  </si>
  <si>
    <t xml:space="preserve">MF-U05</t>
  </si>
  <si>
    <t xml:space="preserve">Transport von Gefahrstoffen mit der Aufzugsanlage
Faktor: Gefährdung durch Gefahrstoffe und biologische Arbeitsstoffe
Betroffen: Nutzer, Wartungspersonal
Bewertungslogik: Höchste Stufe – alle zutreffenden Regeln zählen, maßgeblich ist die HÖCHSTE STUFE; Maßnahmen aller Treffer werden übernommen.
Bewertet, wenn: immer
Pflichtfragen: 15.32, 15.33, 15.34, 15.35</t>
  </si>
  <si>
    <t xml:space="preserve">EN 81-80: im Bestandskatalog (organisatorisch)
GefStoffV
StrlSchV
BioStoffV</t>
  </si>
  <si>
    <t xml:space="preserve">MF-U05-R1</t>
  </si>
  <si>
    <t xml:space="preserve">[15.32 Transport chemischer Gefahrstoffe mit dem Aufzug?] = Ja</t>
  </si>
  <si>
    <t xml:space="preserve">• Transportregeln (Behälter, Begleitung, Nutzung durch Dritte) mit dem Betreiber festlegen [O]</t>
  </si>
  <si>
    <t xml:space="preserve">• Lüftung des Fahrkorbs und Verhalten bei Freisetzung in der Betriebsanweisung regeln [O]</t>
  </si>
  <si>
    <t xml:space="preserve">MF-U05-R2</t>
  </si>
  <si>
    <t xml:space="preserve">[15.33 Transport biologischer Arbeitsstoffe / infektiöser Stoffe mit dem Aufzug?] = Ja</t>
  </si>
  <si>
    <t xml:space="preserve">• Transport nur in dichten, gekennzeichneten Behältern; Fahrkorb nach Kontamination reinigen [O]</t>
  </si>
  <si>
    <t xml:space="preserve">• Reinigungs- und Desinfektionsplan für den Fahrkorb festlegen [O]</t>
  </si>
  <si>
    <t xml:space="preserve">MF-U05-R3</t>
  </si>
  <si>
    <t xml:space="preserve">[15.34 Transport brennbarer oder leicht entzündlicher Stoffe mit dem Aufzug?] = Ja</t>
  </si>
  <si>
    <t xml:space="preserve">• Transportmengen begrenzen, Zündquellen im Fahrkorb ausschließen [O]</t>
  </si>
  <si>
    <t xml:space="preserve">• Explosionsschutz-/Brandschutzbewertung für den Transport dokumentieren [O]</t>
  </si>
  <si>
    <t xml:space="preserve">MF-U05-R4</t>
  </si>
  <si>
    <t xml:space="preserve">[15.35 Transport radioaktiver Stoffe mit dem Aufzug?] = Ja</t>
  </si>
  <si>
    <t xml:space="preserve">• Strahlenschutzbeauftragten einbinden, Transport nur nach Strahlenschutzanweisung [O]</t>
  </si>
  <si>
    <t xml:space="preserve">• Regelung des Transports radioaktiver Stoffe in der Betriebsanweisung [O]</t>
  </si>
  <si>
    <t xml:space="preserve">MF-U05-R5</t>
  </si>
  <si>
    <t xml:space="preserve">[15.32 Transport chemischer Gefahrstoffe mit dem Aufzug?] ist beantwortet</t>
  </si>
  <si>
    <t xml:space="preserve">MF-U06</t>
  </si>
  <si>
    <t xml:space="preserve">Explosionsfähiges Gemisch kann durch die Aufzugsanlage gezündet werden
Faktor: Brand- und Explosionsgefährdung
Betroffen: Nutzer, Wartungspersonal
Bewertungslogik: Vorrang – es gilt die zutreffende Regel mit der HÖCHSTEN PRIORITÄT (so wirken Kompensationen); bei gleicher Priorität die höhere Stufe.
Bewertet, wenn: immer
Pflichtfragen: 15.25, 15.25a (wenn [15.25] = Ja), 15.25b (wenn [15.25a] = Ja)</t>
  </si>
  <si>
    <t xml:space="preserve">EN 81-80: im Bestandskatalog (organisatorisch)
GefStoffV § 6 Abs. 9
TRBS 2152
TRGS 720</t>
  </si>
  <si>
    <t xml:space="preserve">MF-U06-R4</t>
  </si>
  <si>
    <t xml:space="preserve">[15.25 Kann sich im Bereich der Anlage ein explosionsfähiges Gemisch bilden (Gase, Dämpfe, Stäube)?] = Ja
UND [15.25a Explosionsschutz für die Aufzugsanlage bewertet und dokumentiert (Explosionsschutzdokument)?] = Ja
UND [15.25b Festgelegte Ex-Schutzmaßnahmen an der Aufzugsanlage umgesetzt und auf Wirksamkeit geprüft (geeignete Betriebsmittel, Prüfung vor Inbetriebnahme/wiederkehrend)?] = Nein</t>
  </si>
  <si>
    <t xml:space="preserve">• Keine Arbeiten mit Zündquellen ohne Freigabe des Betreibers (Erlaubnisschein) [O]</t>
  </si>
  <si>
    <t xml:space="preserve">• Festgelegte Ex-Schutzmaßnahmen umsetzen und ihre Wirksamkeit vor der weiteren Nutzung prüfen lassen [O]</t>
  </si>
  <si>
    <t xml:space="preserve">[Prüfbericht: Prüfbericht 16.09.2026 – Dokumentation allein ist keine Schutzmaßnahme (§ 6 GefStoffV, § 4 BetrSichV)]</t>
  </si>
  <si>
    <t xml:space="preserve">MF-U06-R5</t>
  </si>
  <si>
    <t xml:space="preserve">[15.25 Kann sich im Bereich der Anlage ein explosionsfähiges Gemisch bilden (Gase, Dämpfe, Stäube)?] = Ja
UND [15.25a Explosionsschutz für die Aufzugsanlage bewertet und dokumentiert (Explosionsschutzdokument)?] = Ja
UND [15.25b Festgelegte Ex-Schutzmaßnahmen an der Aufzugsanlage umgesetzt und auf Wirksamkeit geprüft (geeignete Betriebsmittel, Prüfung vor Inbetriebnahme/wiederkehrend)?] = Ja</t>
  </si>
  <si>
    <t xml:space="preserve">• Festgelegte Ex-Schutzmaßnahmen einhalten, Zündquellen an der Anlage prüfen [O]</t>
  </si>
  <si>
    <t xml:space="preserve">• Explosionsschutzdokument bei Änderungen an Anlage oder Nutzung fortschreiben [O]</t>
  </si>
  <si>
    <t xml:space="preserve">Entschieden 2026-09-02: K-U03.
Evidenz: abgeleitet</t>
  </si>
  <si>
    <t xml:space="preserve">MF-U06-R2</t>
  </si>
  <si>
    <t xml:space="preserve">[15.25 Kann sich im Bereich der Anlage ein explosionsfähiges Gemisch bilden (Gase, Dämpfe, Stäube)?] = Ja</t>
  </si>
  <si>
    <t xml:space="preserve">• Keine Arbeiten mit Zündquellen ohne Freigabe des Betreibers (Erlaubnisschein); Betreiber auf die fehlende Bewertung hinweisen [O]</t>
  </si>
  <si>
    <t xml:space="preserve">• Explosionsschutzbewertung für die Aufzugsanlage erstellen lassen (Explosionsschutzdokument, Zoneneinteilung, geeignete Betriebsmittel) [O]</t>
  </si>
  <si>
    <t xml:space="preserve">[Prüfbericht: H07 – gefährdungsspezifische Maßnahmen statt generischer Schnittstellen-Texte] Frühere Klärung (vor der Änderung entschieden): K-U03</t>
  </si>
  <si>
    <t xml:space="preserve">MF-U06-R3</t>
  </si>
  <si>
    <t xml:space="preserve">[15.25 Kann sich im Bereich der Anlage ein explosionsfähiges Gemisch bilden (Gase, Dämpfe, Stäube)?] ist beantwortet</t>
  </si>
  <si>
    <t xml:space="preserve">MF-U07</t>
  </si>
  <si>
    <t xml:space="preserve">Umgebungsbedingungen: Temperatur, Feuchtigkeit, Wasser, Korrosion
Faktor: Gefährdung durch Arbeitsumgebungsbedingungen (Klima, Lärm, Emissionen)
Betroffen: Wartungspersonal, Nutzer
Bewertungslogik: Höchste Stufe – alle zutreffenden Regeln zählen, maßgeblich ist die HÖCHSTE STUFE; Maßnahmen aller Treffer werden übernommen.
Bewertet, wenn: immer
Pflichtfragen: 15.23, 15.23a, 15.23b, 11.15, 11.16</t>
  </si>
  <si>
    <t xml:space="preserve">EN 81-80: im Bestandskatalog (organisatorisch)
DIN EN 81-20 5.2.1.2
DIN EN 81-20 5.2.6.1
TRBS 1201 Teil 4 Anhang 4</t>
  </si>
  <si>
    <t xml:space="preserve">MF-U07-R1</t>
  </si>
  <si>
    <t xml:space="preserve">[11.15 Wasser oder Feuchtigkeit in der Schachtgrube?] = Ja</t>
  </si>
  <si>
    <t xml:space="preserve">• Anlage bei Wasser in der Grube oder an Sicherheitsbauteilen außer Betrieb nehmen; Ursache mit dem Betreiber klären [O]</t>
  </si>
  <si>
    <t xml:space="preserve">• Wassereintritt beseitigen (Abdichtung, Pumpensumpf) und betroffene Bauteile prüfen lassen [T]</t>
  </si>
  <si>
    <t xml:space="preserve">[Prüfbericht: H07 – gefährdungsspezifische Maßnahmen statt generischer Schnittstellen-Texte]</t>
  </si>
  <si>
    <t xml:space="preserve">MF-U07-R2</t>
  </si>
  <si>
    <t xml:space="preserve">[15.23a Feuchtigkeit oder Kondensat an sicherheitsrelevanten Bauteilen außerhalb der Schachtgrube (Steuerung, Bremse, Türverriegelung)?] = Ja</t>
  </si>
  <si>
    <t xml:space="preserve">MF-U07-R3</t>
  </si>
  <si>
    <t xml:space="preserve">[15.23b Massive Korrosion, Betonabplatzungen oder andere bauliche Schäden am Schacht oder Triebwerksraum?] = Ja</t>
  </si>
  <si>
    <t xml:space="preserve">• Tragende und sicherheitsrelevante Bauteile auf Tragfähigkeit prüfen; bei Zweifel Anlage außer Betrieb nehmen [O]</t>
  </si>
  <si>
    <t xml:space="preserve">• Bauliche Schäden durch Fachbetrieb instand setzen und Standsicherheit nachweisen lassen [T]</t>
  </si>
  <si>
    <t xml:space="preserve">MF-U07-R4</t>
  </si>
  <si>
    <t xml:space="preserve">[15.23 Unzulässige Temperaturen im Triebwerksraum oder Schacht möglich (Überhitzung über 40 °C, Frost)?] = Ja</t>
  </si>
  <si>
    <t xml:space="preserve">• Raumtemperatur messen; bei Überschreitung Betrieb nach Herstellervorgaben einschränken [O]</t>
  </si>
  <si>
    <t xml:space="preserve">• Lüftung/Kühlung bzw. Frostschutz im Triebwerksraum oder Schacht herstellen [T]</t>
  </si>
  <si>
    <t xml:space="preserve">MF-U07-R5</t>
  </si>
  <si>
    <t xml:space="preserve">[11.16 Öl oder wassergefährdende Stoffe in der Grube ohne Auffangmöglichkeit?] = Ja</t>
  </si>
  <si>
    <t xml:space="preserve">• Austretendes Öl binden und entsorgen; Leckage suchen [O]</t>
  </si>
  <si>
    <t xml:space="preserve">• Leckage beseitigen und Auffangwanne bzw. Ölabscheider vorsehen [T]</t>
  </si>
  <si>
    <t xml:space="preserve">MF-U07-R6</t>
  </si>
  <si>
    <t xml:space="preserve">[15.23 Unzulässige Temperaturen im Triebwerksraum oder Schacht möglich (Überhitzung über 40 °C, Frost)?] ist beantwortet</t>
  </si>
  <si>
    <t xml:space="preserve">MF-U08</t>
  </si>
  <si>
    <t xml:space="preserve">Bauliche Änderungen ohne Bewertung, Statik und baulicher Zustand
Faktor: Mechanische Gefährdung durch herabfallende oder kippende Lasten
Betroffen: Nutzer, Wartungspersonal
Bewertungslogik: Höchste Stufe – alle zutreffenden Regeln zählen, maßgeblich ist die HÖCHSTE STUFE; Maßnahmen aller Treffer werden übernommen.
Bewertet, wenn: immer
Pflichtfragen: 15.26, 15.26a</t>
  </si>
  <si>
    <t xml:space="preserve">EN 81-80: im Bestandskatalog (organisatorisch)
TRBS 1201 Teil 4 Anhang 4
TRBS 3121 Anhang 4</t>
  </si>
  <si>
    <t xml:space="preserve">MF-U08-R1</t>
  </si>
  <si>
    <t xml:space="preserve">[15.26 Bauliche Änderungen am Schacht / Triebwerksraum ohne statische und sicherheitstechnische Bewertung?] = Ja</t>
  </si>
  <si>
    <t xml:space="preserve">• Betreiber auffordern, Umfang und Bewertung der baulichen Änderung vorzulegen; bei Zweifel an der Standsicherheit Anlage außer Betrieb nehmen [O]</t>
  </si>
  <si>
    <t xml:space="preserve">• Statische und sicherheitstechnische Bewertung der Änderung durch Fachplaner und ZÜS veranlassen [O]</t>
  </si>
  <si>
    <t xml:space="preserve">MF-U08-R2</t>
  </si>
  <si>
    <t xml:space="preserve">[15.26a Nachträgliche Verkleidungen oder Änderungen, die den Sicherheitszustand verschlechtern (Schutzräume, Lüftung, Zugänge)?] = Ja</t>
  </si>
  <si>
    <t xml:space="preserve">• Auswirkung der Verkleidung auf Schutzräume, Lüftung und Zugänge prüfen [O]</t>
  </si>
  <si>
    <t xml:space="preserve">• Verkleidung zurückbauen oder Zustand durch die ZÜS bewerten lassen [T]</t>
  </si>
  <si>
    <t xml:space="preserve">MF-U08-R3</t>
  </si>
  <si>
    <t xml:space="preserve">[15.26 Bauliche Änderungen am Schacht / Triebwerksraum ohne statische und sicherheitstechnische Bewertung?] ist beantwortet</t>
  </si>
  <si>
    <t xml:space="preserve">MF-U09</t>
  </si>
  <si>
    <t xml:space="preserve">Brandmeldeanlage, Brandfall- und Evakuierungssteuerung nicht abgestimmt; Brandschutzeinrichtung behindert Betrieb oder Rettung
Faktor: Brand- und Explosionsgefährdung
Betroffen: Nutzer, Feuerwehr
Bewertungslogik: Höchste Stufe – alle zutreffenden Regeln zählen, maßgeblich ist die HÖCHSTE STUFE; Maßnahmen aller Treffer werden übernommen.
Bewertet, wenn: ([15.8 Brandmeldeanlage (BMA) im Gebäude vorhanden?] = Ja ODER [15.8d Behindert eine Brandschutzeinrichtung (Brandschutztür, Abschottung) den Aufzugsbetrieb oder die Personenrettung?] = Ja)
Pflichtfragen: 15.8a (wenn [15.8] = Ja), 15.8b (wenn [15.8a] = Ja), 15.8c (wenn [15.8] = Ja), 15.8d</t>
  </si>
  <si>
    <t xml:space="preserve">EN 81-80: Nr. 5 (5.4)
TRBS 1201 Teil 4 Anhang 4
TRBS 3121 Anhang 4
DIN EN 81-73</t>
  </si>
  <si>
    <t xml:space="preserve">MF-U09-R1</t>
  </si>
  <si>
    <t xml:space="preserve">[15.8a Schnittstelle Brandmeldeanlage – Aufzug bekannt und abgestimmt (Brandfallsteuerung, Rückholung, Evakuierung)?] = Nein</t>
  </si>
  <si>
    <t xml:space="preserve">• Brandfallsteuerung mit dem Betreiber und dem Brandschutzbeauftragten abstimmen [O]</t>
  </si>
  <si>
    <t xml:space="preserve">• Ansteuerung aus der BMA gemäß Brandschutzkonzept herstellen und dokumentieren [T]</t>
  </si>
  <si>
    <t xml:space="preserve">MF-U09-R2</t>
  </si>
  <si>
    <t xml:space="preserve">[15.8b Funktion der Schnittstelle BMA – Aufzug geprüft (Nachweis)?] = Nein</t>
  </si>
  <si>
    <t xml:space="preserve">• Funktionsprüfung der Schnittstelle BMA – Aufzug kurzfristig veranlassen [O]</t>
  </si>
  <si>
    <t xml:space="preserve">• Wirk-Prinzip-Prüfung nach Prüfverordnung des Landes in den Prüfplan aufnehmen [O]</t>
  </si>
  <si>
    <t xml:space="preserve">Prüfbericht 20.09.2026: Hoch auf Mittel. Der fehlende Nachweis der Wirk-Prinzip-Prüfung ist ein Dokumentationsmangel der Gebäudeseite; die Funktionsprüfung der Aufzugs-Brandfallsteuerung (8.21a) ist ebenfalls Mittel – beide Stufen sind jetzt gleich. [Prüfbericht: H07 – gefährdungsspezifische Maßnahmen statt generischer Schnittstellen-Texte]</t>
  </si>
  <si>
    <t xml:space="preserve">MF-U09-R3</t>
  </si>
  <si>
    <t xml:space="preserve">[15.8c Evakuierungs-/Sonderfunktion des Aufzugs im Brandschutzkonzept und in der Betriebsanweisung beschrieben (wer den Aufzug im Brandfall wie benutzen darf)?] = Nein</t>
  </si>
  <si>
    <t xml:space="preserve">• Evakuierungsfunktion bis zur Bewertung nicht nutzen; Feuerwehr informieren [O]</t>
  </si>
  <si>
    <t xml:space="preserve">• Evakuierungsbetrieb nach DIN EN 81-76 bzw. Brandschutzkonzept in diese GBU aufnehmen [O]</t>
  </si>
  <si>
    <t xml:space="preserve">Prüfbericht 20.09.2026: Hoch auf Mittel, nachdem die Frage auf die Festlegung des Betreibers (Brandschutzkonzept, Betriebsanweisung) umgestellt wurde. [Prüfbericht: H07 – gefährdungsspezifische Maßnahmen statt generischer Schnittstellen-Texte]</t>
  </si>
  <si>
    <t xml:space="preserve">MF-U09-R4</t>
  </si>
  <si>
    <t xml:space="preserve">[15.8d Behindert eine Brandschutzeinrichtung (Brandschutztür, Abschottung) den Aufzugsbetrieb oder die Personenrettung?] = Ja</t>
  </si>
  <si>
    <t xml:space="preserve">• Behinderung sofort beseitigen lassen (Tür, Abschottung); Betreiber informieren [T]</t>
  </si>
  <si>
    <t xml:space="preserve">• Brandschutzeinrichtung und Aufzug so abstimmen, dass sich beide nicht behindern [O]</t>
  </si>
  <si>
    <t xml:space="preserve">MF-U09-R6</t>
  </si>
  <si>
    <t xml:space="preserve">[15.8d Behindert eine Brandschutzeinrichtung (Brandschutztür, Abschottung) den Aufzugsbetrieb oder die Personenrettung?] ist beantwortet</t>
  </si>
  <si>
    <t xml:space="preserve">MF-U10</t>
  </si>
  <si>
    <t xml:space="preserve">Schachtentrauchung, Lüftung und RWA unklar oder verändert
Faktor: Brand- und Explosionsgefährdung
Betroffen: Nutzer, Feuerwehr
Bewertungslogik: Vorrang – es gilt die zutreffende Regel mit der HÖCHSTEN PRIORITÄT (so wirken Kompensationen); bei gleicher Priorität die höhere Stufe.
Bewertet, wenn: [15.9 Schachtentrauchung / RWA / Lüftungsöffnung im Schachtkopf vorhanden?] = Ja
Pflichtfragen: 15.9a</t>
  </si>
  <si>
    <t xml:space="preserve">EN 81-80: im Bestandskatalog (organisatorisch)
TRBS 1201 Teil 4 Anhang 4
DIN EN 81-20 5.2.1.4.1</t>
  </si>
  <si>
    <t xml:space="preserve">MF-U10-R1</t>
  </si>
  <si>
    <t xml:space="preserve">[15.9a Zustand der Schachtentrauchung / RWA / Lüftungsöffnung] = „Funktion unklar, blockiert oder defekt"</t>
  </si>
  <si>
    <t xml:space="preserve">• Funktion der Entrauchung/RWA kurzfristig prüfen lassen; Feuerwehr informieren [O]</t>
  </si>
  <si>
    <t xml:space="preserve">• Entrauchung instand setzen und Prüfnachweis vorlegen lassen [T]</t>
  </si>
  <si>
    <t xml:space="preserve">MF-U10-R2</t>
  </si>
  <si>
    <t xml:space="preserve">[15.9a Zustand der Schachtentrauchung / RWA / Lüftungsöffnung] = „Öffnungen verschlossen, verändert oder unzureichend"</t>
  </si>
  <si>
    <t xml:space="preserve">• Veränderte Öffnung dem Betreiber melden [O]</t>
  </si>
  <si>
    <t xml:space="preserve">• Öffnungsquerschnitt nach Brandschutzkonzept wiederherstellen [T]</t>
  </si>
  <si>
    <t xml:space="preserve">MF-U10-R3</t>
  </si>
  <si>
    <t xml:space="preserve">[15.9a Zustand der Schachtentrauchung / RWA / Lüftungsöffnung] = „Kein Nachweis über Prüfung"</t>
  </si>
  <si>
    <t xml:space="preserve">• Prüfnachweis beim Betreiber anfordern [O]</t>
  </si>
  <si>
    <t xml:space="preserve">• Wiederkehrende Prüfung der Entrauchung in den Prüfplan aufnehmen [O]</t>
  </si>
  <si>
    <t xml:space="preserve">MF-U10-R4</t>
  </si>
  <si>
    <t xml:space="preserve">[15.9a Zustand der Schachtentrauchung / RWA / Lüftungsöffnung] ist beantwortet</t>
  </si>
  <si>
    <t xml:space="preserve">MF-U11</t>
  </si>
  <si>
    <t xml:space="preserve">Löschanlage / Sprinkler ohne Bewertung der Wechselwirkung mit dem Aufzug
Faktor: Elektrische Gefährdung durch Berühren spannungsführender Teile
Betroffen: Nutzer, Feuerwehr
Bewertungslogik: Vorrang – es gilt die zutreffende Regel mit der HÖCHSTEN PRIORITÄT (so wirken Kompensationen); bei gleicher Priorität die höhere Stufe.
Bewertet, wenn: [15.10 Löschanlage / Sprinkler im Schacht oder Triebwerksraum vorhanden?] = Ja
Pflichtfragen: 15.10a</t>
  </si>
  <si>
    <t xml:space="preserve">EN 81-80: im Bestandskatalog (organisatorisch)
TRBS 1201 Teil 4 Anhang 4
VdS CEA 4001</t>
  </si>
  <si>
    <t xml:space="preserve">MF-U11-R1</t>
  </si>
  <si>
    <t xml:space="preserve">[15.10a Wechselwirkung der Löschanlage mit der Aufzugsanlage (Wasserbeaufschlagung, Abschaltung) bewertet?] = Nein</t>
  </si>
  <si>
    <t xml:space="preserve">• Betreiber auf die fehlende Bewertung hinweisen; Wasserschutz der Steuerung prüfen [O]</t>
  </si>
  <si>
    <t xml:space="preserve">• Wechselwirkung Löschanlage – Aufzug (Abschaltung vor Wasserbeaufschlagung) bewerten und umsetzen lassen [O]</t>
  </si>
  <si>
    <t xml:space="preserve">MF-U11-R2</t>
  </si>
  <si>
    <t xml:space="preserve">[15.10a Wechselwirkung der Löschanlage mit der Aufzugsanlage (Wasserbeaufschlagung, Abschaltung) bewertet?] ist beantwortet</t>
  </si>
  <si>
    <t xml:space="preserve">MF-U12</t>
  </si>
  <si>
    <t xml:space="preserve">Fremdgewerke und Reinigungspersonal ohne Zugangs- und Schutzkonzept
Faktor: Mechanische Gefährdung durch bewegte Teile (Quetschen, Scheren, Einziehen)
Betroffen: Fremdfirmen, Reinigungspersonal
Bewertungslogik: Höchste Stufe – alle zutreffenden Regeln zählen, maßgeblich ist die HÖCHSTE STUFE; Maßnahmen aller Treffer werden übernommen.
Bewertet, wenn: immer
Pflichtfragen: 15.36, 15.36a (wenn [15.36] = Ja)</t>
  </si>
  <si>
    <t xml:space="preserve">EN 81-80: im Bestandskatalog (organisatorisch)
TRBS 3121 3.4.2
DGUV Information 209-085</t>
  </si>
  <si>
    <t xml:space="preserve">MF-U12-R1</t>
  </si>
  <si>
    <t xml:space="preserve">[15.36 Müssen Fremdgewerke (Lüftung, Elektro, Reinigung) für ihre Arbeiten in den Aufzugsbereich (Schacht, Triebwerksraum) eindringen?] = Ja
UND [15.36a Zugangs- und Schutzkonzept für Fremdgewerke / Reinigungspersonal vorhanden?] = Nein</t>
  </si>
  <si>
    <t xml:space="preserve">• Fremdgewerke erst nach Einweisung und Freischaltung der Anlage in den Schacht oder Triebwerksraum lassen [O]</t>
  </si>
  <si>
    <t xml:space="preserve">• Zugangs- und Schutzkonzept für Fremdgewerke erstellen (Anmeldung, Freischaltung, Aufsicht durch Aufzugsfachpersonal) [O]</t>
  </si>
  <si>
    <t xml:space="preserve">MF-U12-R2</t>
  </si>
  <si>
    <t xml:space="preserve">[15.36 Müssen Fremdgewerke (Lüftung, Elektro, Reinigung) für ihre Arbeiten in den Aufzugsbereich (Schacht, Triebwerksraum) eindringen?] = Ja
UND [15.36a Zugangs- und Schutzkonzept für Fremdgewerke / Reinigungspersonal vorhanden?] = Ja</t>
  </si>
  <si>
    <t xml:space="preserve">• Zugangskonzept bei Änderungen der Gewerke fortschreiben [O]</t>
  </si>
  <si>
    <t xml:space="preserve">• Wirksamkeit des Zugangskonzepts regelmäßig prüfen (Unterweisungsnachweise) [O]</t>
  </si>
  <si>
    <t xml:space="preserve">MF-U12-R3</t>
  </si>
  <si>
    <t xml:space="preserve">[15.36 Müssen Fremdgewerke (Lüftung, Elektro, Reinigung) für ihre Arbeiten in den Aufzugsbereich (Schacht, Triebwerksraum) eindringen?] ist beantwortet</t>
  </si>
  <si>
    <t xml:space="preserve">MF-U13</t>
  </si>
  <si>
    <t xml:space="preserve">Fehlende Prüfnachweise und unklare Zuständigkeiten an den Gewerkeschnittstellen
Faktor: Gefährdung durch organisatorische Mängel (Unterlagen, Unterweisung, Zuständigkeit)
Betroffen: Betreiber
Bewertungslogik: Höchste Stufe – alle zutreffenden Regeln zählen, maßgeblich ist die HÖCHSTE STUFE; Maßnahmen aller Treffer werden übernommen.
Bewertet, wenn: immer
Pflichtfragen: 15.37, 15.38</t>
  </si>
  <si>
    <t xml:space="preserve">EN 81-80: im Bestandskatalog (organisatorisch)
TRBS 1201 Teil 4 Anhang 4
BetrSichV § 13</t>
  </si>
  <si>
    <t xml:space="preserve">MF-U13-R1</t>
  </si>
  <si>
    <t xml:space="preserve">[15.37 Prüfnachweise der angrenzenden Gewerke (BMA, RWA, Ersatzstrom, Löschanlage) verfügbar?] = Nein</t>
  </si>
  <si>
    <t xml:space="preserve">• Fehlende Prüfnachweise beim Betreiber anfordern [O]</t>
  </si>
  <si>
    <t xml:space="preserve">• Übersicht der aufzugsexternen Sicherheitseinrichtungen mit Prüffristen führen (TRBS 3121 Abschnitt 3.2 Nr. 5) [O]</t>
  </si>
  <si>
    <t xml:space="preserve">MF-U13-R2</t>
  </si>
  <si>
    <t xml:space="preserve">[15.38 Zuständigkeiten zwischen den Gewerken für Maßnahmen an den Schnittstellen geregelt?] = Nein</t>
  </si>
  <si>
    <t xml:space="preserve">• Ansprechpartner je Gewerk beim Betreiber erfragen [O]</t>
  </si>
  <si>
    <t xml:space="preserve">• Zuständigkeiten an den Schnittstellen schriftlich festlegen [O]</t>
  </si>
  <si>
    <t xml:space="preserve">MF-U13-R3</t>
  </si>
  <si>
    <t xml:space="preserve">[15.37 Prüfnachweise der angrenzenden Gewerke (BMA, RWA, Ersatzstrom, Löschanlage) verfügbar?] ist beantwortet</t>
  </si>
  <si>
    <t xml:space="preserve">MF-U14</t>
  </si>
  <si>
    <t xml:space="preserve">Aufzugszugang grenzt an Fahrwege / Verkehrsflächen
Faktor: Mechanische Gefährdung durch Stoß (fehlende Endbegrenzung, Aufprall)
Betroffen: Nutzer
Bewertungslogik: Vorrang – es gilt die zutreffende Regel mit der HÖCHSTEN PRIORITÄT (so wirken Kompensationen); bei gleicher Priorität die höhere Stufe.
Bewertet, wenn: immer
Pflichtfragen: 15.27, 4.9</t>
  </si>
  <si>
    <t xml:space="preserve">EN 81-80: im Bestandskatalog (organisatorisch)
ASR A1.8</t>
  </si>
  <si>
    <t xml:space="preserve">MF-U14-R1</t>
  </si>
  <si>
    <t xml:space="preserve">[15.27 Grenzt der Aufzugszugang unmittelbar an Fahrwege oder Verkehrsflächen (Tiefgarage, Anlieferung, Flurförderzeuge)?] = Ja
UND [4.9 Nutzung durch Personen mit eingeschränkter Mobilität (Rollstuhl, Rollator, Sehbehinderung) zu erwarten?] = Ja</t>
  </si>
  <si>
    <t xml:space="preserve">• Wartebereich vor dem Aufzug gegen den Fahrverkehr abgrenzen (Markierung, Absperrung) [O]</t>
  </si>
  <si>
    <t xml:space="preserve">• Bauliche Trennung von Fußgänger- und Fahrbereich am Aufzugszugang [T]</t>
  </si>
  <si>
    <t xml:space="preserve">Entschieden 2026-09-02: K-U05.
Evidenz: abgeleitet</t>
  </si>
  <si>
    <t xml:space="preserve">MF-U14-R2</t>
  </si>
  <si>
    <t xml:space="preserve">[15.27 Grenzt der Aufzugszugang unmittelbar an Fahrwege oder Verkehrsflächen (Tiefgarage, Anlieferung, Flurförderzeuge)?] = Ja</t>
  </si>
  <si>
    <t xml:space="preserve">• Wartebereich vor dem Aufzug markieren, Betreiber informieren [O]</t>
  </si>
  <si>
    <t xml:space="preserve">• Bauliche oder organisatorische Trennung von Fußgänger- und Fahrbereich [T]</t>
  </si>
  <si>
    <t xml:space="preserve">MF-U14-R3</t>
  </si>
  <si>
    <t xml:space="preserve">[15.27 Grenzt der Aufzugszugang unmittelbar an Fahrwege oder Verkehrsflächen (Tiefgarage, Anlieferung, Flurförderzeuge)?] ist beantwortet</t>
  </si>
  <si>
    <t xml:space="preserve">MF-U15</t>
  </si>
  <si>
    <t xml:space="preserve">Abgase und Emissionen im Aufstellbereich (Lärm und Ereignishistorie dokumentiert)
Faktor: Gefährdung durch Arbeitsumgebungsbedingungen (Klima, Lärm, Emissionen)
Betroffen: Wartungspersonal, Beauftragte Person
Bewertungslogik: Vorrang – es gilt die zutreffende Regel mit der HÖCHSTEN PRIORITÄT (so wirken Kompensationen); bei gleicher Priorität die höhere Stufe.
Bewertet, wenn: immer
Pflichtfragen: 15.24</t>
  </si>
  <si>
    <t xml:space="preserve">EN 81-80: im Bestandskatalog (organisatorisch)
LärmVibrationsArbSchV
ASR A3.6
BetrSichV § 3 Abs. 7</t>
  </si>
  <si>
    <t xml:space="preserve">MF-U15-R1</t>
  </si>
  <si>
    <t xml:space="preserve">[15.24 Abgase oder Emissionen im Aufstellbereich (Tiefgarage, Werkstatt, Notstromaggregat)?] = Ja</t>
  </si>
  <si>
    <t xml:space="preserve">• Lüftung des Aufstellbereichs prüfen, Betreiber informieren [O]</t>
  </si>
  <si>
    <t xml:space="preserve">• Lüftung / Absaugung im Aufstellbereich sicherstellen; Fahrkorblüftung prüfen [O]</t>
  </si>
  <si>
    <t xml:space="preserve">MF-U15-R2</t>
  </si>
  <si>
    <t xml:space="preserve">[15.24 Abgase oder Emissionen im Aufstellbereich (Tiefgarage, Werkstatt, Notstromaggregat)?] ist beantwortet</t>
  </si>
  <si>
    <t xml:space="preserve">MF-SF01</t>
  </si>
  <si>
    <t xml:space="preserve">Feuerwehraufzug / gebäudeseitige Sonderfunktionen nicht nachgewiesen
Faktor: Brand- und Explosionsgefährdung
Betroffen: Feuerwehr, Nutzer, Betreiber
Bewertungslogik: Höchste Stufe – alle zutreffenden Regeln zählen, maßgeblich ist die HÖCHSTE STUFE; Maßnahmen aller Treffer werden übernommen.
Bewertet, wenn: [15.6 Feuerwehraufzug oder Aufzug mit Brandfall-Sonderbetrieb (EN 81-72 / EN 81-73 Evakuierung)?] = Ja
Pflichtfragen: 16.1, 16.2, 16.3, 16.4, 16.5, 16.6, 16.7, 16.8, 16.9, 16.10</t>
  </si>
  <si>
    <t xml:space="preserve">EN 81-80: im Bestandskatalog (organisatorisch)
DIN EN 81-72
TRBS 3121 Anhang 3
TRBS 1201 Teil 4 Anhang 4</t>
  </si>
  <si>
    <t xml:space="preserve">1 von 11 offen</t>
  </si>
  <si>
    <t xml:space="preserve">MF-SF01-R1</t>
  </si>
  <si>
    <t xml:space="preserve">[16.1 Anforderungen und Unterlagen des Feuerwehraufzugs (EN 81-72, Brandschutzkonzept) vorhanden und erfüllt?] = Nein</t>
  </si>
  <si>
    <t xml:space="preserve">• Bei Beeinträchtigung einer erforderlichen Feuerwehrfunktion Nutzung/Sonderbetrieb bis zur Klärung absichern. [O]</t>
  </si>
  <si>
    <t xml:space="preserve">• Anforderung mit Brandschutz-/Feuerwehr-/Aufzugsfachplanung abstimmen und nachweisen. [O]</t>
  </si>
  <si>
    <t xml:space="preserve">Entschieden 2026-09-02: K-SF1.</t>
  </si>
  <si>
    <t xml:space="preserve">MF-SF01-R2</t>
  </si>
  <si>
    <t xml:space="preserve">[16.2 Brandmeldeanlage und Feuerwehraufzugsfunktion aufeinander abgestimmt?] = Nein</t>
  </si>
  <si>
    <t xml:space="preserve">MF-SF01-R3</t>
  </si>
  <si>
    <t xml:space="preserve">[16.3 Druckbelüftungs-/Rauchschutzanlagen für Schacht und Vorräume vorhanden und geprüft?] = Nein</t>
  </si>
  <si>
    <t xml:space="preserve">MF-SF01-R4</t>
  </si>
  <si>
    <t xml:space="preserve">[16.4 Löschwasser-/Pumpeneinrichtungen mit Schnittstelle zum Aufzug berücksichtigt?] = Nein</t>
  </si>
  <si>
    <t xml:space="preserve">MF-SF01-R5</t>
  </si>
  <si>
    <t xml:space="preserve">[16.5 Sicherheits-/Ersatzstromversorgung vorhanden und geprüft?] = Nein</t>
  </si>
  <si>
    <t xml:space="preserve">MF-SF01-R6</t>
  </si>
  <si>
    <t xml:space="preserve">[16.6 Funktion des Aufzugs unter Ersatzstrombedingungen geprüft?] = Nein</t>
  </si>
  <si>
    <t xml:space="preserve">MF-SF01-R7</t>
  </si>
  <si>
    <t xml:space="preserve">[16.7 Erforderliche Prüfnachweise der Fremdgewerke verfügbar?] = Nein</t>
  </si>
  <si>
    <t xml:space="preserve">MF-SF01-R8</t>
  </si>
  <si>
    <t xml:space="preserve">[16.8 Schnittstellen zur Feuerwehr / Brandschutzdienststelle dokumentiert (Feuerwehrplan, Schlüsseldepot)?] = Nein</t>
  </si>
  <si>
    <t xml:space="preserve">MF-SF01-R9</t>
  </si>
  <si>
    <t xml:space="preserve">[16.9 Betreiberorganisation auf den Sonderbetrieb abgestimmt (Zuständigkeit, Unterweisung, Übungen)?] = Nein</t>
  </si>
  <si>
    <t xml:space="preserve">MF-SF01-R10</t>
  </si>
  <si>
    <t xml:space="preserve">[16.10 Cyber-Auswirkungen auf die Feuerwehrfunktionen gesondert betrachtet?] = Nein</t>
  </si>
  <si>
    <t xml:space="preserve">MF-SF01-R11</t>
  </si>
  <si>
    <t xml:space="preserve">[16.1 Anforderungen und Unterlagen des Feuerwehraufzugs (EN 81-72, Brandschutzkonzept) vorhanden und erfüllt?] ist beantwortet</t>
  </si>
  <si>
    <t xml:space="preserve">MF-D01</t>
  </si>
  <si>
    <t xml:space="preserve">Notfallplan unvollständig oder nicht vorhanden
Faktor: Sonstige Gefährdung durch fehlende oder unzureichende Notfallorganisation
Betroffen: Nutzer, Betreiber
Bewertungslogik: Vorrang – es gilt die zutreffende Regel mit der HÖCHSTEN PRIORITÄT (so wirken Kompensationen); bei gleicher Priorität die höhere Stufe.
Bewertet, wenn: immer
Pflichtfragen: 3.2</t>
  </si>
  <si>
    <t xml:space="preserve">EN 81-80: im Bestandskatalog (organisatorisch)
BetrSichV Anh. 1 Nr. 4.1
TRBS 3121 3.6
TRBS 3121 3.2 Nr. 6</t>
  </si>
  <si>
    <t xml:space="preserve">MF-D01-R1</t>
  </si>
  <si>
    <t xml:space="preserve">[3.2 Notfallplan für die Anlage vorhanden und aktuell (Ansprechpartner, Befreiungsdienst, Meldewege)?] = Nein</t>
  </si>
  <si>
    <t xml:space="preserve">• Ansprechpartner und Befreiungsdienst mit Rufnummern am Aufzug aushängen [O]</t>
  </si>
  <si>
    <t xml:space="preserve">• Notfallplan nach BetrSichV Anh. 1 Nr. 4.1 erstellen und an der Anlage hinterlegen [O]</t>
  </si>
  <si>
    <t xml:space="preserve">Entschieden 2026-09-02: K-D01.
Evidenz: abgeleitet</t>
  </si>
  <si>
    <t xml:space="preserve">MF-D01-R2</t>
  </si>
  <si>
    <t xml:space="preserve">[3.2 Notfallplan für die Anlage vorhanden und aktuell (Ansprechpartner, Befreiungsdienst, Meldewege)?] ist beantwortet</t>
  </si>
  <si>
    <t xml:space="preserve">MF-D02</t>
  </si>
  <si>
    <t xml:space="preserve">Keine oder unpassende Notbefreiungsanleitung
Faktor: Sonstige Gefährdung durch fehlende oder unzureichende Notfallorganisation
Betroffen: Nutzer, Beauftragte Person
Bewertungslogik: Vorrang – es gilt die zutreffende Regel mit der HÖCHSTEN PRIORITÄT (so wirken Kompensationen); bei gleicher Priorität die höhere Stufe.
Bewertet, wenn: immer
Pflichtfragen: 3.3</t>
  </si>
  <si>
    <t xml:space="preserve">EN 81-80: Nr. 74 (5.15)
BetrSichV Anh. 1 Nr. 4.1
DIN EN 81-20 7.2.2</t>
  </si>
  <si>
    <t xml:space="preserve">MF-D02-R1</t>
  </si>
  <si>
    <t xml:space="preserve">[3.3 Anlagenbezogene Notbefreiungs-/Evakuierungsanleitung] = „Nicht vorhanden"</t>
  </si>
  <si>
    <t xml:space="preserve">• Personenbefreiung bis zur Bereitstellung nur durch das Wartungsunternehmen [O]</t>
  </si>
  <si>
    <t xml:space="preserve">• Anlagenbezogene Notbefreiungsanleitung vom Hersteller/Instandhalter beschaffen und im Triebwerksraum hinterlegen [O]</t>
  </si>
  <si>
    <t xml:space="preserve">Entschieden 2026-09-02: K-M07.
Evidenz: abgeleitet</t>
  </si>
  <si>
    <t xml:space="preserve">MF-D02-R2</t>
  </si>
  <si>
    <t xml:space="preserve">[3.3 Anlagenbezogene Notbefreiungs-/Evakuierungsanleitung] = „Vorhanden, aber veraltet oder nicht zur Anlage passend"</t>
  </si>
  <si>
    <t xml:space="preserve">• Anleitung bereitstellen und bekannt machen [O]</t>
  </si>
  <si>
    <t xml:space="preserve">• Aktuelle Notbefreiungsanleitung dauerhaft aushängen [O]</t>
  </si>
  <si>
    <t xml:space="preserve">Entschieden 2026-09-02: K-M07.</t>
  </si>
  <si>
    <t xml:space="preserve">MF-D02-R3</t>
  </si>
  <si>
    <t xml:space="preserve">[3.3 Anlagenbezogene Notbefreiungs-/Evakuierungsanleitung] ist beantwortet</t>
  </si>
  <si>
    <t xml:space="preserve">MF-D03</t>
  </si>
  <si>
    <t xml:space="preserve">Wartungsunterlagen fehlen oder keine regelmäßige Instandhaltung
Faktor: Gefährdung durch organisatorische Mängel (Unterlagen, Unterweisung, Zuständigkeit)
Betroffen: Betreiber, Nutzer
Bewertungslogik: Höchste Stufe – alle zutreffenden Regeln zählen, maßgeblich ist die HÖCHSTE STUFE; Maßnahmen aller Treffer werden übernommen.
Bewertet, wenn: immer
Pflichtfragen: 3.9, 3.10</t>
  </si>
  <si>
    <t xml:space="preserve">EN 81-80: im Bestandskatalog (organisatorisch)
BetrSichV § 10
BetrSichV § 17
TRBS 3121 3.4.1</t>
  </si>
  <si>
    <t xml:space="preserve">MF-D03-R1</t>
  </si>
  <si>
    <t xml:space="preserve">[3.10 Wird die Anlage regelmäßig durch ein Fachunternehmen instand gehalten (Wartungsvertrag)?] = Nein</t>
  </si>
  <si>
    <t xml:space="preserve">• Betreiber auf die Instandhaltungspflicht hinweisen; Zustand der Anlage prüfen [O]</t>
  </si>
  <si>
    <t xml:space="preserve">• Instandhaltungsvertrag mit einem Fachunternehmen abschließen (BetrSichV § 10) [O]</t>
  </si>
  <si>
    <t xml:space="preserve">Entschieden 2026-09-02: K-D02.
Evidenz: abgeleitet</t>
  </si>
  <si>
    <t xml:space="preserve">MF-D03-R2</t>
  </si>
  <si>
    <t xml:space="preserve">[3.9 Wartungsunterlagen und Prüfbuch vorhanden und aktuell?] = Nein</t>
  </si>
  <si>
    <t xml:space="preserve">• Vorhandene Unterlagen beim Instandhalter anfordern [O]</t>
  </si>
  <si>
    <t xml:space="preserve">• Prüfbuch und Wartungsnachweise an der Anlage oder beim Betreiber führen [O]</t>
  </si>
  <si>
    <t xml:space="preserve">MF-D03-R3</t>
  </si>
  <si>
    <t xml:space="preserve">[3.9 Wartungsunterlagen und Prüfbuch vorhanden und aktuell?] ist beantwortet</t>
  </si>
  <si>
    <t xml:space="preserve">MF-D04</t>
  </si>
  <si>
    <t xml:space="preserve">Prüfplakette fehlt oder Prüffrist der ZÜS überschritten
Faktor: Gefährdung durch organisatorische Mängel (Unterlagen, Unterweisung, Zuständigkeit)
Betroffen: Betreiber, Nutzer
Bewertungslogik: Höchste Stufe – alle zutreffenden Regeln zählen, maßgeblich ist die HÖCHSTE STUFE; Maßnahmen aller Treffer werden übernommen.
Bewertet, wenn: immer
Pflichtfragen: 3.6, 3.8, 3.7</t>
  </si>
  <si>
    <t xml:space="preserve">EN 81-80: im Bestandskatalog (organisatorisch)
BetrSichV § 16
BetrSichV § 17 Abs. 3
BetrSichV Anh. 2 Abschn. 2</t>
  </si>
  <si>
    <t xml:space="preserve">MF-D04-R4</t>
  </si>
  <si>
    <t xml:space="preserve">[3.7 Letzte ZÜS-Hauptprüfung: Prüfbericht liegt vor und ohne offene sicherheitsrelevante Mängel?] = „Prüfbericht liegt vor, aber mit offenen sicherheitsrelevanten Mängeln"</t>
  </si>
  <si>
    <t xml:space="preserve">• Offene sicherheitsrelevante Mängel des ZÜS-Prüfberichts mit dem Betreiber und dem Instandhalter abarbeiten; bei Gefahr im Verzug Anlage stilllegen [O]</t>
  </si>
  <si>
    <t xml:space="preserve">• Mängel beseitigen lassen und die Nachprüfung durch die ZÜS veranlassen; Erledigung im Prüfbuch dokumentieren [O]</t>
  </si>
  <si>
    <t xml:space="preserve">Prüfbericht 20.09.2026: Die Option „Prüfbericht liegt vor, aber mit offenen sicherheitsrelevanten Mängeln" wurde bisher von keiner Regel ausgewertet – festgestellte ZÜS-Mängel blieben im Bericht grün.</t>
  </si>
  <si>
    <t xml:space="preserve">MF-D04-R5</t>
  </si>
  <si>
    <t xml:space="preserve">[3.7 Letzte ZÜS-Hauptprüfung: Prüfbericht liegt vor und ohne offene sicherheitsrelevante Mängel?] = „Nein – kein Prüfbericht verfügbar / unbekannt"</t>
  </si>
  <si>
    <t xml:space="preserve">• Prüfbescheinigung der letzten Hauptprüfung beim Betreiber anfordern [O]</t>
  </si>
  <si>
    <t xml:space="preserve">• Prüfbescheinigungen nach BetrSichV § 17 Abs. 2 bei der Anlage vorhalten (TRBS 3121 Abschn. 3.2) [O]</t>
  </si>
  <si>
    <t xml:space="preserve">Ohne Prüfbericht greift zugleich keine Nachweis-Vorbelegung – es ist vollständig zu erheben.
Evidenz: abgeleitet</t>
  </si>
  <si>
    <t xml:space="preserve">MF-D04-R1</t>
  </si>
  <si>
    <t xml:space="preserve">[3.8 Prüffrist der wiederkehrenden Prüfung (ZÜS) überschritten?] = Ja</t>
  </si>
  <si>
    <t xml:space="preserve">• Betreiber informieren; Prüfung durch die ZÜS unverzüglich veranlassen [O]</t>
  </si>
  <si>
    <t xml:space="preserve">• Prüffristen im Prüfbuch führen und Wiedervorlage einrichten [O]</t>
  </si>
  <si>
    <t xml:space="preserve">Entschieden 2026-09-02: K-D03. [Freigabe bezog sich auf einen früheren Stand (Regel, abhängige Fragen oder Gefährdungslogik geändert) – neu prüfen]
Evidenz: abgeleitet</t>
  </si>
  <si>
    <t xml:space="preserve">MF-D04-R2</t>
  </si>
  <si>
    <t xml:space="preserve">[3.6 Prüfplakette der ZÜS vorhanden und lesbar?] = Nein</t>
  </si>
  <si>
    <t xml:space="preserve">• Prüfbescheinigung einsehen; Plakette nachbeschaffen [O]</t>
  </si>
  <si>
    <t xml:space="preserve">• Prüfplakette im Fahrkorb anbringen (BetrSichV § 17 Abs. 3) [O]</t>
  </si>
  <si>
    <t xml:space="preserve">MF-D04-R3</t>
  </si>
  <si>
    <t xml:space="preserve">[3.6 Prüfplakette der ZÜS vorhanden und lesbar?] ist beantwortet</t>
  </si>
  <si>
    <t xml:space="preserve">MF-D05</t>
  </si>
  <si>
    <t xml:space="preserve">Betreiberorganisation: beauftragte Person, Unterweisung, Betriebsanweisung, Zutrittsregelung
Faktor: Gefährdung durch organisatorische Mängel (Unterlagen, Unterweisung, Zuständigkeit)
Betroffen: Betreiber, Beauftragte Person
Bewertungslogik: Höchste Stufe – alle zutreffenden Regeln zählen, maßgeblich ist die HÖCHSTE STUFE; Maßnahmen aller Treffer werden übernommen.
Bewertet, wenn: immer
Pflichtfragen: E1, E2 (wenn [E1] = Ja), E3, E4</t>
  </si>
  <si>
    <t xml:space="preserve">EN 81-80: im Bestandskatalog (organisatorisch)
BetrSichV § 12
BetrSichV Anh. 1 Nr. 4
TRBS 3121 3.3
TRBS 1116</t>
  </si>
  <si>
    <t xml:space="preserve">1 von 5 offen</t>
  </si>
  <si>
    <t xml:space="preserve">MF-D05-R1</t>
  </si>
  <si>
    <t xml:space="preserve">[E1 Beauftragte Person für die Aufzugsanlage (Aufzugswärter) schriftlich benannt?] = Nein</t>
  </si>
  <si>
    <t xml:space="preserve">• Betreiber auf die Pflicht zur Benennung einer beauftragten Person hinweisen [O]</t>
  </si>
  <si>
    <t xml:space="preserve">• Beauftragte Person schriftlich bestellen und anlagenbezogen einweisen (BetrSichV Anh. 1 Nr. 4) [O]</t>
  </si>
  <si>
    <t xml:space="preserve">Entschieden 2026-09-02: K-D04.
Evidenz: abgeleitet</t>
  </si>
  <si>
    <t xml:space="preserve">MF-D05-R2</t>
  </si>
  <si>
    <t xml:space="preserve">[E2 Unterweisung der beauftragten Person dokumentiert?] = Nein</t>
  </si>
  <si>
    <t xml:space="preserve">• Unterweisung nachholen [O]</t>
  </si>
  <si>
    <t xml:space="preserve">• Unterweisung jährlich wiederholen und dokumentieren [O]</t>
  </si>
  <si>
    <t xml:space="preserve">MF-D05-R3</t>
  </si>
  <si>
    <t xml:space="preserve">[E3 Betriebsanweisung für die Anlage vorhanden und ausgehängt?] = Nein</t>
  </si>
  <si>
    <t xml:space="preserve">• Vorläufige Betriebsanweisung mit Verhalten bei Störung und Personeneinschluss aushängen [O]</t>
  </si>
  <si>
    <t xml:space="preserve">• Anlagenbezogene Betriebsanweisung nach BetrSichV § 12 erstellen [O]</t>
  </si>
  <si>
    <t xml:space="preserve">MF-D05-R4</t>
  </si>
  <si>
    <t xml:space="preserve">[E4 Zutritt zum Triebwerksraum / Steuerschrank organisatorisch geregelt (Schlüsselverwaltung, nur befugte Personen)?] = Nein</t>
  </si>
  <si>
    <t xml:space="preserve">• Triebwerksraum abschließen, Schlüsselausgabe nur an befugte Personen [O]</t>
  </si>
  <si>
    <t xml:space="preserve">• Zutrittsregelung in der Betriebsanweisung festlegen [O]</t>
  </si>
  <si>
    <t xml:space="preserve">MF-D05-R5</t>
  </si>
  <si>
    <t xml:space="preserve">[E1 Beauftragte Person für die Aufzugsanlage (Aufzugswärter) schriftlich benannt?] ist beantwortet</t>
  </si>
  <si>
    <t xml:space="preserve">MF-D06</t>
  </si>
  <si>
    <t xml:space="preserve">Ausstattung passt nicht zum Regelwerk des Inverkehrbringens (Konformitätsmangel)
Faktor: Gefährdung durch organisatorische Mängel (Unterlagen, Unterweisung, Zuständigkeit)
Betroffen: Nutzer, Betreiber
Bewertungslogik: Höchste Stufe – alle zutreffenden Regeln zählen, maßgeblich ist die HÖCHSTE STUFE; Maßnahmen aller Treffer werden übernommen.
Bewertet, wenn: immer
Pflichtfragen: 1.24, 1.28, 4.5, 8.6, 1.29 (wenn [1.24] ≥ 1999)</t>
  </si>
  <si>
    <t xml:space="preserve">EN 81-80: im Bestandskatalog (organisatorisch)
Aufzugsrichtlinie 2014/33/EU
95/16/EG
DIN EN 81-20 5.4.6
DIN EN 81-20 5.6.7
ProdSG
BetrSichV § 3</t>
  </si>
  <si>
    <t xml:space="preserve">MF-D06-R1</t>
  </si>
  <si>
    <t xml:space="preserve">[1.24 Baujahr der Anlage] ≥ 2017
UND [8.6 Fahrkorbabschlusstür vorhanden?] = Nein</t>
  </si>
  <si>
    <t xml:space="preserve">• Errichter und Konformitätserklärung prüfen; Anlage bis zur Klärung nur mit eingewiesenen Personen betreiben [O]</t>
  </si>
  <si>
    <t xml:space="preserve">• Fahrkorbabschlusstür nachrüsten und die Konformität der Anlage durch den Errichter nachweisen lassen (DIN EN 81-20 5.4.6) [T]</t>
  </si>
  <si>
    <t xml:space="preserve">Fahrkorbtür ist seit EN 81-1/2 (1999) gefordert und in EN 81-20 unverändert – an einer Anlage ab 2017 ist ihr Fehlen ein Konformitätsmangel, keine Nachrüstfrage. Freigegeben 2026-09-04. [Freigabe bezog sich auf einen früheren Stand (Regel, abhängige Fragen oder Gefährdungslogik geändert) – neu prüfen]</t>
  </si>
  <si>
    <t xml:space="preserve">MF-D06-R2</t>
  </si>
  <si>
    <t xml:space="preserve">[1.24 Baujahr der Anlage] ≥ 2012
UND [4.5 UCM-Schutz (unbeabsichtigte Fahrkorbbewegung, A3 / EN 81-20 5.6.7) vorhanden?] = Nein</t>
  </si>
  <si>
    <t xml:space="preserve">• Errichter einbeziehen; Konformitätserklärung und Baumusterprüfung der Anlage anfordern [O]</t>
  </si>
  <si>
    <t xml:space="preserve">• UCM-Schutz nachrüsten und die Konformität nachweisen lassen (EN 81-1/2 + A3 bzw. DIN EN 81-20 5.6.7) [T]</t>
  </si>
  <si>
    <t xml:space="preserve">EN 81-1/2 + A3 (UCM) ist seit 2012 verbindlich. Freigegeben 2026-09-04. [Freigabe bezog sich auf einen früheren Stand (Regel, abhängige Fragen oder Gefährdungslogik geändert) – neu prüfen]</t>
  </si>
  <si>
    <t xml:space="preserve">MF-D06-R3</t>
  </si>
  <si>
    <t xml:space="preserve">[1.24 Baujahr der Anlage] ≥ 1999
UND [8.6 Fahrkorbabschlusstür vorhanden?] = Nein</t>
  </si>
  <si>
    <t xml:space="preserve">• Unterlagen zum Inverkehrbringen prüfen (Baujahr und Ausstattung passen nicht zusammen) [O]</t>
  </si>
  <si>
    <t xml:space="preserve">• Fahrkorbabschlusstür nachrüsten (DIN EN 81-1/2 5.4, EN 81-80 5.5.2) [T]</t>
  </si>
  <si>
    <t xml:space="preserve">Ab Geltung der Aufzugsrichtlinie (01.07.1999) ist die Fahrkorbtür gefordert. Vor 1999 gebaute Anlagen ohne Fahrkorbtür sind dagegen ein Nachrüstfall nach EN 81-80, kein Konformitätsmangel. Freigegeben 2026-09-04. [Freigabe bezog sich auf einen früheren Stand (Regel, abhängige Fragen oder Gefährdungslogik geändert) – neu prüfen]</t>
  </si>
  <si>
    <t xml:space="preserve">MF-D06-R4</t>
  </si>
  <si>
    <t xml:space="preserve">[1.24 Baujahr der Anlage] ≥ 2017
UND [1.28 Regelwerk bei Inverkehrbringen / letzter Modernisierung] = „TRA 200 / TRA 102 (vor 1999)"</t>
  </si>
  <si>
    <t xml:space="preserve">• Angaben klären: Baujahr ab 2017, aber Regelwerk TRA angegeben [O]</t>
  </si>
  <si>
    <t xml:space="preserve">• Baujahr und Regelwerk anhand der Anlagendokumentation berichtigen [O]</t>
  </si>
  <si>
    <t xml:space="preserve">Freigegeben 2026-09-04. [Freigabe bezog sich auf einen früheren Stand (Regel, abhängige Fragen oder Gefährdungslogik geändert) – neu prüfen]
Evidenz: abgeleitet</t>
  </si>
  <si>
    <t xml:space="preserve">MF-D06-R5</t>
  </si>
  <si>
    <t xml:space="preserve">[1.24 Baujahr der Anlage] ≤ 1998
UND [1.28 Regelwerk bei Inverkehrbringen / letzter Modernisierung] = „DIN EN 81-20 (ab 2017)"</t>
  </si>
  <si>
    <t xml:space="preserve">• Prüfen, ob die Anlage durchgreifend modernisiert wurde [O]</t>
  </si>
  <si>
    <t xml:space="preserve">• Umfang der Modernisierung dokumentieren; sonst Baujahr oder Regelwerk berichtigen [O]</t>
  </si>
  <si>
    <t xml:space="preserve">Kein Fehler: Eine alte Anlage kann nach einer wesentlichen Veränderung neu in Verkehr gebracht worden sein. Dann gehört der Umfang in die Unterlagen. Freigegeben 2026-09-04. [Freigabe bezog sich auf einen früheren Stand (Regel, abhängige Fragen oder Gefährdungslogik geändert) – neu prüfen]
Evidenz: abgeleitet</t>
  </si>
  <si>
    <t xml:space="preserve">MF-D06-R6</t>
  </si>
  <si>
    <t xml:space="preserve">[1.24 Baujahr der Anlage] ist beantwortet</t>
  </si>
  <si>
    <t xml:space="preserve">Maßnahme</t>
  </si>
  <si>
    <t xml:space="preserve">Zeitlage</t>
  </si>
  <si>
    <t xml:space="preserve">Art (neu)</t>
  </si>
  <si>
    <t xml:space="preserve">Art bisher</t>
  </si>
  <si>
    <t xml:space="preserve">geändert</t>
  </si>
  <si>
    <t xml:space="preserve">verwendet in</t>
  </si>
  <si>
    <t xml:space="preserve">Art richtig?</t>
  </si>
  <si>
    <t xml:space="preserve">m_d4b775a4a1</t>
  </si>
  <si>
    <t xml:space="preserve">Abdeckung nachrüsten</t>
  </si>
  <si>
    <t xml:space="preserve">mittelfristig</t>
  </si>
  <si>
    <t xml:space="preserve">T</t>
  </si>
  <si>
    <t xml:space="preserve">m_91249fb2ef</t>
  </si>
  <si>
    <t xml:space="preserve">Abdeckungen nachrüsten</t>
  </si>
  <si>
    <t xml:space="preserve">m_019004dd10</t>
  </si>
  <si>
    <t xml:space="preserve">Abschließbare Zugangstür nach DIN EN 81-20, 5.2.3.3 herstellen</t>
  </si>
  <si>
    <t xml:space="preserve">MF-Z07-R1, MF-Z07-R2</t>
  </si>
  <si>
    <t xml:space="preserve">m_48965dde3b</t>
  </si>
  <si>
    <t xml:space="preserve">Abschließbaren Hauptschalter nachrüsten</t>
  </si>
  <si>
    <t xml:space="preserve">m_758c861183</t>
  </si>
  <si>
    <t xml:space="preserve">Abschließbaren Steuerschrank herstellen, Zutritt nur für befugte Personen (DIN EN 81-20 5.2.6, Steuerschränke außerhalb von Triebwerksräumen)</t>
  </si>
  <si>
    <t xml:space="preserve">m_352cac8888</t>
  </si>
  <si>
    <t xml:space="preserve">Absperrventil zwischen Zylinder und Rückschlagventil nachrüsten, gut zugänglich und gekennzeichnet</t>
  </si>
  <si>
    <t xml:space="preserve">m_479e8dfc86</t>
  </si>
  <si>
    <t xml:space="preserve">Absturzsicherung und Anschlagpunkte herstellen, Verkehrswege festlegen</t>
  </si>
  <si>
    <t xml:space="preserve">m_7332e0d136</t>
  </si>
  <si>
    <t xml:space="preserve">Abtrennung der Gegengewichtsfahrbahn von höchstens 0,30 m bis mindestens 2,0 m über der Schachtgrubensohle in der Breite des Gegengewichts herstellen</t>
  </si>
  <si>
    <t xml:space="preserve">m_45d9bd5a48</t>
  </si>
  <si>
    <t xml:space="preserve">Abtrennung nach DIN EN 81-20, 5.2.5.5.2 ertüchtigen</t>
  </si>
  <si>
    <t xml:space="preserve">m_a93bae9216</t>
  </si>
  <si>
    <t xml:space="preserve">Abtrennung von höchstens 0,30 m über dem Grubenboden bis 2,50 m über dem Niveau der untersten Haltestelle nachrüsten oder automatische Abschaltung des Nachbaraufzugs vorsehen</t>
  </si>
  <si>
    <t xml:space="preserve">m_bac223edc1</t>
  </si>
  <si>
    <t xml:space="preserve">Aktuelle Betriebsanleitung anfordern und an der Anlage hinterlegen</t>
  </si>
  <si>
    <t xml:space="preserve">O</t>
  </si>
  <si>
    <t xml:space="preserve">m_9ba1f73aee</t>
  </si>
  <si>
    <t xml:space="preserve">Aktuelle Notbefreiungsanleitung dauerhaft aushängen</t>
  </si>
  <si>
    <t xml:space="preserve">m_886ea6cd89</t>
  </si>
  <si>
    <t xml:space="preserve">Anforderung mit Brandschutz-/Feuerwehr-/Aufzugsfachplanung abstimmen und nachweisen.</t>
  </si>
  <si>
    <t xml:space="preserve">MF-SF01-R1, MF-SF01-R10, MF-SF01-R2, MF-SF01-R3, MF-SF01-R4, MF-SF01-R5, MF-SF01-R6, MF-SF01-R7, MF-SF01-R8, MF-SF01-R9</t>
  </si>
  <si>
    <t xml:space="preserve">m_4af8b4d707</t>
  </si>
  <si>
    <t xml:space="preserve">Anlagenbezogene Betriebsanweisung nach BetrSichV § 12 erstellen</t>
  </si>
  <si>
    <t xml:space="preserve">m_bed08c2f2c</t>
  </si>
  <si>
    <t xml:space="preserve">Anlagenbezogene Notbefreiungsanleitung vom Hersteller/Instandhalter beschaffen und im Triebwerksraum hinterlegen</t>
  </si>
  <si>
    <t xml:space="preserve">m_9f8d917d70</t>
  </si>
  <si>
    <t xml:space="preserve">Anschlagpunkte in die wiederkehrende Prüfung aufnehmen und dokumentieren</t>
  </si>
  <si>
    <t xml:space="preserve">m_4de6937bb0</t>
  </si>
  <si>
    <t xml:space="preserve">Anschlagpunkte nach DIN EN 81-20, 5.2.1.7 nachrüsten</t>
  </si>
  <si>
    <t xml:space="preserve">m_9ee45c391b</t>
  </si>
  <si>
    <t xml:space="preserve">Ansteuerung aus der BMA gemäß Brandschutzkonzept herstellen und dokumentieren</t>
  </si>
  <si>
    <t xml:space="preserve">m_933711e34c</t>
  </si>
  <si>
    <t xml:space="preserve">Ansteuerung der Brandfallsteuerung aus der Brandmeldeanlage nach DIN EN 81-73 herstellen</t>
  </si>
  <si>
    <t xml:space="preserve">m_c768d741a7</t>
  </si>
  <si>
    <t xml:space="preserve">Antrieb mit statisch bestimmter Lagerung einbauen oder Maschinenrahmen umbauen; bis dahin Schutz gegen Übergeschwindigkeit aufwärts / Sturz nach oben nachrüsten</t>
  </si>
  <si>
    <t xml:space="preserve">m_5f88098e6c</t>
  </si>
  <si>
    <t xml:space="preserve">Auffangwanne herstellen und Leckage dauerhaft beseitigen (Wasserhaushaltsgesetz beachten)</t>
  </si>
  <si>
    <t xml:space="preserve">m_e007894bda</t>
  </si>
  <si>
    <t xml:space="preserve">Aufzugsfremde Einrichtungen entfernen; Raum ausschließlich für den Aufzug nutzen</t>
  </si>
  <si>
    <t xml:space="preserve">m_0605883fea</t>
  </si>
  <si>
    <t xml:space="preserve">Aufzugsfremde Einrichtungen nach DIN EN 81-20, 5.2.1.2 entfernen</t>
  </si>
  <si>
    <t xml:space="preserve">MF-S06-R1, MF-S06-R2</t>
  </si>
  <si>
    <t xml:space="preserve">m_74dedd0021</t>
  </si>
  <si>
    <t xml:space="preserve">Baujahr und Regelwerk anhand der Anlagendokumentation berichtigen</t>
  </si>
  <si>
    <t xml:space="preserve">m_cea722b818</t>
  </si>
  <si>
    <t xml:space="preserve">Bauliche Schäden durch Fachbetrieb instand setzen und Standsicherheit nachweisen lassen</t>
  </si>
  <si>
    <t xml:space="preserve">m_21b849d22f</t>
  </si>
  <si>
    <t xml:space="preserve">Bauliche Trennung von Fußgänger- und Fahrbereich am Aufzugszugang</t>
  </si>
  <si>
    <t xml:space="preserve">m_fd91bd0851</t>
  </si>
  <si>
    <t xml:space="preserve">Bauliche oder organisatorische Trennung von Fußgänger- und Fahrbereich</t>
  </si>
  <si>
    <t xml:space="preserve">m_25a4d742be</t>
  </si>
  <si>
    <t xml:space="preserve">Beauftragte Person schriftlich bestellen und anlagenbezogen einweisen (BetrSichV Anh. 1 Nr. 4)</t>
  </si>
  <si>
    <t xml:space="preserve">m_27e9e8becb</t>
  </si>
  <si>
    <t xml:space="preserve">Beauftragte Personen anlagenbezogen in die Personenbefreiung einweisen und dokumentieren (BetrSichV Anh. 1 Nr. 4.1)</t>
  </si>
  <si>
    <t xml:space="preserve">m_68af2430fe</t>
  </si>
  <si>
    <t xml:space="preserve">Bedieneinrichtung versetzen oder ändern</t>
  </si>
  <si>
    <t xml:space="preserve">m_95b91a7f5f</t>
  </si>
  <si>
    <t xml:space="preserve">Bedienelemente nach DIN EN 81-70 versetzen oder ersetzen</t>
  </si>
  <si>
    <t xml:space="preserve">m_b94d1e2c36</t>
  </si>
  <si>
    <t xml:space="preserve">Bei Modernisierung Führungsschienen aus Stahl nach EN 81-20 5.7 vorsehen</t>
  </si>
  <si>
    <t xml:space="preserve">m_7a30bda4ca</t>
  </si>
  <si>
    <t xml:space="preserve">Bei Modernisierung Schutzräume nach EN 81-20 herstellen oder Schutzeinrichtung für temporären Schutzraum vorsehen</t>
  </si>
  <si>
    <t xml:space="preserve">MF-F04-R3, MF-G02-R2</t>
  </si>
  <si>
    <t xml:space="preserve">m_76892426c2</t>
  </si>
  <si>
    <t xml:space="preserve">Bei Modernisierung des Antriebs statisch bestimmte Lagerung vorsehen</t>
  </si>
  <si>
    <t xml:space="preserve">m_47eb1ef35e</t>
  </si>
  <si>
    <t xml:space="preserve">Bei Notwendigkeit DGUV V3 Prüfung beauftragen, Plakette erneuern</t>
  </si>
  <si>
    <t xml:space="preserve">m_78ee293621</t>
  </si>
  <si>
    <t xml:space="preserve">Bei Steuerungs- oder Antriebsmodernisierung UCM-Schutz nach EN 81-20 5.6.7 vorsehen</t>
  </si>
  <si>
    <t xml:space="preserve">m_9f0f379661</t>
  </si>
  <si>
    <t xml:space="preserve">Beleuchtung an den Schachtzugängen auf mind. 50 lx (Boden) herstellen</t>
  </si>
  <si>
    <t xml:space="preserve">m_fa94ecf52d</t>
  </si>
  <si>
    <t xml:space="preserve">Beleuchtung der Zuwege dauerhaft instand halten (Prüfintervall festlegen)</t>
  </si>
  <si>
    <t xml:space="preserve">m_a7d51f06ad</t>
  </si>
  <si>
    <t xml:space="preserve">Beleuchtung nachrüsten</t>
  </si>
  <si>
    <t xml:space="preserve">m_1675d52351</t>
  </si>
  <si>
    <t xml:space="preserve">Berührungssichere Bauteile nachrüsten</t>
  </si>
  <si>
    <t xml:space="preserve">MF-M02-R3, MF-M02-R4</t>
  </si>
  <si>
    <t xml:space="preserve">m_48b0d77558</t>
  </si>
  <si>
    <t xml:space="preserve">Beschilderung nach DIN EN 81-20, Abschnitt 7 vervollständigen</t>
  </si>
  <si>
    <t xml:space="preserve">m_31000f52a0</t>
  </si>
  <si>
    <t xml:space="preserve">Beschädigte Bauteile instand setzen oder ersetzen</t>
  </si>
  <si>
    <t xml:space="preserve">m_542d4b70ec</t>
  </si>
  <si>
    <t xml:space="preserve">Bodenbelag prüfen und häufig reinigen</t>
  </si>
  <si>
    <t xml:space="preserve">m_5939a43954</t>
  </si>
  <si>
    <t xml:space="preserve">Brandfallsteuerung nach DIN EN 81-73 nachrüsten</t>
  </si>
  <si>
    <t xml:space="preserve">m_5f872564fe</t>
  </si>
  <si>
    <t xml:space="preserve">Brandschutzeinrichtung und Aufzug so abstimmen, dass sich beide nicht behindern</t>
  </si>
  <si>
    <t xml:space="preserve">m_e7f1dc240f</t>
  </si>
  <si>
    <t xml:space="preserve">Brandschutzkonzept und Ansteuerung dokumentieren und in die Prüfung aufnehmen</t>
  </si>
  <si>
    <t xml:space="preserve">m_e8bffc6847</t>
  </si>
  <si>
    <t xml:space="preserve">Bremskontrollschalter nachrüsten</t>
  </si>
  <si>
    <t xml:space="preserve">MF-K12-R3, MF-M08-R2</t>
  </si>
  <si>
    <t xml:space="preserve">m_66aa2f3913</t>
  </si>
  <si>
    <t xml:space="preserve">Dauerhafte Abdeckung und umlaufendes Geländer anbringen</t>
  </si>
  <si>
    <t xml:space="preserve">m_229d025273</t>
  </si>
  <si>
    <t xml:space="preserve">Dauerhafte Beschilderung an allen Haltestellen anbringen</t>
  </si>
  <si>
    <t xml:space="preserve">m_32fd9acc2d</t>
  </si>
  <si>
    <t xml:space="preserve">Dauerhafte Kennzeichnung aller elektrischen Einrichtungen herstellen</t>
  </si>
  <si>
    <t xml:space="preserve">m_6c23017e17</t>
  </si>
  <si>
    <t xml:space="preserve">Dauerhafte Kennzeichnung anbringen</t>
  </si>
  <si>
    <t xml:space="preserve">m_42acab8c30</t>
  </si>
  <si>
    <t xml:space="preserve">Dauerhafte Kennzeichnung nach Herstellerangabe anbringen</t>
  </si>
  <si>
    <t xml:space="preserve">m_8b74b49488</t>
  </si>
  <si>
    <t xml:space="preserve">Dauerhafte Kennzeichnung von Nennlast und zulässiger Personenzahl im Fahrkorb anbringen</t>
  </si>
  <si>
    <t xml:space="preserve">m_7c0326ebb9</t>
  </si>
  <si>
    <t xml:space="preserve">Dauerhafte Warnkennzeichnung anbringen; sie ersetzt den Berührungsschutz nicht</t>
  </si>
  <si>
    <t xml:space="preserve">m_6849d174cb</t>
  </si>
  <si>
    <t xml:space="preserve">Eigenständigen Zugang schaffen oder Wegeführung verbindlich festlegen</t>
  </si>
  <si>
    <t xml:space="preserve">m_6d31a2d8d0</t>
  </si>
  <si>
    <t xml:space="preserve">Einrichtung gegen das Absinken des Kolbens nachrüsten und Leckage beseitigen</t>
  </si>
  <si>
    <t xml:space="preserve">m_847c91fb08</t>
  </si>
  <si>
    <t xml:space="preserve">Elektrische Sicherheitseinrichtung (Türkontakt im Sicherheitskreis) an der Grubenzugangstür nachrüsten</t>
  </si>
  <si>
    <t xml:space="preserve">m_e6db7c4a31</t>
  </si>
  <si>
    <t xml:space="preserve">Elektrische Überwachung der Klappe nachrüsten</t>
  </si>
  <si>
    <t xml:space="preserve">m_3b4f7ca9a2</t>
  </si>
  <si>
    <t xml:space="preserve">Energieverzehrende Puffer nachrüsten</t>
  </si>
  <si>
    <t xml:space="preserve">m_c3b23d938b</t>
  </si>
  <si>
    <t xml:space="preserve">Engmaschiges Trenngitter nachrüsten</t>
  </si>
  <si>
    <t xml:space="preserve">m_05157b958c</t>
  </si>
  <si>
    <t xml:space="preserve">Entrauchung instand setzen und Prüfnachweis vorlegen lassen</t>
  </si>
  <si>
    <t xml:space="preserve">m_e2ab886d88</t>
  </si>
  <si>
    <t xml:space="preserve">Ersatz aller Schachttür-Verriegelungen durch normgerechte Verriegelungen</t>
  </si>
  <si>
    <t xml:space="preserve">m_9f1ff0f721</t>
  </si>
  <si>
    <t xml:space="preserve">Evakuierungsbetrieb nach DIN EN 81-76 bzw. Brandschutzkonzept in diese GBU aufnehmen</t>
  </si>
  <si>
    <t xml:space="preserve">m_8421475b6c</t>
  </si>
  <si>
    <t xml:space="preserve">Evakuierungseinrichtung nachrüsten</t>
  </si>
  <si>
    <t xml:space="preserve">m_6d4ab5846c</t>
  </si>
  <si>
    <t xml:space="preserve">Explosionsschutz-/Brandschutzbewertung für den Transport dokumentieren</t>
  </si>
  <si>
    <t xml:space="preserve">m_b0affd1da9</t>
  </si>
  <si>
    <t xml:space="preserve">Explosionsschutzbewertung für die Aufzugsanlage erstellen lassen (Explosionsschutzdokument, Zoneneinteilung, geeignete Betriebsmittel)</t>
  </si>
  <si>
    <t xml:space="preserve">m_1977f5bbb5</t>
  </si>
  <si>
    <t xml:space="preserve">Explosionsschutzdokument bei Änderungen an Anlage oder Nutzung fortschreiben</t>
  </si>
  <si>
    <t xml:space="preserve">m_090819b0a6</t>
  </si>
  <si>
    <t xml:space="preserve">Fahrbegrenzung nachrüsten oder Schutzraum herstellen</t>
  </si>
  <si>
    <t xml:space="preserve">m_0a2c651903</t>
  </si>
  <si>
    <t xml:space="preserve">Fahrbegrenzung nachrüsten oder Schutzraum wiederherstellen</t>
  </si>
  <si>
    <t xml:space="preserve">m_4c9858ff1b</t>
  </si>
  <si>
    <t xml:space="preserve">Fahrkorbabschlusstür nachrüsten (DIN EN 81-1/2 5.4, EN 81-80 5.5.2)</t>
  </si>
  <si>
    <t xml:space="preserve">m_eba2de844c</t>
  </si>
  <si>
    <t xml:space="preserve">Fahrkorbabschlusstür nachrüsten und die Konformität der Anlage durch den Errichter nachweisen lassen (DIN EN 81-20 5.4.6)</t>
  </si>
  <si>
    <t xml:space="preserve">m_07a0ffbec4</t>
  </si>
  <si>
    <t xml:space="preserve">Fahrkorbtür nachrüsten (Lichtgitter oder Scherengitter genügen nur bei Lastenaufzügen mit ausschließlich eingewiesenem Nutzerkreis)</t>
  </si>
  <si>
    <t xml:space="preserve">m_21932cc8ea</t>
  </si>
  <si>
    <t xml:space="preserve">Fahrkorbtür nachrüsten (ein Sicherheitslichtgitter genügt nur bei Lastenaufzügen mit ausschließlich eingewiesenem Nutzerkreis, TRBS 3121 Anh. 1 Nr. 14 c)</t>
  </si>
  <si>
    <t xml:space="preserve">m_6d024d2ff2</t>
  </si>
  <si>
    <t xml:space="preserve">Fahrkorbtür-Verriegelung außerhalb der Entriegelungszone oder Zusatzverriegelung an den Schachttüren nachrüsten oder Abstand auf unter 150 mm reduzieren</t>
  </si>
  <si>
    <t xml:space="preserve">MF-K05-R2, MF-K05-R5</t>
  </si>
  <si>
    <t xml:space="preserve">m_68cac6946e</t>
  </si>
  <si>
    <t xml:space="preserve">Fangvorrichtung am Gegengewicht nachrüsten oder Raum dauerhaft unzugänglich machen</t>
  </si>
  <si>
    <t xml:space="preserve">m_b2de131f7d</t>
  </si>
  <si>
    <t xml:space="preserve">Fangvorrichtung nach DIN EN 81-20, 5.6.2 nachrüsten</t>
  </si>
  <si>
    <t xml:space="preserve">m_80bba4f1cc</t>
  </si>
  <si>
    <t xml:space="preserve">Fest angebrachte Steigleiter mit Haltegriffen oder Treppe herstellen</t>
  </si>
  <si>
    <t xml:space="preserve">m_900d99dfce</t>
  </si>
  <si>
    <t xml:space="preserve">Fest installierte Grubenleiter nach DIN EN 81-20 5.2.2.4 nachrüsten</t>
  </si>
  <si>
    <t xml:space="preserve">m_72be66e04a</t>
  </si>
  <si>
    <t xml:space="preserve">Festgelegte Ex-Schutzmaßnahmen umsetzen und ihre Wirksamkeit vor der weiteren Nutzung prüfen lassen</t>
  </si>
  <si>
    <t xml:space="preserve">m_98a20771ff</t>
  </si>
  <si>
    <t xml:space="preserve">Feuerwiderstandsanforderung aus dem Brandschutzkonzept klären und dokumentieren</t>
  </si>
  <si>
    <t xml:space="preserve">m_f2d3693652</t>
  </si>
  <si>
    <t xml:space="preserve">Flucht- und Rettungswege nach ASR A2.3 herstellen und dauerhaft freihalten</t>
  </si>
  <si>
    <t xml:space="preserve">m_b5c9f0d5f8</t>
  </si>
  <si>
    <t xml:space="preserve">Freifläche dauerhaft sicherstellen und kennzeichnen</t>
  </si>
  <si>
    <t xml:space="preserve">m_dbc2cffbbc</t>
  </si>
  <si>
    <t xml:space="preserve">Freihaltung der Schachtzugänge und Schalteinrichtungen in der Betriebsanweisung festlegen und bei Betreiberkontrollen prüfen</t>
  </si>
  <si>
    <t xml:space="preserve">m_f105f75f7d</t>
  </si>
  <si>
    <t xml:space="preserve">Funktion der automatischen Abschaltung für alle Nachbaranlagen prüfen und dokumentieren</t>
  </si>
  <si>
    <t xml:space="preserve">MF-F03-R7, MF-F03-R8, MF-G08-R3</t>
  </si>
  <si>
    <t xml:space="preserve">m_dfc1fe4010</t>
  </si>
  <si>
    <t xml:space="preserve">Funktionsprüfung in Wartung und wiederkehrende Prüfung aufnehmen</t>
  </si>
  <si>
    <t xml:space="preserve">m_65bafc2ea0</t>
  </si>
  <si>
    <t xml:space="preserve">Fußleiste nachrüsten</t>
  </si>
  <si>
    <t xml:space="preserve">m_7fad0c1b92</t>
  </si>
  <si>
    <t xml:space="preserve">Füllung sichern oder geschlossenen Rahmen nachrüsten</t>
  </si>
  <si>
    <t xml:space="preserve">m_2e29560129</t>
  </si>
  <si>
    <t xml:space="preserve">Geeignete Leuchten nachrüsten</t>
  </si>
  <si>
    <t xml:space="preserve">MF-G01-R1, MF-M01-R1, MF-M01-R2, MF-S01-R1, MF-S01-R5, MF-S01-R6, MF-Z01-R1</t>
  </si>
  <si>
    <t xml:space="preserve">m_ee8c1c656a</t>
  </si>
  <si>
    <t xml:space="preserve">Gefahrstofflagerung aus dem Aufzugsbereich verlegen oder in die Betriebsanweisung aufnehmen</t>
  </si>
  <si>
    <t xml:space="preserve">m_97bc3c222e</t>
  </si>
  <si>
    <t xml:space="preserve">Geländer auf 110 cm erhöhen bzw. erneuern</t>
  </si>
  <si>
    <t xml:space="preserve">m_5d1cf69a63</t>
  </si>
  <si>
    <t xml:space="preserve">Geländer nachrüsten</t>
  </si>
  <si>
    <t xml:space="preserve">m_5f3b068414</t>
  </si>
  <si>
    <t xml:space="preserve">Geländer nachrüsten bzw. erhöhen</t>
  </si>
  <si>
    <t xml:space="preserve">MF-F01-R1, MF-F01-R2, MF-F01-R3</t>
  </si>
  <si>
    <t xml:space="preserve">m_85a4f8634a</t>
  </si>
  <si>
    <t xml:space="preserve">Geländer oder dauerhafte Absturzsicherung anbringen</t>
  </si>
  <si>
    <t xml:space="preserve">m_3b3d45ddfd</t>
  </si>
  <si>
    <t xml:space="preserve">Geschwindigkeitsbegrenzer nachrüsten, der die Fangvorrichtung auslöst (DIN EN 81-20 5.6.2.2.1)</t>
  </si>
  <si>
    <t xml:space="preserve">m_9088e91e3b</t>
  </si>
  <si>
    <t xml:space="preserve">Haltegenauigkeit auf ±10 mm und Nachregulierung auf ±20 mm herstellen (geregelter Antrieb, Nachstelleinrichtung bzw. geregeltes Ventil)</t>
  </si>
  <si>
    <t xml:space="preserve">m_dd75ab72eb</t>
  </si>
  <si>
    <t xml:space="preserve">Handlauf nachrüsten</t>
  </si>
  <si>
    <t xml:space="preserve">m_db40f86a43</t>
  </si>
  <si>
    <t xml:space="preserve">Hauptpotenzialausgleich an Führungsschienen, Maschinenrahmen und Schaltschrank herstellen (DIN VDE 0100-410)</t>
  </si>
  <si>
    <t xml:space="preserve">m_37d0478cc2</t>
  </si>
  <si>
    <t xml:space="preserve">Hauptschalter nach DIN EN 81-20 nachrüsten</t>
  </si>
  <si>
    <t xml:space="preserve">m_de8b37ce5a</t>
  </si>
  <si>
    <t xml:space="preserve">Inspektionsgeschwindigkeit &lt; 0,63 m/s nachrüsten</t>
  </si>
  <si>
    <t xml:space="preserve">m_adcfc8e8d4</t>
  </si>
  <si>
    <t xml:space="preserve">Inspektionssteuerung nach DIN EN 81-20, 5.12.1.5 nachrüsten</t>
  </si>
  <si>
    <t xml:space="preserve">MF-F05-R1, MF-G03-R2</t>
  </si>
  <si>
    <t xml:space="preserve">m_305e0dfe58</t>
  </si>
  <si>
    <t xml:space="preserve">Instandhaltungsvertrag mit einem Fachunternehmen abschließen (BetrSichV § 10)</t>
  </si>
  <si>
    <t xml:space="preserve">m_5c610a715a</t>
  </si>
  <si>
    <t xml:space="preserve">Instandsetzung durch eine Elektrofachkraft</t>
  </si>
  <si>
    <t xml:space="preserve">m_72afa2a712</t>
  </si>
  <si>
    <t xml:space="preserve">Instandsetzung veranlassen und Anlage vor Wiederinbetriebnahme prüfen</t>
  </si>
  <si>
    <t xml:space="preserve">m_1c821984e7</t>
  </si>
  <si>
    <t xml:space="preserve">Kabinentür nachrüsten</t>
  </si>
  <si>
    <t xml:space="preserve">MF-T06-R10, MF-T06-R2, MF-T06-R9</t>
  </si>
  <si>
    <t xml:space="preserve">m_3444ef79e8</t>
  </si>
  <si>
    <t xml:space="preserve">Kabinentürschürze nachrüsten</t>
  </si>
  <si>
    <t xml:space="preserve">MF-K04-R1, MF-K04-R2, MF-K04-R3</t>
  </si>
  <si>
    <t xml:space="preserve">m_8b91a99033</t>
  </si>
  <si>
    <t xml:space="preserve">Kennzeichnung nach ASR A1.3 und ASR A2.3 herstellen</t>
  </si>
  <si>
    <t xml:space="preserve">m_294137f22c</t>
  </si>
  <si>
    <t xml:space="preserve">Kolbenabsinkverhinderung (KAV) nachrüsten</t>
  </si>
  <si>
    <t xml:space="preserve">m_d0583d6d56</t>
  </si>
  <si>
    <t xml:space="preserve">Komplettabdeckungen nachrüsten</t>
  </si>
  <si>
    <t xml:space="preserve">MF-F02-R1, MF-F02-R2, MF-M03-R1, MF-M03-R2, MF-M03-R3</t>
  </si>
  <si>
    <t xml:space="preserve">m_54f17dadcc</t>
  </si>
  <si>
    <t xml:space="preserve">Lagerflächen festlegen und Freihaltung regelmäßig kontrollieren</t>
  </si>
  <si>
    <t xml:space="preserve">m_5b7e8f120e</t>
  </si>
  <si>
    <t xml:space="preserve">Lagerung im Triebwerksraum dauerhaft unterbinden</t>
  </si>
  <si>
    <t xml:space="preserve">m_70ca41e346</t>
  </si>
  <si>
    <t xml:space="preserve">Leckage beseitigen und Auffangwanne bzw. Ölabscheider vorsehen</t>
  </si>
  <si>
    <t xml:space="preserve">m_69dc2c175e</t>
  </si>
  <si>
    <t xml:space="preserve">Leuchten versetzen</t>
  </si>
  <si>
    <t xml:space="preserve">MF-G01-R2, MF-M01-R3, MF-Z01-R2</t>
  </si>
  <si>
    <t xml:space="preserve">m_b25b638ba9</t>
  </si>
  <si>
    <t xml:space="preserve">Lichte Höhe von 1,80 m im Gehbereich herstellen (Umbau, Verlegung von Einbauten)</t>
  </si>
  <si>
    <t xml:space="preserve">m_30a9727f62</t>
  </si>
  <si>
    <t xml:space="preserve">Lichtgitter nachrüsten</t>
  </si>
  <si>
    <t xml:space="preserve">MF-T06-R13, MF-T06-R14, MF-T06-R5, MF-T06-R7</t>
  </si>
  <si>
    <t xml:space="preserve">m_8c43f6bdfa</t>
  </si>
  <si>
    <t xml:space="preserve">Lüftung / Absaugung im Aufstellbereich sicherstellen; Fahrkorblüftung prüfen</t>
  </si>
  <si>
    <t xml:space="preserve">m_f56199f989</t>
  </si>
  <si>
    <t xml:space="preserve">Lüftung des Fahrkorbs und Verhalten bei Freisetzung in der Betriebsanweisung regeln</t>
  </si>
  <si>
    <t xml:space="preserve">m_d2043d69ca</t>
  </si>
  <si>
    <t xml:space="preserve">Lüftung/Kühlung bzw. Frostschutz im Triebwerksraum oder Schacht herstellen</t>
  </si>
  <si>
    <t xml:space="preserve">m_129be413b5</t>
  </si>
  <si>
    <t xml:space="preserve">Lüftungsöffnungen nach DIN EN 81-20, 5.4.9 herstellen</t>
  </si>
  <si>
    <t xml:space="preserve">m_a2ee36ba14</t>
  </si>
  <si>
    <t xml:space="preserve">Maschine erneuern oder Bauteile abdecken oder ersetzen</t>
  </si>
  <si>
    <t xml:space="preserve">m_6de4fa5d4b</t>
  </si>
  <si>
    <t xml:space="preserve">Motoren-Laufzeitüberwachung nachrüsten</t>
  </si>
  <si>
    <t xml:space="preserve">m_20d4f25438</t>
  </si>
  <si>
    <t xml:space="preserve">Motorregelung oder andere technische Maßnahme nachrüsten</t>
  </si>
  <si>
    <t xml:space="preserve">MF-K03-R1, MF-K03-R2</t>
  </si>
  <si>
    <t xml:space="preserve">m_a83ee3d69c</t>
  </si>
  <si>
    <t xml:space="preserve">Motorschutz nach DIN EN 81-20, 5.10.4.2 nachrüsten</t>
  </si>
  <si>
    <t xml:space="preserve">m_dded8e174f</t>
  </si>
  <si>
    <t xml:space="preserve">Mängel beseitigen lassen und die Nachprüfung durch die ZÜS veranlassen; Erledigung im Prüfbuch dokumentieren</t>
  </si>
  <si>
    <t xml:space="preserve">m_23822f7291</t>
  </si>
  <si>
    <t xml:space="preserve">Nachrüstung nach DIN EN 81-70 prüfen (Bedienelemente, Handlauf, Spiegel, akustische Ansage)</t>
  </si>
  <si>
    <t xml:space="preserve">m_579311406e</t>
  </si>
  <si>
    <t xml:space="preserve">Normgerechtes Glas (z.B. VSG) einbauen oder verschließen und Anwesenheitsanzeige nachrüsten.</t>
  </si>
  <si>
    <t xml:space="preserve">MF-T04-R3, MF-T04-R5, MF-T04-R6</t>
  </si>
  <si>
    <t xml:space="preserve">m_b4594e628b</t>
  </si>
  <si>
    <t xml:space="preserve">Notbeleuchtung (mind. 5 Lux, 1 h) auf dem Fahrkorbdach nachrüsten</t>
  </si>
  <si>
    <t xml:space="preserve">m_0108ce1094</t>
  </si>
  <si>
    <t xml:space="preserve">Notbeleuchtung nach DIN EN 81-20 5.4.10.4 nachrüsten (mind. 5 lx am Notrufauslöser, 1 h)</t>
  </si>
  <si>
    <t xml:space="preserve">m_8fb9bca131</t>
  </si>
  <si>
    <t xml:space="preserve">Notbremsschalter (Stoppeinrichtung) im Rollenraum nachrüsten (DIN EN 81-20 5.12.1.11)</t>
  </si>
  <si>
    <t xml:space="preserve">m_9d9b81fb97</t>
  </si>
  <si>
    <t xml:space="preserve">Notbremsschalter nach DIN EN 81-20, 5.4.8 nachrüsten</t>
  </si>
  <si>
    <t xml:space="preserve">m_e8e5e3450b</t>
  </si>
  <si>
    <t xml:space="preserve">Notbremsschalter nachrüsten</t>
  </si>
  <si>
    <t xml:space="preserve">m_3e22c992de</t>
  </si>
  <si>
    <t xml:space="preserve">Notentriegelung in erreichbarer Höhe (max. 2,00 m) nachrüsten oder langen Entriegelungsschlüssel hinterlegen</t>
  </si>
  <si>
    <t xml:space="preserve">m_47c289d63f</t>
  </si>
  <si>
    <t xml:space="preserve">Notentriegelungen nachrüsten</t>
  </si>
  <si>
    <t xml:space="preserve">m_4b19ad19b6</t>
  </si>
  <si>
    <t xml:space="preserve">Notfallplan nach BetrSichV Anh. 1 Nr. 4.1 erstellen und an der Anlage hinterlegen</t>
  </si>
  <si>
    <t xml:space="preserve">m_dbc4252d3c</t>
  </si>
  <si>
    <t xml:space="preserve">Notruf auf einen 24 h besetzten Notrufdienst (EN 81-28) aufschalten</t>
  </si>
  <si>
    <t xml:space="preserve">m_b6014a383e</t>
  </si>
  <si>
    <t xml:space="preserve">Notrufeinrichtung in der Schachtgrube nachrüsten oder Selbstbefreiung ermöglichen</t>
  </si>
  <si>
    <t xml:space="preserve">m_a62a95f3e8</t>
  </si>
  <si>
    <t xml:space="preserve">Notrufsystem FK-Dach und Schachtgrube nachrüsten</t>
  </si>
  <si>
    <t xml:space="preserve">MF-F09-R1, MF-G05-R3</t>
  </si>
  <si>
    <t xml:space="preserve">m_4de80437af</t>
  </si>
  <si>
    <t xml:space="preserve">Notrufsystem mit Sprechverbindung installieren</t>
  </si>
  <si>
    <t xml:space="preserve">MF-K01-R1, MF-K01-R7</t>
  </si>
  <si>
    <t xml:space="preserve">m_4107cd38b1</t>
  </si>
  <si>
    <t xml:space="preserve">Nutzfläche verkleinern oder Nennlast anpassen und die Anlage neu bewerten lassen</t>
  </si>
  <si>
    <t xml:space="preserve">m_2e60d7e71e</t>
  </si>
  <si>
    <t xml:space="preserve">Panikschloss installieren oder zweiten Fluchtweg schaffen</t>
  </si>
  <si>
    <t xml:space="preserve">m_58572be54a</t>
  </si>
  <si>
    <t xml:space="preserve">Panikschloss nachrüsten</t>
  </si>
  <si>
    <t xml:space="preserve">m_78cc5d3273</t>
  </si>
  <si>
    <t xml:space="preserve">Phasenfolge-/Phasenausfallrelais nachrüsten</t>
  </si>
  <si>
    <t xml:space="preserve">m_66004ac92f</t>
  </si>
  <si>
    <t xml:space="preserve">Prüfbescheinigungen nach BetrSichV § 17 Abs. 2 bei der Anlage vorhalten (TRBS 3121 Abschn. 3.2)</t>
  </si>
  <si>
    <t xml:space="preserve">m_3bef2946ad</t>
  </si>
  <si>
    <t xml:space="preserve">Prüfbuch und Wartungsnachweise an der Anlage oder beim Betreiber führen</t>
  </si>
  <si>
    <t xml:space="preserve">m_43038018f8</t>
  </si>
  <si>
    <t xml:space="preserve">Prüffristen im Prüfbuch führen und Wiedervorlage einrichten</t>
  </si>
  <si>
    <t xml:space="preserve">m_ce45b3f130</t>
  </si>
  <si>
    <t xml:space="preserve">Prüfmöglichkeit und Kennzeichnung herstellen</t>
  </si>
  <si>
    <t xml:space="preserve">m_8eae2c349c</t>
  </si>
  <si>
    <t xml:space="preserve">Prüfplakette im Fahrkorb anbringen (BetrSichV § 17 Abs. 3)</t>
  </si>
  <si>
    <t xml:space="preserve">m_c568fc3856</t>
  </si>
  <si>
    <t xml:space="preserve">Prüfung durchführen lassen und dokumentieren</t>
  </si>
  <si>
    <t xml:space="preserve">m_17d1b1c2ff</t>
  </si>
  <si>
    <t xml:space="preserve">Puffer nach DIN EN 81-20, 5.8.1 ersetzen</t>
  </si>
  <si>
    <t xml:space="preserve">MF-G06-R1, MF-G06-R2</t>
  </si>
  <si>
    <t xml:space="preserve">m_6b5a63b765</t>
  </si>
  <si>
    <t xml:space="preserve">Regelung des Transports radioaktiver Stoffe in der Betriebsanweisung</t>
  </si>
  <si>
    <t xml:space="preserve">m_e2c496f304</t>
  </si>
  <si>
    <t xml:space="preserve">Reinigung der Lüftungsöffnungen in den Wartungsplan aufnehmen</t>
  </si>
  <si>
    <t xml:space="preserve">m_1821530424</t>
  </si>
  <si>
    <t xml:space="preserve">Reinigung in den Wartungsplan aufnehmen</t>
  </si>
  <si>
    <t xml:space="preserve">m_58c040c350</t>
  </si>
  <si>
    <t xml:space="preserve">Reinigungs- und Desinfektionsplan für den Fahrkorb festlegen</t>
  </si>
  <si>
    <t xml:space="preserve">m_998e2286ba</t>
  </si>
  <si>
    <t xml:space="preserve">Riegel mit Fehlschließeinrichtung nachrüsten</t>
  </si>
  <si>
    <t xml:space="preserve">m_ecfb4f50ba</t>
  </si>
  <si>
    <t xml:space="preserve">Rohrbruchsicherungsventil nachrüsten</t>
  </si>
  <si>
    <t xml:space="preserve">m_322d4083b6</t>
  </si>
  <si>
    <t xml:space="preserve">Rutschhemmenden Bodenbelag herstellen bzw. Ursache der Verschmutzung/Nässe beseitigen</t>
  </si>
  <si>
    <t xml:space="preserve">m_c759367b33</t>
  </si>
  <si>
    <t xml:space="preserve">Rückbau bei der nächsten Modernisierung vorsehen</t>
  </si>
  <si>
    <t xml:space="preserve">m_bc256e4f10</t>
  </si>
  <si>
    <t xml:space="preserve">Schacht / Fahrkorb: Fundstelle durch Sachkundige nach TRGS 519 bewerten und sanieren lassen; Tätigkeiten bis dahin nur nach TRGS 519</t>
  </si>
  <si>
    <t xml:space="preserve">m_e82a44772b</t>
  </si>
  <si>
    <t xml:space="preserve">Schacht / Fahrkorb: Lagerverbot für brennbare Stoffe im Aufzugsbereich in der Betriebsanweisung festlegen und bei der Betreiberkontrolle prüfen</t>
  </si>
  <si>
    <t xml:space="preserve">m_a108a92cc3</t>
  </si>
  <si>
    <t xml:space="preserve">Schacht / Fahrkorb: Reinigung veranlassen (bei Taubenkot/Schimmel durch Fachfirma) und Ursache abstellen (Abdichtung, Taubenabwehr)</t>
  </si>
  <si>
    <t xml:space="preserve">m_b7b886b613</t>
  </si>
  <si>
    <t xml:space="preserve">Schachtgrube: Fundstelle durch Sachkundige nach TRGS 519 bewerten und sanieren lassen; Tätigkeiten bis dahin nur nach TRGS 519</t>
  </si>
  <si>
    <t xml:space="preserve">m_dd673389aa</t>
  </si>
  <si>
    <t xml:space="preserve">Schachtgrube: Lagerverbot für brennbare Stoffe im Aufzugsbereich in der Betriebsanweisung festlegen und bei der Betreiberkontrolle prüfen</t>
  </si>
  <si>
    <t xml:space="preserve">m_bfc91570b1</t>
  </si>
  <si>
    <t xml:space="preserve">Schachtgrube: Reinigung veranlassen (bei Taubenkot/Schimmel durch Fachfirma) und Ursache abstellen (Abdichtung, Taubenabwehr)</t>
  </si>
  <si>
    <t xml:space="preserve">m_e9c0b06bf1</t>
  </si>
  <si>
    <t xml:space="preserve">Schachtgrubenleiter nachrüsten</t>
  </si>
  <si>
    <t xml:space="preserve">MF-G04-R10, MF-G04-R7, MF-G04-R9</t>
  </si>
  <si>
    <t xml:space="preserve">m_3afdffde17</t>
  </si>
  <si>
    <t xml:space="preserve">Schachttür umrüsten</t>
  </si>
  <si>
    <t xml:space="preserve">m_76511256ab</t>
  </si>
  <si>
    <t xml:space="preserve">Schachttüren mit nachgewiesener Feuerwiderstandsfähigkeit (EN 81-58) einbauen</t>
  </si>
  <si>
    <t xml:space="preserve">m_84b494ec28</t>
  </si>
  <si>
    <t xml:space="preserve">Schachtwände nach DIN EN 81-20, 5.2.5 ertüchtigen</t>
  </si>
  <si>
    <t xml:space="preserve">MF-S03-R1, MF-S03-R2</t>
  </si>
  <si>
    <t xml:space="preserve">m_1161ed71b3</t>
  </si>
  <si>
    <t xml:space="preserve">Schadstofferkundung (Probenahme) durch Sachkundige veranlassen und das Ergebnis in dieser Gefährdungsbeurteilung nachtragen</t>
  </si>
  <si>
    <t xml:space="preserve">m_0c316ebb38</t>
  </si>
  <si>
    <t xml:space="preserve">Schalter erreichbar versetzen</t>
  </si>
  <si>
    <t xml:space="preserve">m_2dfc1b83b2</t>
  </si>
  <si>
    <t xml:space="preserve">Schlaffseileinrichtung nachrüsten</t>
  </si>
  <si>
    <t xml:space="preserve">m_b9ffae219f</t>
  </si>
  <si>
    <t xml:space="preserve">Schlaffseilschalter nachrüsten</t>
  </si>
  <si>
    <t xml:space="preserve">m_6ca8bc445d</t>
  </si>
  <si>
    <t xml:space="preserve">Schlüsseltresor nachrüsten</t>
  </si>
  <si>
    <t xml:space="preserve">m_379d31bf58</t>
  </si>
  <si>
    <t xml:space="preserve">Schlüsselverwaltung für die Personenbefreiung in der Betriebsanweisung regeln</t>
  </si>
  <si>
    <t xml:space="preserve">m_112dc3319d</t>
  </si>
  <si>
    <t xml:space="preserve">Schutzeinrichtung gegen Übergeschwindigkeit aufwärts nachrüsten (z. B. Fangvorrichtung am Gegengewicht, Seil- oder Treibscheibenbremse), baumustergeprüft und zur Anlage passend</t>
  </si>
  <si>
    <t xml:space="preserve">m_a1acc21544</t>
  </si>
  <si>
    <t xml:space="preserve">Schutzkragen oder gleichwertigen Schutz nachrüsten</t>
  </si>
  <si>
    <t xml:space="preserve">m_42987e8bd3</t>
  </si>
  <si>
    <t xml:space="preserve">Schutzmaßnahme gegen Einzug von Kinderhänden nachrüsten</t>
  </si>
  <si>
    <t xml:space="preserve">m_07c725ca8e</t>
  </si>
  <si>
    <t xml:space="preserve">Schutzraumkennzeichnung nach DIN EN 81-20 anbringen</t>
  </si>
  <si>
    <t xml:space="preserve">m_f1220f77b2</t>
  </si>
  <si>
    <t xml:space="preserve">Selbstschließung nachrüsten</t>
  </si>
  <si>
    <t xml:space="preserve">m_963b78fa13</t>
  </si>
  <si>
    <t xml:space="preserve">Sichere Treppe / Leiter / Zugang schaffen</t>
  </si>
  <si>
    <t xml:space="preserve">m_625e430ff1</t>
  </si>
  <si>
    <t xml:space="preserve">Sicherheitskreis instand setzen und Wirkung prüfen</t>
  </si>
  <si>
    <t xml:space="preserve">m_1585e87930</t>
  </si>
  <si>
    <t xml:space="preserve">Splitterschutz nachrüsten</t>
  </si>
  <si>
    <t xml:space="preserve">MF-M01-R4, MF-S01-R3</t>
  </si>
  <si>
    <t xml:space="preserve">m_53f4eb2207</t>
  </si>
  <si>
    <t xml:space="preserve">Sprechstelle zwischen Fahrkorb und Triebwerksraum nachrüsten</t>
  </si>
  <si>
    <t xml:space="preserve">m_b6c75f08fa</t>
  </si>
  <si>
    <t xml:space="preserve">Sprechverbindung instand setzen oder erneuern</t>
  </si>
  <si>
    <t xml:space="preserve">m_f983ac2753</t>
  </si>
  <si>
    <t xml:space="preserve">Statische und sicherheitstechnische Bewertung der Änderung durch Fachplaner und ZÜS veranlassen</t>
  </si>
  <si>
    <t xml:space="preserve">m_1deb08907e</t>
  </si>
  <si>
    <t xml:space="preserve">Statischen Nachweis erbringen oder Verglasung ersetzen</t>
  </si>
  <si>
    <t xml:space="preserve">m_67ad564e70</t>
  </si>
  <si>
    <t xml:space="preserve">Steuerung erneuern</t>
  </si>
  <si>
    <t xml:space="preserve">m_6a06cdb9af</t>
  </si>
  <si>
    <t xml:space="preserve">Stolperstellen beseitigen (Schwellen, Kabel, Bodenschäden) oder dauerhaft sichern</t>
  </si>
  <si>
    <t xml:space="preserve">m_3e7d17cc3e</t>
  </si>
  <si>
    <t xml:space="preserve">Stromlaufpläne ergänzen, DGUV V3 Prüfung</t>
  </si>
  <si>
    <t xml:space="preserve">MF-M17-R1, MF-M17-R3</t>
  </si>
  <si>
    <t xml:space="preserve">m_92e8a845db</t>
  </si>
  <si>
    <t xml:space="preserve">Ständige Besetzung der Leitwarte / Pforte gewährleisten</t>
  </si>
  <si>
    <t xml:space="preserve">m_9292ae9a4c</t>
  </si>
  <si>
    <t xml:space="preserve">Tragfähiges Fahrkorbdach herstellen (200 kg auf 0,30 m × 0,30 m, DIN EN 81-20 5.4.7.1) und nachweisen</t>
  </si>
  <si>
    <t xml:space="preserve">m_d759f3a354</t>
  </si>
  <si>
    <t xml:space="preserve">Tragfähigkeit dauerhaft kennzeichnen</t>
  </si>
  <si>
    <t xml:space="preserve">m_f4144a35cb</t>
  </si>
  <si>
    <t xml:space="preserve">Trenngitter über die volle Schachthöhe nachrüsten, Umwehrung mit mehr als 0,5 m Abstand zu beweglichen Teilen herstellen oder automatische Abschaltung des Nachbaraufzugs vorsehen</t>
  </si>
  <si>
    <t xml:space="preserve">m_d28a293d6f</t>
  </si>
  <si>
    <t xml:space="preserve">Treppe / Leiter erneuern</t>
  </si>
  <si>
    <t xml:space="preserve">m_8437effcfd</t>
  </si>
  <si>
    <t xml:space="preserve">Treppe erneuern</t>
  </si>
  <si>
    <t xml:space="preserve">m_e9f0b57bd6</t>
  </si>
  <si>
    <t xml:space="preserve">Treppe oder Leiter nach DIN EN 81-20, 5.2.6.3.2.4 herstellen</t>
  </si>
  <si>
    <t xml:space="preserve">m_e51966c32e</t>
  </si>
  <si>
    <t xml:space="preserve">Triebwerks-/Maschinenraum: Fundstelle durch Sachkundige nach TRGS 519 bewerten und sanieren lassen; Tätigkeiten bis dahin nur nach TRGS 519</t>
  </si>
  <si>
    <t xml:space="preserve">m_de111d5b94</t>
  </si>
  <si>
    <t xml:space="preserve">Triebwerks-/Maschinenraum: Lagerverbot für brennbare Stoffe im Aufzugsbereich in der Betriebsanweisung festlegen und bei der Betreiberkontrolle prüfen</t>
  </si>
  <si>
    <t xml:space="preserve">m_cd70d7748a</t>
  </si>
  <si>
    <t xml:space="preserve">Triebwerks-/Maschinenraum: Reinigung veranlassen (bei Taubenkot/Schimmel durch Fachfirma) und Ursache abstellen (Abdichtung, Taubenabwehr)</t>
  </si>
  <si>
    <t xml:space="preserve">m_e024e89676</t>
  </si>
  <si>
    <t xml:space="preserve">Tür instand setzen oder ersetzen</t>
  </si>
  <si>
    <t xml:space="preserve">m_1e816ed42d</t>
  </si>
  <si>
    <t xml:space="preserve">Türkontakt im Sicherheitskreis instand setzen bzw. nachrüsten und Wirkung prüfen (DIN EN 81-20 5.3.9.1)</t>
  </si>
  <si>
    <t xml:space="preserve">m_5c0b755c7c</t>
  </si>
  <si>
    <t xml:space="preserve">Türöffnung nach DIN EN 81-20, 5.2.3 anpassen</t>
  </si>
  <si>
    <t xml:space="preserve">m_4c84416702</t>
  </si>
  <si>
    <t xml:space="preserve">UCM-Schutz nach DIN EN 81-20 5.6.7 nachrüsten (baumustergeprüft, zur Anlage passend); eine überwachte Zweikreisbremse allein senkt das Risiko, ersetzt den UCM-Schutz aber nicht</t>
  </si>
  <si>
    <t xml:space="preserve">m_1358f49ab7</t>
  </si>
  <si>
    <t xml:space="preserve">UCM-Schutz nach DIN EN 81-20 5.6.7 nachrüsten; Ausbau der Türüberbrückung nur nach anlagenspezifischer Prüfung (Haltegenauigkeit, Nachregulierung)</t>
  </si>
  <si>
    <t xml:space="preserve">m_9a07871b14</t>
  </si>
  <si>
    <t xml:space="preserve">UCM-Schutz nachrüsten und die Konformität nachweisen lassen (EN 81-1/2 + A3 bzw. DIN EN 81-20 5.6.7)</t>
  </si>
  <si>
    <t xml:space="preserve">m_74afb0183d</t>
  </si>
  <si>
    <t xml:space="preserve">Umbau Schachtgrubenleiter</t>
  </si>
  <si>
    <t xml:space="preserve">m_669e553c69</t>
  </si>
  <si>
    <t xml:space="preserve">Umbau oder Ersatz der Anlage prüfen</t>
  </si>
  <si>
    <t xml:space="preserve">m_c042b3b8f8</t>
  </si>
  <si>
    <t xml:space="preserve">Umfang der Modernisierung dokumentieren; sonst Baujahr oder Regelwerk berichtigen</t>
  </si>
  <si>
    <t xml:space="preserve">m_395aeb640b</t>
  </si>
  <si>
    <t xml:space="preserve">Umgang mit biologischen Arbeitsstoffen im Aufzugsbereich in der Betriebsanweisung regeln</t>
  </si>
  <si>
    <t xml:space="preserve">m_e97af4b3fc</t>
  </si>
  <si>
    <t xml:space="preserve">Unterweisung jährlich wiederholen und dokumentieren</t>
  </si>
  <si>
    <t xml:space="preserve">m_b12ee4ba83</t>
  </si>
  <si>
    <t xml:space="preserve">Vandalismusgeschützte Ausstattung nach DIN EN 81-71 nachrüsten; weitere Maßnahmen (z. B. Zugangsregelung) erst nach Ursachenanalyse und Verhältnismäßigkeitsprüfung</t>
  </si>
  <si>
    <t xml:space="preserve">m_7c8048f768</t>
  </si>
  <si>
    <t xml:space="preserve">Ventil zugänglich anordnen und dauerhaft kennzeichnen</t>
  </si>
  <si>
    <t xml:space="preserve">m_02edccd99c</t>
  </si>
  <si>
    <t xml:space="preserve">Verkleidung zurückbauen oder Zustand durch die ZÜS bewerten lassen</t>
  </si>
  <si>
    <t xml:space="preserve">m_a987358e29</t>
  </si>
  <si>
    <t xml:space="preserve">Wassereintritt beseitigen (Abdichtung, Pumpensumpf) und betroffene Bauteile prüfen lassen</t>
  </si>
  <si>
    <t xml:space="preserve">MF-U07-R1, MF-U07-R2</t>
  </si>
  <si>
    <t xml:space="preserve">m_3574343f74</t>
  </si>
  <si>
    <t xml:space="preserve">Wechselwirkung Löschanlage – Aufzug (Abschaltung vor Wasserbeaufschlagung) bewerten und umsetzen lassen</t>
  </si>
  <si>
    <t xml:space="preserve">m_209e8da2ab</t>
  </si>
  <si>
    <t xml:space="preserve">Wiederkehrende Prüfung der Entrauchung in den Prüfplan aufnehmen</t>
  </si>
  <si>
    <t xml:space="preserve">m_72bb019691</t>
  </si>
  <si>
    <t xml:space="preserve">Wiederkehrende Prüfung der bauseitigen ortsfesten Anlage (Zuleitung, Steckdosen, Raumbeleuchtung) nach DGUV Vorschrift 3 durch den Betreiber veranlassen</t>
  </si>
  <si>
    <t xml:space="preserve">m_a2b0510431</t>
  </si>
  <si>
    <t xml:space="preserve">Wirk-Prinzip-Prüfung nach Prüfverordnung des Landes in den Prüfplan aufnehmen</t>
  </si>
  <si>
    <t xml:space="preserve">m_08ace4063f</t>
  </si>
  <si>
    <t xml:space="preserve">Wirksamkeit der Kolbenabsinkverhinderung / Nachholsteuerung prüfen lassen, Leckage (Dichtungen, Ventile, Leitungen) suchen und beseitigen</t>
  </si>
  <si>
    <t xml:space="preserve">m_28f710d468</t>
  </si>
  <si>
    <t xml:space="preserve">Wirksamkeit der Schließkantensicherung nachweisen (Kraft- und Energiemessung nach EN 81-20 5.3.6.2.2) oder Lichtgitter nachrüsten</t>
  </si>
  <si>
    <t xml:space="preserve">m_51ff95ac55</t>
  </si>
  <si>
    <t xml:space="preserve">Wirksamkeit des Zugangskonzepts regelmäßig prüfen (Unterweisungsnachweise)</t>
  </si>
  <si>
    <t xml:space="preserve">m_68daecd6c5</t>
  </si>
  <si>
    <t xml:space="preserve">Zugang baulich ändern</t>
  </si>
  <si>
    <t xml:space="preserve">m_695de193b1</t>
  </si>
  <si>
    <t xml:space="preserve">Zugang dauerhaft ändern</t>
  </si>
  <si>
    <t xml:space="preserve">m_060eda56bd</t>
  </si>
  <si>
    <t xml:space="preserve">Zugang so herrichten, dass Material sicher transportiert werden kann</t>
  </si>
  <si>
    <t xml:space="preserve">m_82ff4fa64c</t>
  </si>
  <si>
    <t xml:space="preserve">Zugang zur Schachttür verbessern</t>
  </si>
  <si>
    <t xml:space="preserve">m_18f67874e4</t>
  </si>
  <si>
    <t xml:space="preserve">Zugangs- und Schutzkonzept für Fremdgewerke erstellen (Anmeldung, Freischaltung, Aufsicht durch Aufzugsfachpersonal)</t>
  </si>
  <si>
    <t xml:space="preserve">m_30e3221123</t>
  </si>
  <si>
    <t xml:space="preserve">Zugangsbereich zum Triebwerksraum: Fundstelle durch Sachkundige nach TRGS 519 bewerten und sanieren lassen; Tätigkeiten bis dahin nur nach TRGS 519</t>
  </si>
  <si>
    <t xml:space="preserve">m_dcce543a06</t>
  </si>
  <si>
    <t xml:space="preserve">Zugangsbereich zum Triebwerksraum: Lagerverbot für brennbare Stoffe im Aufzugsbereich in der Betriebsanweisung festlegen und bei der Betreiberkontrolle prüfen</t>
  </si>
  <si>
    <t xml:space="preserve">m_c14b3d3b59</t>
  </si>
  <si>
    <t xml:space="preserve">Zugangsbereich zum Triebwerksraum: Reinigung veranlassen (bei Taubenkot/Schimmel durch Fachfirma) und Ursache abstellen (Abdichtung, Taubenabwehr)</t>
  </si>
  <si>
    <t xml:space="preserve">m_77b948c5ec</t>
  </si>
  <si>
    <t xml:space="preserve">Zuständigkeiten an den Schnittstellen schriftlich festlegen</t>
  </si>
  <si>
    <t xml:space="preserve">m_e048a73a77</t>
  </si>
  <si>
    <t xml:space="preserve">Zusätzlichen, von außen erreichbaren Notbremsschalter nachrüsten</t>
  </si>
  <si>
    <t xml:space="preserve">m_1fe62b87a0</t>
  </si>
  <si>
    <t xml:space="preserve">Zutrittsregelung in der Betriebsanweisung festlegen</t>
  </si>
  <si>
    <t xml:space="preserve">m_863612c445</t>
  </si>
  <si>
    <t xml:space="preserve">Zwangsbelüftung des Fahrkorbs nachrüsten</t>
  </si>
  <si>
    <t xml:space="preserve">m_cf401b92ba</t>
  </si>
  <si>
    <t xml:space="preserve">Zweikreisbremse mit Überwachung der Bremskreise nachrüsten</t>
  </si>
  <si>
    <t xml:space="preserve">m_a10c9a4014</t>
  </si>
  <si>
    <t xml:space="preserve">Zweite Maßnahme (Fahrkorbtür-Verriegelung bzw. Zusatzverriegelung der Schachttüren) bei der nächsten Modernisierung ergänzen</t>
  </si>
  <si>
    <t xml:space="preserve">m_42087fc6a0</t>
  </si>
  <si>
    <t xml:space="preserve">Zweiten Notbremsschalter nach DIN EN 81-20, 5.4.8 nachrüsten</t>
  </si>
  <si>
    <t xml:space="preserve">m_bcaba01f6b</t>
  </si>
  <si>
    <t xml:space="preserve">Zweites, unabhängiges Fahrschütz bzw. redundante Abschaltung nachrüsten oder Steuerung erneuern</t>
  </si>
  <si>
    <t xml:space="preserve">m_6a44d3e008</t>
  </si>
  <si>
    <t xml:space="preserve">Öffnungsquerschnitt nach Brandschutzkonzept wiederherstellen</t>
  </si>
  <si>
    <t xml:space="preserve">m_e54caa853d</t>
  </si>
  <si>
    <t xml:space="preserve">Ölfesten Anstrich erneuern</t>
  </si>
  <si>
    <t xml:space="preserve">m_a226f92fdc</t>
  </si>
  <si>
    <t xml:space="preserve">Überlasteinrichtung nachrüsten</t>
  </si>
  <si>
    <t xml:space="preserve">m_3e0f626bd2</t>
  </si>
  <si>
    <t xml:space="preserve">Überlastkontrolle in die wiederkehrende Prüfung aufnehmen und dokumentieren</t>
  </si>
  <si>
    <t xml:space="preserve">m_97b633ac12</t>
  </si>
  <si>
    <t xml:space="preserve">Überlastsicherung nachrüsten</t>
  </si>
  <si>
    <t xml:space="preserve">m_a59864cff7</t>
  </si>
  <si>
    <t xml:space="preserve">Übersicht der aufzugsexternen Sicherheitseinrichtungen mit Prüffristen führen (TRBS 3121 Abschnitt 3.2 Nr. 5)</t>
  </si>
  <si>
    <t xml:space="preserve">m_66d2b28267</t>
  </si>
  <si>
    <t xml:space="preserve">Abschaltfunktion des Fahrschützes bei jeder Wartung prüfen; bei Auffälligkeit (Schütz fällt nicht ab) Anlage sofort außer Betrieb nehmen</t>
  </si>
  <si>
    <t xml:space="preserve">sofort</t>
  </si>
  <si>
    <t xml:space="preserve">m_f6ca6b0698</t>
  </si>
  <si>
    <t xml:space="preserve">Absinkverhalten überwachen, Anlage nur eingeschränkt betreiben</t>
  </si>
  <si>
    <t xml:space="preserve">m_de74749f9c</t>
  </si>
  <si>
    <t xml:space="preserve">Abstieg nur nach Stilllegen der Anlage</t>
  </si>
  <si>
    <t xml:space="preserve">m_f672e26493</t>
  </si>
  <si>
    <t xml:space="preserve">Alternative barrierefreie Zugangsmöglichkeit festlegen und ausschildern</t>
  </si>
  <si>
    <t xml:space="preserve">m_73dc3b6584</t>
  </si>
  <si>
    <t xml:space="preserve">Andere Maßnahme zum Schutz gegen Wiedereinschalten anwenden</t>
  </si>
  <si>
    <t xml:space="preserve">m_7568b494f5</t>
  </si>
  <si>
    <t xml:space="preserve">Angaben klären: Baujahr ab 2017, aber Regelwerk TRA angegeben</t>
  </si>
  <si>
    <t xml:space="preserve">m_339058a638</t>
  </si>
  <si>
    <t xml:space="preserve">Anlage auf richtige Drehrichtung prüfen, Hinweis an Betreiber</t>
  </si>
  <si>
    <t xml:space="preserve">m_c56ddabf63</t>
  </si>
  <si>
    <t xml:space="preserve">Anlage bei Auffälligkeiten stilllegen</t>
  </si>
  <si>
    <t xml:space="preserve">m_778372bee5</t>
  </si>
  <si>
    <t xml:space="preserve">Anlage bei Wasser in der Grube oder an Sicherheitsbauteilen außer Betrieb nehmen; Ursache mit dem Betreiber klären</t>
  </si>
  <si>
    <t xml:space="preserve">m_0771e8a9c5</t>
  </si>
  <si>
    <t xml:space="preserve">Anlage stilllegen</t>
  </si>
  <si>
    <t xml:space="preserve">m_66c34e5218</t>
  </si>
  <si>
    <t xml:space="preserve">Anlage stilllegen, bis die Sicherheitseinrichtung der Schacht-/Inspektionstür wieder wirkt</t>
  </si>
  <si>
    <t xml:space="preserve">m_f1412d7caa</t>
  </si>
  <si>
    <t xml:space="preserve">Anlage zur Gefahrenabwehr abschalten!</t>
  </si>
  <si>
    <t xml:space="preserve">MF-T04-R5, MF-T04-R6</t>
  </si>
  <si>
    <t xml:space="preserve">m_ef4d70a18b</t>
  </si>
  <si>
    <t xml:space="preserve">Anlagenteile provisorisch kennzeichnen</t>
  </si>
  <si>
    <t xml:space="preserve">m_8d644de9b7</t>
  </si>
  <si>
    <t xml:space="preserve">Anleitung bereitstellen und bekannt machen</t>
  </si>
  <si>
    <t xml:space="preserve">m_c68637ff53</t>
  </si>
  <si>
    <t xml:space="preserve">Ansprechpartner je Gewerk beim Betreiber erfragen</t>
  </si>
  <si>
    <t xml:space="preserve">m_c710dda330</t>
  </si>
  <si>
    <t xml:space="preserve">Ansprechpartner und Befreiungsdienst mit Rufnummern am Aufzug aushängen</t>
  </si>
  <si>
    <t xml:space="preserve">m_5abd4dcce1</t>
  </si>
  <si>
    <t xml:space="preserve">Anstoßstelle kennzeichnen, Kopfschutz verwenden</t>
  </si>
  <si>
    <t xml:space="preserve">m_135349a775</t>
  </si>
  <si>
    <t xml:space="preserve">Arbeiten am Hydrauliksystem nur mit abgesetztem, gegen Bewegung gesichertem Fahrkorb</t>
  </si>
  <si>
    <t xml:space="preserve">m_fd9adb8fa4</t>
  </si>
  <si>
    <t xml:space="preserve">Arbeiten an der Elektrik nur durch Elektrofachkraft</t>
  </si>
  <si>
    <t xml:space="preserve">m_0ab5f28d1d</t>
  </si>
  <si>
    <t xml:space="preserve">Arbeiten an der Elektrik nur durch Fachkundige, ggf. Zusatzschutz (PRCD-S)</t>
  </si>
  <si>
    <t xml:space="preserve">m_f97a122196</t>
  </si>
  <si>
    <t xml:space="preserve">Arbeiten im Bereich der Einzugstellen nur bei stillgesetzter und gegen Wiederanlauf gesicherter Anlage; keine Fahrt mit Personen auf dem Fahrkorbdach</t>
  </si>
  <si>
    <t xml:space="preserve">m_395b3bd9a4</t>
  </si>
  <si>
    <t xml:space="preserve">Arbeiten im Rollenraum nur bei freigeschalteter und gegen Wiedereinschalten gesicherter Anlage</t>
  </si>
  <si>
    <t xml:space="preserve">m_a1015e3dd4</t>
  </si>
  <si>
    <t xml:space="preserve">Arbeiten nur mit zweiter Person und vereinbarten Signalen durchführen</t>
  </si>
  <si>
    <t xml:space="preserve">m_6b5be345f6</t>
  </si>
  <si>
    <t xml:space="preserve">Arbeiten nur nach Freischalten durch eine Elektrofachkraft</t>
  </si>
  <si>
    <t xml:space="preserve">m_0cdc4bb635</t>
  </si>
  <si>
    <t xml:space="preserve">Auf Eignung, Unversehrtheit, Vollständigkeit achten</t>
  </si>
  <si>
    <t xml:space="preserve">m_e7a03a4312</t>
  </si>
  <si>
    <t xml:space="preserve">Aufenthaltsdauer begrenzen und Notbefreiung sicherstellen</t>
  </si>
  <si>
    <t xml:space="preserve">m_fa083e591a</t>
  </si>
  <si>
    <t xml:space="preserve">Aufstieg nur mit freien Händen (Dreipunktkontakt); Werkzeug und Material getrennt hochreichen; Betreiber zur Instandsetzung auffordern</t>
  </si>
  <si>
    <t xml:space="preserve">MF-Z03-R1, MF-Z03-R2</t>
  </si>
  <si>
    <t xml:space="preserve">m_983e9a8ccc</t>
  </si>
  <si>
    <t xml:space="preserve">Aufzug ausschalten und sichern</t>
  </si>
  <si>
    <t xml:space="preserve">m_961568b691</t>
  </si>
  <si>
    <t xml:space="preserve">Aufzug für Personentransport sperren</t>
  </si>
  <si>
    <t xml:space="preserve">MF-K01-R1, MF-T06-R1</t>
  </si>
  <si>
    <t xml:space="preserve">m_49053db74a</t>
  </si>
  <si>
    <t xml:space="preserve">Aufzug für die Personenbeförderung durch nicht eingewiesene Personen sperren</t>
  </si>
  <si>
    <t xml:space="preserve">m_c7267da5c6</t>
  </si>
  <si>
    <t xml:space="preserve">Aufzug nur für eingeschränkten Personenkreis freigeben und für sonstigen Personentransport sperren</t>
  </si>
  <si>
    <t xml:space="preserve">MF-T04-R7, MF-T06-R13, MF-T06-R14, MF-T06-R5, MF-T06-R7</t>
  </si>
  <si>
    <t xml:space="preserve">m_3a4bf41577</t>
  </si>
  <si>
    <t xml:space="preserve">Aufzug nur für unterwiesene Personen freigeben und für sonstigen Personentransport sperren</t>
  </si>
  <si>
    <t xml:space="preserve">MF-K01-R7, MF-K03-R1, MF-K03-R2, MF-K06-R2, MF-T06-R10, MF-T06-R9</t>
  </si>
  <si>
    <t xml:space="preserve">m_0a0c16d0c5</t>
  </si>
  <si>
    <t xml:space="preserve">Aufzug stilllegen</t>
  </si>
  <si>
    <t xml:space="preserve">MF-G06-R1, MF-G06-R2, MF-K11-R1, MF-M13-R2, MF-S05-R1, MF-S05-R2, MF-S05-R3</t>
  </si>
  <si>
    <t xml:space="preserve">m_fce70bd71f</t>
  </si>
  <si>
    <t xml:space="preserve">Aufzug/Bremse/Motorregelung einstellen</t>
  </si>
  <si>
    <t xml:space="preserve">m_38e513c139</t>
  </si>
  <si>
    <t xml:space="preserve">Austretendes Öl binden und entsorgen; Leckage suchen</t>
  </si>
  <si>
    <t xml:space="preserve">m_c87e2876bb</t>
  </si>
  <si>
    <t xml:space="preserve">Auswirkung der Verkleidung auf Schutzräume, Lüftung und Zugänge prüfen</t>
  </si>
  <si>
    <t xml:space="preserve">m_0029b53817</t>
  </si>
  <si>
    <t xml:space="preserve">Bauart der Schließkantensicherung im Bericht benennen und ihre Wirkung beim Schließvorgang erproben</t>
  </si>
  <si>
    <t xml:space="preserve">m_3b6c7d5d40</t>
  </si>
  <si>
    <t xml:space="preserve">Befreiung ausschließlich durch die Wartungsfirma, Notrufkette festlegen und bekannt machen</t>
  </si>
  <si>
    <t xml:space="preserve">m_c4514cbda9</t>
  </si>
  <si>
    <t xml:space="preserve">Behinderung sofort beseitigen lassen (Tür, Abschottung); Betreiber informieren</t>
  </si>
  <si>
    <t xml:space="preserve">m_e536ff2a6b</t>
  </si>
  <si>
    <t xml:space="preserve">Bei Arbeiten am Geschwindigkeitsbegrenzer ausschalten</t>
  </si>
  <si>
    <t xml:space="preserve">m_10dc616192</t>
  </si>
  <si>
    <t xml:space="preserve">Bei Arbeiten am Schaltschrank immer ausschalten</t>
  </si>
  <si>
    <t xml:space="preserve">m_eb4c155238</t>
  </si>
  <si>
    <t xml:space="preserve">Bei Arbeiten eine zweite Person zur Verständigung einsetzen</t>
  </si>
  <si>
    <t xml:space="preserve">m_6830d0f814</t>
  </si>
  <si>
    <t xml:space="preserve">Bei Arbeiten immer ausschalten</t>
  </si>
  <si>
    <t xml:space="preserve">m_a351606b26</t>
  </si>
  <si>
    <t xml:space="preserve">Bei Beeinträchtigung einer erforderlichen Feuerwehrfunktion Nutzung/Sonderbetrieb bis zur Klärung absichern.</t>
  </si>
  <si>
    <t xml:space="preserve">m_380948e4cf</t>
  </si>
  <si>
    <t xml:space="preserve">Bei Betreten des Maschinenraumes ausschalten</t>
  </si>
  <si>
    <t xml:space="preserve">MF-M02-R1, MF-M02-R2, MF-M03-R1, MF-M03-R2, MF-M03-R3</t>
  </si>
  <si>
    <t xml:space="preserve">m_79c93d7eae</t>
  </si>
  <si>
    <t xml:space="preserve">Beladung begrenzen und Nutzer unterweisen, Personenbeförderung einschränken</t>
  </si>
  <si>
    <t xml:space="preserve">m_86787013c9</t>
  </si>
  <si>
    <t xml:space="preserve">Beladung organisatorisch begrenzen und überwachen</t>
  </si>
  <si>
    <t xml:space="preserve">m_5c79cfc4e2</t>
  </si>
  <si>
    <t xml:space="preserve">Belegung und Fahrzeiten beobachten</t>
  </si>
  <si>
    <t xml:space="preserve">m_4baacf855b</t>
  </si>
  <si>
    <t xml:space="preserve">Beleuchtung des Notruftasters bei Netzausfall prüfen; Verhalten bei Stromausfall im Notfallplan festlegen</t>
  </si>
  <si>
    <t xml:space="preserve">m_64ad879f9b</t>
  </si>
  <si>
    <t xml:space="preserve">Bereich absperren, Arbeiten nur nach gesonderter Festlegung</t>
  </si>
  <si>
    <t xml:space="preserve">m_0c7d41a6fa</t>
  </si>
  <si>
    <t xml:space="preserve">Bereich absperren, PSA gegen Absturz verwenden</t>
  </si>
  <si>
    <t xml:space="preserve">m_ca234d3848</t>
  </si>
  <si>
    <t xml:space="preserve">Bereich unter dem Gegengewicht sperren</t>
  </si>
  <si>
    <t xml:space="preserve">m_73ceb6f381</t>
  </si>
  <si>
    <t xml:space="preserve">Beschädigte Leuchten sofort ersetzen</t>
  </si>
  <si>
    <t xml:space="preserve">m_32580f6e5c</t>
  </si>
  <si>
    <t xml:space="preserve">Betreiber auf die Beleuchtung der Haltestellen hinweisen</t>
  </si>
  <si>
    <t xml:space="preserve">m_ba6a926bf8</t>
  </si>
  <si>
    <t xml:space="preserve">Betreiber auf die Instandhaltungspflicht hinweisen; Zustand der Anlage prüfen</t>
  </si>
  <si>
    <t xml:space="preserve">m_326b3ecb16</t>
  </si>
  <si>
    <t xml:space="preserve">Betreiber auf die Pflicht zur Benennung einer beauftragten Person hinweisen</t>
  </si>
  <si>
    <t xml:space="preserve">m_66504bcb66</t>
  </si>
  <si>
    <t xml:space="preserve">Betreiber auf die fehlende Bewertung hinweisen; Wasserschutz der Steuerung prüfen</t>
  </si>
  <si>
    <t xml:space="preserve">m_c01ccebcec</t>
  </si>
  <si>
    <t xml:space="preserve">Betreiber auf die fehlende barrierefreie Ausführung hinweisen; alternative Zugangsmöglichkeit benennen</t>
  </si>
  <si>
    <t xml:space="preserve">m_86b236fb3e</t>
  </si>
  <si>
    <t xml:space="preserve">Betreiber auffordern, Umfang und Bewertung der baulichen Änderung vorzulegen; bei Zweifel an der Standsicherheit Anlage außer Betrieb nehmen</t>
  </si>
  <si>
    <t xml:space="preserve">m_335e9c8755</t>
  </si>
  <si>
    <t xml:space="preserve">Betreiber informieren; Abstimmung mit Brandschutzkonzept / Bauaufsicht</t>
  </si>
  <si>
    <t xml:space="preserve">m_aa313668b3</t>
  </si>
  <si>
    <t xml:space="preserve">Betreiber informieren; Erreichbarkeit der Notrufstelle außerhalb der Betriebszeiten regeln</t>
  </si>
  <si>
    <t xml:space="preserve">m_719c530429</t>
  </si>
  <si>
    <t xml:space="preserve">Betreiber informieren; Prüfung durch die ZÜS unverzüglich veranlassen</t>
  </si>
  <si>
    <t xml:space="preserve">m_4ad2161cdb</t>
  </si>
  <si>
    <t xml:space="preserve">Betreiber informieren; Verhalten bei Stromausfall im Notfallplan festlegen und Notbeleuchtung kurzfristig nachrüsten lassen</t>
  </si>
  <si>
    <t xml:space="preserve">m_6ddb334858</t>
  </si>
  <si>
    <t xml:space="preserve">Betreiber und Brandschutzbeauftragten informieren, Ersatzmaßnahmen festlegen</t>
  </si>
  <si>
    <t xml:space="preserve">m_e23f71c7f8</t>
  </si>
  <si>
    <t xml:space="preserve">Betroffene Betriebsmittel abschalten und gegen Benutzung sichern</t>
  </si>
  <si>
    <t xml:space="preserve">m_13e61d8776</t>
  </si>
  <si>
    <t xml:space="preserve">Brandfallsteuerung mit dem Betreiber und dem Brandschutzbeauftragten abstimmen</t>
  </si>
  <si>
    <t xml:space="preserve">m_76f795fb91</t>
  </si>
  <si>
    <t xml:space="preserve">Bremse bei jeder Wartung auf Wirksamkeit beider Bremskreise prüfen</t>
  </si>
  <si>
    <t xml:space="preserve">m_133a63fa36</t>
  </si>
  <si>
    <t xml:space="preserve">Bremse, Treibfähigkeit und Tragmittel bei jeder Wartung prüfen; Arbeiten im Schachtkopf nur bei gegen Bewegung gesichertem Fahrkorb</t>
  </si>
  <si>
    <t xml:space="preserve">m_507bccb299</t>
  </si>
  <si>
    <t xml:space="preserve">Bremsfunktion prüfen, Anlage bei Auffälligkeiten stilllegen</t>
  </si>
  <si>
    <t xml:space="preserve">m_169a764b0c</t>
  </si>
  <si>
    <t xml:space="preserve">Bremsüberwachung und Bremsprüfung im Wartungsumfang halten</t>
  </si>
  <si>
    <t xml:space="preserve">m_fceb55b9fb</t>
  </si>
  <si>
    <t xml:space="preserve">Defekte Leuchten umgehend instand setzen</t>
  </si>
  <si>
    <t xml:space="preserve">m_1361971d9f</t>
  </si>
  <si>
    <t xml:space="preserve">Einbindung des Aufzugs in das Brandschutzkonzept beim Betreiber klären</t>
  </si>
  <si>
    <t xml:space="preserve">m_76368d7b21</t>
  </si>
  <si>
    <t xml:space="preserve">Elektrofachkraft mit der Prüfung der Schutzmaßnahme beauftragen</t>
  </si>
  <si>
    <t xml:space="preserve">m_239e7e6749</t>
  </si>
  <si>
    <t xml:space="preserve">Entriegelungsschlüssel beschaffen und an der Anlage (Schlüsseltresor) hinterlegen</t>
  </si>
  <si>
    <t xml:space="preserve">m_1bb32161fe</t>
  </si>
  <si>
    <t xml:space="preserve">Erreichbarkeit der Leitwarte und Schlüsselübergabe mit dem Notdienst abstimmen und im Notfallplan festhalten</t>
  </si>
  <si>
    <t xml:space="preserve">m_ef0185399f</t>
  </si>
  <si>
    <t xml:space="preserve">Errichter einbeziehen; Konformitätserklärung und Baumusterprüfung der Anlage anfordern</t>
  </si>
  <si>
    <t xml:space="preserve">m_d86ad2653a</t>
  </si>
  <si>
    <t xml:space="preserve">Errichter und Konformitätserklärung prüfen; Anlage bis zur Klärung nur mit eingewiesenen Personen betreiben</t>
  </si>
  <si>
    <t xml:space="preserve">m_071d253dae</t>
  </si>
  <si>
    <t xml:space="preserve">Evakuierungsfunktion bis zur Bewertung nicht nutzen; Feuerwehr informieren</t>
  </si>
  <si>
    <t xml:space="preserve">m_01d7ad62b0</t>
  </si>
  <si>
    <t xml:space="preserve">Fahrkorbdach nicht betreten, Einbauten entfernen</t>
  </si>
  <si>
    <t xml:space="preserve">m_b2e142c31a</t>
  </si>
  <si>
    <t xml:space="preserve">Fahrkorbdach nicht betreten, bis die Tragfähigkeit hergestellt oder nachgewiesen ist; Warnhinweis am Zugang anbringen</t>
  </si>
  <si>
    <t xml:space="preserve">m_3f7cb1c5d7</t>
  </si>
  <si>
    <t xml:space="preserve">Fahrkorbdach nur nach Freischalten der Anlage betreten</t>
  </si>
  <si>
    <t xml:space="preserve">m_b2838785ab</t>
  </si>
  <si>
    <t xml:space="preserve">Fahrspiele begrenzen und Temperatur überwachen</t>
  </si>
  <si>
    <t xml:space="preserve">m_74c20ea608</t>
  </si>
  <si>
    <t xml:space="preserve">Fehlende Prüfnachweise beim Betreiber anfordern</t>
  </si>
  <si>
    <t xml:space="preserve">m_6721d8cc88</t>
  </si>
  <si>
    <t xml:space="preserve">Festgelegte Ex-Schutzmaßnahmen einhalten, Zündquellen an der Anlage prüfen</t>
  </si>
  <si>
    <t xml:space="preserve">m_91f5842aa7</t>
  </si>
  <si>
    <t xml:space="preserve">Feuerwehr und Brandschutzbeauftragten über die nur manuelle Auslösung informieren; Auslösestelle kennzeichnen</t>
  </si>
  <si>
    <t xml:space="preserve">m_cf8f43b0db</t>
  </si>
  <si>
    <t xml:space="preserve">Fluchtweg sofort freiräumen</t>
  </si>
  <si>
    <t xml:space="preserve">m_2a220694c4</t>
  </si>
  <si>
    <t xml:space="preserve">Fläche sofort freiräumen</t>
  </si>
  <si>
    <t xml:space="preserve">m_8d4815e14a</t>
  </si>
  <si>
    <t xml:space="preserve">Flächen sofort freiräumen</t>
  </si>
  <si>
    <t xml:space="preserve">m_c88c97f5e5</t>
  </si>
  <si>
    <t xml:space="preserve">Fremdgewerke erst nach Einweisung und Freischaltung der Anlage in den Schacht oder Triebwerksraum lassen</t>
  </si>
  <si>
    <t xml:space="preserve">m_942963274b</t>
  </si>
  <si>
    <t xml:space="preserve">Fremdnutzung mit dem Betreiber klären, Zugang nur für Aufzugspersonal</t>
  </si>
  <si>
    <t xml:space="preserve">m_30b2f4cead</t>
  </si>
  <si>
    <t xml:space="preserve">Funktion der Entrauchung/RWA kurzfristig prüfen lassen; Feuerwehr informieren</t>
  </si>
  <si>
    <t xml:space="preserve">m_aa4bf66658</t>
  </si>
  <si>
    <t xml:space="preserve">Funktion der Überlastkontrolle prüfen lassen</t>
  </si>
  <si>
    <t xml:space="preserve">m_d3425467d9</t>
  </si>
  <si>
    <t xml:space="preserve">Funktionsprüfung der Schnittstelle BMA – Aufzug kurzfristig veranlassen</t>
  </si>
  <si>
    <t xml:space="preserve">m_84caacb6e2</t>
  </si>
  <si>
    <t xml:space="preserve">Funktionsprüfung veranlassen</t>
  </si>
  <si>
    <t xml:space="preserve">m_f1db5f1956</t>
  </si>
  <si>
    <t xml:space="preserve">Geeignete Aufstiegshilfe verwenden</t>
  </si>
  <si>
    <t xml:space="preserve">m_beb7ce7d5b</t>
  </si>
  <si>
    <t xml:space="preserve">Geeignete Transporthilfen verwenden</t>
  </si>
  <si>
    <t xml:space="preserve">m_282bb889c8</t>
  </si>
  <si>
    <t xml:space="preserve">Gefahrbereich absperren</t>
  </si>
  <si>
    <t xml:space="preserve">m_44cf1987ab</t>
  </si>
  <si>
    <t xml:space="preserve">Grube nicht betreten oder Anlage vorher stilllegen</t>
  </si>
  <si>
    <t xml:space="preserve">m_a469547fc2</t>
  </si>
  <si>
    <t xml:space="preserve">Grube nur nach Freischalten und Sichern der Anlage betreten</t>
  </si>
  <si>
    <t xml:space="preserve">m_5a4d09033c</t>
  </si>
  <si>
    <t xml:space="preserve">Grube nur zu zweit betreten, an- und abmelden, Mobilfunkempfang prüfen</t>
  </si>
  <si>
    <t xml:space="preserve">m_155d638bd1</t>
  </si>
  <si>
    <t xml:space="preserve">Grubenzugangstür verschlossen halten, Zutritt nur mit Freischaltung der Anlage</t>
  </si>
  <si>
    <t xml:space="preserve">m_47b4aeebb3</t>
  </si>
  <si>
    <t xml:space="preserve">Handlampe benutzen</t>
  </si>
  <si>
    <t xml:space="preserve">MF-G01-R1, MF-G01-R2, MF-M01-R1, MF-M01-R2, MF-M01-R3, MF-S01-R1, MF-S01-R5, MF-S01-R6, MF-Z01-R1, MF-Z01-R2</t>
  </si>
  <si>
    <t xml:space="preserve">m_af53594a0e</t>
  </si>
  <si>
    <t xml:space="preserve">Handleuchte für Arbeiten auf dem Fahrkorbdach mitführen</t>
  </si>
  <si>
    <t xml:space="preserve">m_4a68ffacc3</t>
  </si>
  <si>
    <t xml:space="preserve">Hebearbeiten nur nach gesondert festgelegtem Verfahren</t>
  </si>
  <si>
    <t xml:space="preserve">m_23a37b41c6</t>
  </si>
  <si>
    <t xml:space="preserve">Hygiene-/Schutzmaßnahmen für Wartungspersonal mit dem Betreiber abstimmen</t>
  </si>
  <si>
    <t xml:space="preserve">m_18adfe0a0d</t>
  </si>
  <si>
    <t xml:space="preserve">Häufige Kontrolle durch Aufzugswärter</t>
  </si>
  <si>
    <t xml:space="preserve">m_ce4665c154</t>
  </si>
  <si>
    <t xml:space="preserve">Inspektionssteuerung erst nach sicherem Betreten und Betätigen des Not-Halts einschalten; nicht allein arbeiten</t>
  </si>
  <si>
    <t xml:space="preserve">m_0371191a51</t>
  </si>
  <si>
    <t xml:space="preserve">Keine Alleinarbeit in der Schachtgrube</t>
  </si>
  <si>
    <t xml:space="preserve">m_1488b309b9</t>
  </si>
  <si>
    <t xml:space="preserve">Keine Alleinarbeit, Vorgaben der DGUV Information 209-053 beachten</t>
  </si>
  <si>
    <t xml:space="preserve">m_44d892b89b</t>
  </si>
  <si>
    <t xml:space="preserve">Keine Arbeiten mit Zündquellen ohne Freigabe des Betreibers (Erlaubnisschein)</t>
  </si>
  <si>
    <t xml:space="preserve">m_4b63e03dd3</t>
  </si>
  <si>
    <t xml:space="preserve">Keine Arbeiten mit Zündquellen ohne Freigabe des Betreibers (Erlaubnisschein); Betreiber auf die fehlende Bewertung hinweisen</t>
  </si>
  <si>
    <t xml:space="preserve">m_df3a2cbdd8</t>
  </si>
  <si>
    <t xml:space="preserve">Keine Inspektionsfahrten mit Personen auf dem Fahrkorbdach bis zur Begrenzung der Geschwindigkeit; Arbeiten nur bei stillgesetzter Anlage</t>
  </si>
  <si>
    <t xml:space="preserve">m_ea669e2652</t>
  </si>
  <si>
    <t xml:space="preserve">Kennzeichnung provisorisch anbringen und Nutzer unterweisen</t>
  </si>
  <si>
    <t xml:space="preserve">m_780d244d65</t>
  </si>
  <si>
    <t xml:space="preserve">Klappe vor Fahrbetrieb sichern</t>
  </si>
  <si>
    <t xml:space="preserve">m_98eab05167</t>
  </si>
  <si>
    <t xml:space="preserve">Kopfschutz verwenden, Anstoßstellen kennzeichnen</t>
  </si>
  <si>
    <t xml:space="preserve">m_a14e22d57a</t>
  </si>
  <si>
    <t xml:space="preserve">Lagerung mit dem Betreiber klären, Sicherheitsdatenblätter einsehen</t>
  </si>
  <si>
    <t xml:space="preserve">m_8d6967391b</t>
  </si>
  <si>
    <t xml:space="preserve">Leiter aus dem Fahrzeug holen</t>
  </si>
  <si>
    <t xml:space="preserve">m_22d782e45d</t>
  </si>
  <si>
    <t xml:space="preserve">Leiter gegen Wegrutschen sichern, nur zu zweit benutzen</t>
  </si>
  <si>
    <t xml:space="preserve">m_ebc8c087c8</t>
  </si>
  <si>
    <t xml:space="preserve">Leiter/Tritt für die Personenbefreiung bereithalten, Beauftragte unterweisen</t>
  </si>
  <si>
    <t xml:space="preserve">m_c878ae9539</t>
  </si>
  <si>
    <t xml:space="preserve">Leitungen bei Arbeiten beachten</t>
  </si>
  <si>
    <t xml:space="preserve">m_fe9df10545</t>
  </si>
  <si>
    <t xml:space="preserve">Lüftung des Aufstellbereichs prüfen, Betreiber informieren</t>
  </si>
  <si>
    <t xml:space="preserve">m_6ff3622a13</t>
  </si>
  <si>
    <t xml:space="preserve">Mit Fuß nicht über den Rand des Fahrkorbdaches treten!</t>
  </si>
  <si>
    <t xml:space="preserve">m_c497f72b31</t>
  </si>
  <si>
    <t xml:space="preserve">Mobile Leiter vor jedem Abstieg auf Eignung, Unversehrtheit und sicheren Stand prüfen; Not-Halt vorher betätigen</t>
  </si>
  <si>
    <t xml:space="preserve">m_910d7f7261</t>
  </si>
  <si>
    <t xml:space="preserve">Nach jeder Notentriegelung Schachttür von Hand schließen und Verriegelung prüfen; Personenbefreiung nur durch unterwiesene Personen</t>
  </si>
  <si>
    <t xml:space="preserve">m_7ab144589d</t>
  </si>
  <si>
    <t xml:space="preserve">Nachbaraufzug zusätzlich von Hand abschalten und gegen Wiedereinschalten sichern</t>
  </si>
  <si>
    <t xml:space="preserve">m_a7c15f0202</t>
  </si>
  <si>
    <t xml:space="preserve">Nachweis (Zertifikat, Baugenehmigung) beim Betreiber anfordern</t>
  </si>
  <si>
    <t xml:space="preserve">m_970f43ed6d</t>
  </si>
  <si>
    <t xml:space="preserve">Nachweis beim Betreiber anfordern</t>
  </si>
  <si>
    <t xml:space="preserve">m_e4b75e37f7</t>
  </si>
  <si>
    <t xml:space="preserve">Niedrige Stellen kennzeichnen (Warnmarkierung, Polsterung), Beschäftigte unterweisen</t>
  </si>
  <si>
    <t xml:space="preserve">m_67be96a901</t>
  </si>
  <si>
    <t xml:space="preserve">Not-Halt vor dem Abstieg betätigen; Grube nur mit Dreipunktkontakt über die Leiter betreten</t>
  </si>
  <si>
    <t xml:space="preserve">m_fe3860f8fb</t>
  </si>
  <si>
    <t xml:space="preserve">Nur den festgelegten, gekennzeichneten Verkehrsweg nutzen; mindestens 2 m Abstand zur Absturzkante halten</t>
  </si>
  <si>
    <t xml:space="preserve">m_c8335e9370</t>
  </si>
  <si>
    <t xml:space="preserve">Nur mit Absturzsicherung begehen</t>
  </si>
  <si>
    <t xml:space="preserve">m_bf008b7103</t>
  </si>
  <si>
    <t xml:space="preserve">Nur zu zweit betreten, an- und abmelden, Tür gegen Zufallen sichern</t>
  </si>
  <si>
    <t xml:space="preserve">m_ef69b98d85</t>
  </si>
  <si>
    <t xml:space="preserve">Nutzer unterweisen und Hilfestellung organisieren</t>
  </si>
  <si>
    <t xml:space="preserve">m_b7394033d8</t>
  </si>
  <si>
    <t xml:space="preserve">Nutzer über die Absturzgefahr bei Selbstbefreiung unterweisen</t>
  </si>
  <si>
    <t xml:space="preserve">m_752dfd8954</t>
  </si>
  <si>
    <t xml:space="preserve">Nutzer über die Absturzgefahr bei Selbstbefreiung unterweisen; Personenbefreiung nur durch fachkundige Personen</t>
  </si>
  <si>
    <t xml:space="preserve">m_e92f6f9079</t>
  </si>
  <si>
    <t xml:space="preserve">Offene Einzugstellen vor Arbeiten ermitteln; dort nur bei stillgesetzter Anlage arbeiten</t>
  </si>
  <si>
    <t xml:space="preserve">m_508e86c766</t>
  </si>
  <si>
    <t xml:space="preserve">Offene Kontakte provisorisch mit Warnzeichen W012 kennzeichnen</t>
  </si>
  <si>
    <t xml:space="preserve">m_92b556fe0d</t>
  </si>
  <si>
    <t xml:space="preserve">Offene sicherheitsrelevante Mängel des ZÜS-Prüfberichts mit dem Betreiber und dem Instandhalter abarbeiten; bei Gefahr im Verzug Anlage stilllegen</t>
  </si>
  <si>
    <t xml:space="preserve">m_ad9baa16ae</t>
  </si>
  <si>
    <t xml:space="preserve">Ohne Leiter kein Einstieg! Eigene Leiter verwenden</t>
  </si>
  <si>
    <t xml:space="preserve">m_2f6e610896</t>
  </si>
  <si>
    <t xml:space="preserve">Ohne weitere Schließkantensicherung für Personentransport sperren</t>
  </si>
  <si>
    <t xml:space="preserve">m_ec525aebc6</t>
  </si>
  <si>
    <t xml:space="preserve">PSA gegen Absturz mit festgelegtem Anschlagpunkt verwenden, sonst Zugangsverbot</t>
  </si>
  <si>
    <t xml:space="preserve">m_ea7349bbb2</t>
  </si>
  <si>
    <t xml:space="preserve">Personenbefreiung bis zur Bereitstellung nur durch das Wartungsunternehmen</t>
  </si>
  <si>
    <t xml:space="preserve">m_95783901cf</t>
  </si>
  <si>
    <t xml:space="preserve">Personenbefreiung bis zur Einweisung nur durch das Wartungsunternehmen</t>
  </si>
  <si>
    <t xml:space="preserve">m_a33294280d</t>
  </si>
  <si>
    <t xml:space="preserve">Personenbefreiung bis zur Nachrüstung nur durch das Aufzugsfachunternehmen; betroffene Haltestellen im Notfallplan kennzeichnen</t>
  </si>
  <si>
    <t xml:space="preserve">m_ef5c201a1a</t>
  </si>
  <si>
    <t xml:space="preserve">Personenbefreiung nur durch fachkundige Personen und nur mit dem Fahrkorb in der Entriegelungszone; Schachtöffnung unter dem Fahrkorb sichern</t>
  </si>
  <si>
    <t xml:space="preserve">m_a5e8ba624f</t>
  </si>
  <si>
    <t xml:space="preserve">Position vor dem Betreten prüfen</t>
  </si>
  <si>
    <t xml:space="preserve">m_387cdf25f4</t>
  </si>
  <si>
    <t xml:space="preserve">Provisorisch kennzeichnen</t>
  </si>
  <si>
    <t xml:space="preserve">MF-M07-R3, MF-M15-R2, MF-M17-R4, MF-Z08-R2</t>
  </si>
  <si>
    <t xml:space="preserve">m_2fdd8e365b</t>
  </si>
  <si>
    <t xml:space="preserve">Provisorischen Hinweis an den Haltestellen anbringen</t>
  </si>
  <si>
    <t xml:space="preserve">m_ef7be6e2b7</t>
  </si>
  <si>
    <t xml:space="preserve">Prüfbescheinigung der letzten Hauptprüfung beim Betreiber anfordern</t>
  </si>
  <si>
    <t xml:space="preserve">m_dd14160d1e</t>
  </si>
  <si>
    <t xml:space="preserve">Prüfbescheinigung einsehen; Plakette nachbeschaffen</t>
  </si>
  <si>
    <t xml:space="preserve">m_197127309a</t>
  </si>
  <si>
    <t xml:space="preserve">Prüfen, ob die Anlage durchgreifend modernisiert wurde</t>
  </si>
  <si>
    <t xml:space="preserve">m_157caa0ef9</t>
  </si>
  <si>
    <t xml:space="preserve">Prüfnachweis anfordern</t>
  </si>
  <si>
    <t xml:space="preserve">MF-M14-R3, MF-S05-R4</t>
  </si>
  <si>
    <t xml:space="preserve">m_93b15a46d7</t>
  </si>
  <si>
    <t xml:space="preserve">Prüfnachweis beim Betreiber anfordern</t>
  </si>
  <si>
    <t xml:space="preserve">m_5813f7adf1</t>
  </si>
  <si>
    <t xml:space="preserve">Prüfnachweis der bauseitigen Installation beim Betreiber anfordern</t>
  </si>
  <si>
    <t xml:space="preserve">m_e5ac7d210b</t>
  </si>
  <si>
    <t xml:space="preserve">Puffertyp und Nenngeschwindigkeit durch die ZÜS bewerten lassen</t>
  </si>
  <si>
    <t xml:space="preserve">m_6c2e11b039</t>
  </si>
  <si>
    <t xml:space="preserve">Raum unterhalb des Schachtes sperren</t>
  </si>
  <si>
    <t xml:space="preserve">m_247491b3c1</t>
  </si>
  <si>
    <t xml:space="preserve">Raumtemperatur messen; bei Überschreitung Betrieb nach Herstellervorgaben einschränken</t>
  </si>
  <si>
    <t xml:space="preserve">m_84c0bed95a</t>
  </si>
  <si>
    <t xml:space="preserve">Regelmäßige Kontrolle durch beauftragte Person</t>
  </si>
  <si>
    <t xml:space="preserve">m_2c71e5a0e9</t>
  </si>
  <si>
    <t xml:space="preserve">Regelmäßige Materialprüfung (z.B. Ultraschall)</t>
  </si>
  <si>
    <t xml:space="preserve">m_e4c295ed95</t>
  </si>
  <si>
    <t xml:space="preserve">Reinigen, abstumpfendes Material einsetzen</t>
  </si>
  <si>
    <t xml:space="preserve">m_ef41434404</t>
  </si>
  <si>
    <t xml:space="preserve">Rutschstellen kennzeichnen und reinigen lassen; rutschhemmendes Schuhwerk tragen</t>
  </si>
  <si>
    <t xml:space="preserve">m_7b17f06a0c</t>
  </si>
  <si>
    <t xml:space="preserve">Rückhalte- oder Absturzsicherungssystem verwenden</t>
  </si>
  <si>
    <t xml:space="preserve">MF-F01-R1, MF-F01-R2, MF-F01-R3, MF-F01-R7</t>
  </si>
  <si>
    <t xml:space="preserve">m_6c3cc1f96a</t>
  </si>
  <si>
    <t xml:space="preserve">Schacht / Fahrkorb: Bereich nur mit geeigneter Schutzausrüstung (Handschuhe, bei Taubenkot/Schimmel Atemschutz FFP3) betreten; Betreiber zur Reinigung auffordern</t>
  </si>
  <si>
    <t xml:space="preserve">m_6652662e2a</t>
  </si>
  <si>
    <t xml:space="preserve">Schacht / Fahrkorb: Brennbare Stoffe aus dem Aufzugsbereich entfernen lassen; keine Zündquellen</t>
  </si>
  <si>
    <t xml:space="preserve">m_f0a24c1e7b</t>
  </si>
  <si>
    <t xml:space="preserve">Schacht / Fahrkorb: Keine Tätigkeiten, die das Material beschädigen (Bohren, Schleifen, Stemmen); Fundstelle kennzeichnen und Betreiber schriftlich informieren</t>
  </si>
  <si>
    <t xml:space="preserve">m_29fa5679ba</t>
  </si>
  <si>
    <t xml:space="preserve">Schachteinschluss verhindern durch alternative Maßnahme (z.B. Mobilfunk, Funk, 2. Person)</t>
  </si>
  <si>
    <t xml:space="preserve">m_be0d13bd51</t>
  </si>
  <si>
    <t xml:space="preserve">Schachtgrube nicht betreten, Anlage stilllegen</t>
  </si>
  <si>
    <t xml:space="preserve">m_cf1df97b29</t>
  </si>
  <si>
    <t xml:space="preserve">Schachtgrube: Bereich nur mit geeigneter Schutzausrüstung (Handschuhe, bei Taubenkot/Schimmel Atemschutz FFP3) betreten; Betreiber zur Reinigung auffordern</t>
  </si>
  <si>
    <t xml:space="preserve">m_f3cf2a8397</t>
  </si>
  <si>
    <t xml:space="preserve">Schachtgrube: Brennbare Stoffe aus dem Aufzugsbereich entfernen lassen; keine Zündquellen</t>
  </si>
  <si>
    <t xml:space="preserve">m_1285c3dfb1</t>
  </si>
  <si>
    <t xml:space="preserve">Schachtgrube: Keine Tätigkeiten, die das Material beschädigen (Bohren, Schleifen, Stemmen); Fundstelle kennzeichnen und Betreiber schriftlich informieren</t>
  </si>
  <si>
    <t xml:space="preserve">m_1b57fdd426</t>
  </si>
  <si>
    <t xml:space="preserve">Schachttüren nach jeder Personenbefreiung auf Schließ- und Verriegelungsstellung prüfen; Beauftragte Person entsprechend unterweisen</t>
  </si>
  <si>
    <t xml:space="preserve">m_0a022db155</t>
  </si>
  <si>
    <t xml:space="preserve">Scharfe Kanten und lose Teile sichern</t>
  </si>
  <si>
    <t xml:space="preserve">m_7a2cc7732b</t>
  </si>
  <si>
    <t xml:space="preserve">Schließ- und Verriegelungsfunktion aller Schachttüren prüfen; Beauftragte Person auf offen stehende Schachttüren hinweisen</t>
  </si>
  <si>
    <t xml:space="preserve">m_19f345ba43</t>
  </si>
  <si>
    <t xml:space="preserve">Schutzmaßnahmen (SAFÜ/Notbremse) weiterhin aufrechterhalten und prüfen</t>
  </si>
  <si>
    <t xml:space="preserve">m_c8477fd7e0</t>
  </si>
  <si>
    <t xml:space="preserve">Schäden zeitnah beseitigen und dokumentieren</t>
  </si>
  <si>
    <t xml:space="preserve">m_14c3bf7e15</t>
  </si>
  <si>
    <t xml:space="preserve">Sichere Aufstiegshilfe verwenden</t>
  </si>
  <si>
    <t xml:space="preserve">m_69defdcd74</t>
  </si>
  <si>
    <t xml:space="preserve">Spanngewicht bei Wartung sichtprüfen</t>
  </si>
  <si>
    <t xml:space="preserve">m_9e7425daa0</t>
  </si>
  <si>
    <t xml:space="preserve">Steuerschrank gegen unbefugten Zugriff sichern (Schloss, Zutritt beschränken); Betreiber informieren</t>
  </si>
  <si>
    <t xml:space="preserve">m_94052cd43b</t>
  </si>
  <si>
    <t xml:space="preserve">Stolperstellen kennzeichnen (Warnmarkierung) und Beschäftigte hinweisen</t>
  </si>
  <si>
    <t xml:space="preserve">m_7140791a67</t>
  </si>
  <si>
    <t xml:space="preserve">Strahlenschutzbeauftragten einbinden, Transport nur nach Strahlenschutzanweisung</t>
  </si>
  <si>
    <t xml:space="preserve">m_b4c25df55d</t>
  </si>
  <si>
    <t xml:space="preserve">Ständige Zugangsmöglichkeit schaffen, ansonsten Aufzug abschalten</t>
  </si>
  <si>
    <t xml:space="preserve">m_824c40ee03</t>
  </si>
  <si>
    <t xml:space="preserve">Tragende und sicherheitsrelevante Bauteile auf Tragfähigkeit prüfen; bei Zweifel Anlage außer Betrieb nehmen</t>
  </si>
  <si>
    <t xml:space="preserve">m_503531388e</t>
  </si>
  <si>
    <t xml:space="preserve">Transport nur in dichten, gekennzeichneten Behältern; Fahrkorb nach Kontamination reinigen</t>
  </si>
  <si>
    <t xml:space="preserve">m_8cb401099c</t>
  </si>
  <si>
    <t xml:space="preserve">Transportmengen begrenzen, Zündquellen im Fahrkorb ausschließen</t>
  </si>
  <si>
    <t xml:space="preserve">m_c452b42fff</t>
  </si>
  <si>
    <t xml:space="preserve">Transportregeln (Behälter, Begleitung, Nutzung durch Dritte) mit dem Betreiber festlegen</t>
  </si>
  <si>
    <t xml:space="preserve">m_9d4dbd7eb9</t>
  </si>
  <si>
    <t xml:space="preserve">Triebwerks-/Maschinenraum: Bereich nur mit geeigneter Schutzausrüstung (Handschuhe, bei Taubenkot/Schimmel Atemschutz FFP3) betreten; Betreiber zur Reinigung auffordern</t>
  </si>
  <si>
    <t xml:space="preserve">m_e50d8de83c</t>
  </si>
  <si>
    <t xml:space="preserve">Triebwerks-/Maschinenraum: Brennbare Stoffe aus dem Aufzugsbereich entfernen lassen; keine Zündquellen</t>
  </si>
  <si>
    <t xml:space="preserve">m_6710c9fba4</t>
  </si>
  <si>
    <t xml:space="preserve">Triebwerks-/Maschinenraum: Keine Tätigkeiten, die das Material beschädigen (Bohren, Schleifen, Stemmen); Fundstelle kennzeichnen und Betreiber schriftlich informieren</t>
  </si>
  <si>
    <t xml:space="preserve">m_ae4491c5c1</t>
  </si>
  <si>
    <t xml:space="preserve">Triebwerksraum abschließen, Schlüsselausgabe nur an befugte Personen</t>
  </si>
  <si>
    <t xml:space="preserve">m_e1401f014f</t>
  </si>
  <si>
    <t xml:space="preserve">Tür gangbar machen</t>
  </si>
  <si>
    <t xml:space="preserve">m_30890e1295</t>
  </si>
  <si>
    <t xml:space="preserve">Unterlagen zum Inverkehrbringen prüfen (Baujahr und Ausstattung passen nicht zusammen)</t>
  </si>
  <si>
    <t xml:space="preserve">m_aeff8c7636</t>
  </si>
  <si>
    <t xml:space="preserve">Unterweisung nachholen</t>
  </si>
  <si>
    <t xml:space="preserve">m_e608b3de1b</t>
  </si>
  <si>
    <t xml:space="preserve">Verkehrsweg vor dem Begehen prüfen, Stolper- und Rutschstellen kennzeichnen; rutschhemmendes Schuhwerk tragen</t>
  </si>
  <si>
    <t xml:space="preserve">m_b554f4dad4</t>
  </si>
  <si>
    <t xml:space="preserve">Veränderte Öffnung dem Betreiber melden</t>
  </si>
  <si>
    <t xml:space="preserve">m_d7cf4635f5</t>
  </si>
  <si>
    <t xml:space="preserve">Vor Arbeiten Not-Halt betätigen und Befehlsgeber auf unbeabsichtigte Betätigung prüfen</t>
  </si>
  <si>
    <t xml:space="preserve">m_d5bcc1d801</t>
  </si>
  <si>
    <t xml:space="preserve">Vor Arbeiten am Hydrauliksystem Fahrkorb auf dem Puffer absetzen oder gegen Absinken sichern; Absinkverhalten und Bündigkeit überwachen</t>
  </si>
  <si>
    <t xml:space="preserve">m_506c143a5e</t>
  </si>
  <si>
    <t xml:space="preserve">Vor Arbeiten am Hydrauliksystem Fahrkorb auf dem Puffer absetzen oder gegen Absinken sichern; auf Schlaffseilbildung achten</t>
  </si>
  <si>
    <t xml:space="preserve">m_00d7d32c52</t>
  </si>
  <si>
    <t xml:space="preserve">Vor Arbeiten auf dem Fahrkorbdach den Nachbaraufzug abschalten und gegen Wiedereinschalten sichern</t>
  </si>
  <si>
    <t xml:space="preserve">m_e67d9cfc4e</t>
  </si>
  <si>
    <t xml:space="preserve">Vor Arbeiten im Bereich der offenen Stellen den Nachbaraufzug abschalten und sichern</t>
  </si>
  <si>
    <t xml:space="preserve">m_746c6843d3</t>
  </si>
  <si>
    <t xml:space="preserve">Vor Arbeiten im Bereich des Trenngitters den Nachbaraufzug abschalten und sichern</t>
  </si>
  <si>
    <t xml:space="preserve">m_6985c72344</t>
  </si>
  <si>
    <t xml:space="preserve">Vor Betreten der Schachtgrube den Nachbaraufzug abschalten und gegen Wiedereinschalten sichern</t>
  </si>
  <si>
    <t xml:space="preserve">m_6605f1645a</t>
  </si>
  <si>
    <t xml:space="preserve">Vor Nutzung die Tragfähigkeit ermitteln lassen</t>
  </si>
  <si>
    <t xml:space="preserve">m_65d06b25b7</t>
  </si>
  <si>
    <t xml:space="preserve">Vor Tätigkeiten, die Baustoffe beschädigen können, Schadstoffsituation klären; bis dahin solche Tätigkeiten unterlassen</t>
  </si>
  <si>
    <t xml:space="preserve">m_0ff6f8a9f8</t>
  </si>
  <si>
    <t xml:space="preserve">Vor dem Abstieg an- und abmelden</t>
  </si>
  <si>
    <t xml:space="preserve">m_60ef654590</t>
  </si>
  <si>
    <t xml:space="preserve">Vor dem Abstieg die Anlage stilllegen</t>
  </si>
  <si>
    <t xml:space="preserve">m_ed78c06e8a</t>
  </si>
  <si>
    <t xml:space="preserve">Vor dem Betreten Schlüssel prüfen, beim Betreiber an- und abmelden</t>
  </si>
  <si>
    <t xml:space="preserve">m_49e2048265</t>
  </si>
  <si>
    <t xml:space="preserve">Voraböffnen und Nachregulieren mit offener Tür prüfen; Beauftragte Person und Nutzer auf Stolper- und Schergefahr an der Schwelle hinweisen</t>
  </si>
  <si>
    <t xml:space="preserve">m_e2a11379ca</t>
  </si>
  <si>
    <t xml:space="preserve">Vorhandene Unterlagen beim Instandhalter anfordern</t>
  </si>
  <si>
    <t xml:space="preserve">m_f6de22f556</t>
  </si>
  <si>
    <t xml:space="preserve">Vorhandene Unterlagen sichten</t>
  </si>
  <si>
    <t xml:space="preserve">m_82b94a62c6</t>
  </si>
  <si>
    <t xml:space="preserve">Vorläufige Betriebsanweisung mit Verhalten bei Störung und Personeneinschluss aushängen</t>
  </si>
  <si>
    <t xml:space="preserve">m_a255a66bf0</t>
  </si>
  <si>
    <t xml:space="preserve">Warnhinweis mit Kennzeichnung der Gefahrenstelle anbringen; sichere Position einnehmen</t>
  </si>
  <si>
    <t xml:space="preserve">m_fd85a5b806</t>
  </si>
  <si>
    <t xml:space="preserve">Wartebereich vor dem Aufzug gegen den Fahrverkehr abgrenzen (Markierung, Absperrung)</t>
  </si>
  <si>
    <t xml:space="preserve">m_fcb3f7b9fb</t>
  </si>
  <si>
    <t xml:space="preserve">Wartebereich vor dem Aufzug markieren, Betreiber informieren</t>
  </si>
  <si>
    <t xml:space="preserve">m_c2c1e40490</t>
  </si>
  <si>
    <t xml:space="preserve">Weg sofort freimachen, bis dahin Bereich nicht allein betreten</t>
  </si>
  <si>
    <t xml:space="preserve">m_6bc0185adc</t>
  </si>
  <si>
    <t xml:space="preserve">Zugang freimachen und provisorisch kennzeichnen</t>
  </si>
  <si>
    <t xml:space="preserve">m_221df23bf5</t>
  </si>
  <si>
    <t xml:space="preserve">Zugang gegen unbefugten Zutritt sichern</t>
  </si>
  <si>
    <t xml:space="preserve">m_2147973cd8</t>
  </si>
  <si>
    <t xml:space="preserve">Zugang sperren und alternative Zugangsmöglichkeit festlegen</t>
  </si>
  <si>
    <t xml:space="preserve">m_7479bb4fd0</t>
  </si>
  <si>
    <t xml:space="preserve">Zugangsbereich zum Triebwerksraum: Bereich nur mit geeigneter Schutzausrüstung (Handschuhe, bei Taubenkot/Schimmel Atemschutz FFP3) betreten; Betreiber zur Reinigung auffordern</t>
  </si>
  <si>
    <t xml:space="preserve">m_825b75110a</t>
  </si>
  <si>
    <t xml:space="preserve">Zugangsbereich zum Triebwerksraum: Brennbare Stoffe aus dem Aufzugsbereich entfernen lassen; keine Zündquellen</t>
  </si>
  <si>
    <t xml:space="preserve">m_3f5d0903a8</t>
  </si>
  <si>
    <t xml:space="preserve">Zugangsbereich zum Triebwerksraum: Keine Tätigkeiten, die das Material beschädigen (Bohren, Schleifen, Stemmen); Fundstelle kennzeichnen und Betreiber schriftlich informieren</t>
  </si>
  <si>
    <t xml:space="preserve">m_c4232305d8</t>
  </si>
  <si>
    <t xml:space="preserve">Zugangskonzept bei Änderungen der Gewerke fortschreiben</t>
  </si>
  <si>
    <t xml:space="preserve">m_5049e728db</t>
  </si>
  <si>
    <t xml:space="preserve">Zugänge freiräumen, Hindernisse entfernen, Betreiber informieren</t>
  </si>
  <si>
    <t xml:space="preserve">m_755be820c0</t>
  </si>
  <si>
    <t xml:space="preserve">Zustand der Führungsschienen bei jeder Wartung prüfen</t>
  </si>
  <si>
    <t xml:space="preserve">m_5994a26e8a</t>
  </si>
  <si>
    <t xml:space="preserve">Zustand dokumentieren, Beschäftigte über den reduzierten Schutzraum unterweisen</t>
  </si>
  <si>
    <t xml:space="preserve">m_148f9590b0</t>
  </si>
  <si>
    <t xml:space="preserve">Zustand erhalten; bei der wiederkehrenden Prüfung und der Betreiberkontrolle erneut prüfen</t>
  </si>
  <si>
    <t xml:space="preserve">MF-D01-R2, MF-D02-R3, MF-D03-R3, MF-D04-R3, MF-D05-R5, MF-D06-R6, MF-F01-R6, MF-F02-R3, MF-F03-R4, MF-F04-R5, MF-F05-R5, MF-F06-R4, MF-F07-R3, MF-F08-R2, MF-F09-R2, MF-G01-R3, MF-G02-R4, MF-G03-R5, MF-G04-R11, MF-G05-R4, MF-G06-R5, MF-G07-R5, MF-G08-R2, MF-K01-R6, MF-K02-R3, MF-K03-R4, MF-K04-R4, MF-K05-R3, MF-K06-R6, MF-K07-R4, MF-K08-R3, MF-K09-R2, MF-K10-R4, MF-K11-R4, MF-K12-R5, MF-K13-R2, MF-K14-R3, MF-M01-R5, MF-M02-R6, MF-M03-R5, MF-M04-R4, MF-M05-R4, MF-M06-R4, MF-M07-R4, MF-M08-R3, MF-M09-R2, MF-M10-R3, MF-M11-R2, MF-M12-R2, MF-M13-R6, MF-M14-R4, MF-M15-R4, MF-M16-R4, MF-M17-R6, MF-M18-R3, MF-M19-R2, MF-M20-R2, MF-S01-R4, MF-S02-R2, MF-S03-R5, MF-S04-R2, MF-S05-R6, MF-S06-R4, MF-S07-R2, MF-SF01-R11, MF-T01-R3, MF-T02-R4, MF-T03-R3, MF-T04-R4, MF-T05-R3, MF-T06-R8, MF-U01-R6, MF-U02-R5, MF-U03-R5, MF-U04-R3, MF-U05-R5, MF-U06-R3, MF-U07-R6, MF-U08-R3, MF-U09-R6, MF-U10-R4, MF-U11-R2, MF-U12-R3, MF-U13-R3, MF-U14-R3, MF-U15-R2, MF-Z01-R4, MF-Z02-R2, MF-Z03-R6, MF-Z04-R4, MF-Z05-R3, MF-Z06-R4, MF-Z07-R7, MF-Z08-R4, MF-Z09-R4</t>
  </si>
  <si>
    <t xml:space="preserve">m_fca62f8414</t>
  </si>
  <si>
    <t xml:space="preserve">Zustand sichtprüfen</t>
  </si>
  <si>
    <t xml:space="preserve">m_ea7d63e9e9</t>
  </si>
  <si>
    <t xml:space="preserve">Zutritt vorab mit dem Betreiber abstimmen (Schlüssel, Begleitung); Material in tragbaren Teilmengen transportieren</t>
  </si>
  <si>
    <t xml:space="preserve">m_007e0b5551</t>
  </si>
  <si>
    <t xml:space="preserve">Zutritt vorab vereinbaren, im Notfall Dritte hinzuziehen</t>
  </si>
  <si>
    <t xml:space="preserve">m_771c2f8dc5</t>
  </si>
  <si>
    <t xml:space="preserve">Öffnung abdecken oder absperren</t>
  </si>
  <si>
    <t xml:space="preserve">m_244677905a</t>
  </si>
  <si>
    <t xml:space="preserve">Öffnungen freimachen und reinigen</t>
  </si>
  <si>
    <t xml:space="preserve">m_0eb4c51cbe</t>
  </si>
  <si>
    <t xml:space="preserve">Öl aufnehmen, Leckage abstellen, Bereich sichern</t>
  </si>
  <si>
    <t xml:space="preserve">m_cc5f14f9d2</t>
  </si>
  <si>
    <t xml:space="preserve">Ölbindemittel bereitstellen und Verunreinigungen aufnehmen</t>
  </si>
  <si>
    <t xml:space="preserve">Nr.</t>
  </si>
  <si>
    <t xml:space="preserve">Frage</t>
  </si>
  <si>
    <t xml:space="preserve">Typ</t>
  </si>
  <si>
    <t xml:space="preserve">Antwortoptionen</t>
  </si>
  <si>
    <t xml:space="preserve">Sichtbar, wenn</t>
  </si>
  <si>
    <t xml:space="preserve">Pflicht in</t>
  </si>
  <si>
    <t xml:space="preserve">Annahme ab Baujahr</t>
  </si>
  <si>
    <t xml:space="preserve">Hilfetext</t>
  </si>
  <si>
    <t xml:space="preserve">3.1</t>
  </si>
  <si>
    <t xml:space="preserve">qa_aufzugsart</t>
  </si>
  <si>
    <t xml:space="preserve">Aufzugsart</t>
  </si>
  <si>
    <t xml:space="preserve">A – Anlagenmerkmale</t>
  </si>
  <si>
    <t xml:space="preserve">SELECT</t>
  </si>
  <si>
    <t xml:space="preserve">• Seil-/Riemenaufzug (Treibscheibe)
• Trommel- oder Kettenaufzug
• Hydraulikaufzug
• Seil-Hydraulikaufzug (indirekt)</t>
  </si>
  <si>
    <t xml:space="preserve">immer</t>
  </si>
  <si>
    <t xml:space="preserve">Steuert, welche Gefährdungen überhaupt bewertet werden (z. B. Bremse und Gegengewicht nur bei Seilanlagen, Hydraulikeinrichtungen nur bei Hydraulik).</t>
  </si>
  <si>
    <t xml:space="preserve">6.1</t>
  </si>
  <si>
    <t xml:space="preserve">qa_antrieb</t>
  </si>
  <si>
    <t xml:space="preserve">Antriebssystem / Regelung</t>
  </si>
  <si>
    <t xml:space="preserve">• Eingeschwindigkeitsantrieb
• Zweigeschwindigkeitsantrieb
• Geregelter Antrieb (Frequenzumrichter)
• Hydraulischer Antrieb</t>
  </si>
  <si>
    <t xml:space="preserve">–</t>
  </si>
  <si>
    <t xml:space="preserve">3.1a</t>
  </si>
  <si>
    <t xml:space="preserve">qa_nenngeschwindigkeit</t>
  </si>
  <si>
    <t xml:space="preserve">Nenngeschwindigkeit [m/s]</t>
  </si>
  <si>
    <t xml:space="preserve">NUMBER</t>
  </si>
  <si>
    <t xml:space="preserve">Zahl 0.1 … 10</t>
  </si>
  <si>
    <t xml:space="preserve">Für die Pufferbewertung (energiespeichernde Puffer nur bis 1,0 m/s).</t>
  </si>
  <si>
    <t xml:space="preserve">3.1b</t>
  </si>
  <si>
    <t xml:space="preserve">qa_gegengewicht</t>
  </si>
  <si>
    <t xml:space="preserve">Gegengewicht oder Ausgleichsgewicht vorhanden?</t>
  </si>
  <si>
    <t xml:space="preserve">YES_NO</t>
  </si>
  <si>
    <t xml:space="preserve">Ja / Nein</t>
  </si>
  <si>
    <t xml:space="preserve">[3.1 Aufzugsart] ist eines von „Seil-/Riemenaufzug (Treibscheibe)" / „Trommel- oder Kettenaufzug" / „Seil-Hydraulikaufzug (indirekt)"</t>
  </si>
  <si>
    <t xml:space="preserve">Trommelaufzüge ohne Gegengewicht: Nein. Schaltet Abtrennung und Sicherung des Gegengewichts sowie die Sturzverhinderung nach oben.</t>
  </si>
  <si>
    <t xml:space="preserve">4.7</t>
  </si>
  <si>
    <t xml:space="preserve">qa_maschinenraum</t>
  </si>
  <si>
    <t xml:space="preserve">Eigener Triebwerks-/Maschinenraum vorhanden?</t>
  </si>
  <si>
    <t xml:space="preserve">Nein = maschinenraumlose Anlage (Antrieb im Schacht, Steuerung im Schaltschrank). Raumbezogene Gefährdungen entfallen dann.</t>
  </si>
  <si>
    <t xml:space="preserve">4.7a</t>
  </si>
  <si>
    <t xml:space="preserve">qa_rollenraum</t>
  </si>
  <si>
    <t xml:space="preserve">Zusätzlicher Rollenraum vorhanden?</t>
  </si>
  <si>
    <t xml:space="preserve">[4.7 Eigener Triebwerks-/Maschinenraum vorhanden?] = Ja</t>
  </si>
  <si>
    <t xml:space="preserve">4.8</t>
  </si>
  <si>
    <t xml:space="preserve">qa_mehrere_aufzuege</t>
  </si>
  <si>
    <t xml:space="preserve">Mehrere Aufzüge in einem gemeinsamen Schacht?</t>
  </si>
  <si>
    <t xml:space="preserve">4.8a</t>
  </si>
  <si>
    <t xml:space="preserve">qa_raum_unter_schacht</t>
  </si>
  <si>
    <t xml:space="preserve">Betretbarer Raum unterhalb der Schachtgrube?</t>
  </si>
  <si>
    <t xml:space="preserve">Zum Beispiel Keller, Technikraum oder Tiefgarage unter der Grube. Dann ist eine Fangvorrichtung am Gegengewicht oder ein durchgehendes Fundament erforderlich.</t>
  </si>
  <si>
    <t xml:space="preserve">8.6</t>
  </si>
  <si>
    <t xml:space="preserve">qa_fahrkorbtuer</t>
  </si>
  <si>
    <t xml:space="preserve">Fahrkorbabschlusstür vorhanden?</t>
  </si>
  <si>
    <t xml:space="preserve">MF-T06, MF-D06</t>
  </si>
  <si>
    <t xml:space="preserve">Ja, wenn jeder Fahrkorbzugang eine Tür oder ein Gitter mit Schließstellungsüberwachung hat. Lichtgitter oder Scherengitter ohne Tür unter 8.9/8.9a erfassen.</t>
  </si>
  <si>
    <t xml:space="preserve">4.1</t>
  </si>
  <si>
    <t xml:space="preserve">qa_glas_schachttueren</t>
  </si>
  <si>
    <t xml:space="preserve">Schachttüren mit Glas?</t>
  </si>
  <si>
    <t xml:space="preserve">4.3</t>
  </si>
  <si>
    <t xml:space="preserve">qa_glas_fahrkorbtueren</t>
  </si>
  <si>
    <t xml:space="preserve">Fahrkorbtüren mit Glas?</t>
  </si>
  <si>
    <t xml:space="preserve">4.2</t>
  </si>
  <si>
    <t xml:space="preserve">qa_glas_schacht</t>
  </si>
  <si>
    <t xml:space="preserve">Schacht oder Schachtgerüst mit Glas?</t>
  </si>
  <si>
    <t xml:space="preserve">2.1</t>
  </si>
  <si>
    <t xml:space="preserve">qa_nutzungsart</t>
  </si>
  <si>
    <t xml:space="preserve">Nutzungsart der Anlage</t>
  </si>
  <si>
    <t xml:space="preserve">• Personenaufzug
• Personen- und Lastenaufzug
• Lastenaufzug mit Personenbegleitung
• Güteraufzug ohne Personenbeförderung</t>
  </si>
  <si>
    <t xml:space="preserve">MF-T06 (bedingt), MF-K06</t>
  </si>
  <si>
    <t xml:space="preserve">4.9</t>
  </si>
  <si>
    <t xml:space="preserve">qa_nutzung_pmem</t>
  </si>
  <si>
    <t xml:space="preserve">Nutzung durch Personen mit eingeschränkter Mobilität (Rollstuhl, Rollator, Sehbehinderung) zu erwarten?</t>
  </si>
  <si>
    <t xml:space="preserve">MF-T06, MF-K03, MF-U14</t>
  </si>
  <si>
    <t xml:space="preserve">Wirkt als Verschärfung (Modifier) bei Haltegenauigkeit, Türen und Zugang und schaltet die Barrierefreiheits-Gefährdung.</t>
  </si>
  <si>
    <t xml:space="preserve">4.9a</t>
  </si>
  <si>
    <t xml:space="preserve">qa_barrierefrei_gefordert</t>
  </si>
  <si>
    <t xml:space="preserve">Barrierefreie Ausführung gefordert (Baugenehmigung, Nutzungskonzept, öffentlich zugängliches Gebäude)?</t>
  </si>
  <si>
    <t xml:space="preserve">Löst zusammen mit 4.9 die Prüfung der Barrierefreiheit aus: Es genügt, wenn entweder die Nutzung zu erwarten oder die Ausführung gefordert ist.</t>
  </si>
  <si>
    <t xml:space="preserve">4.12</t>
  </si>
  <si>
    <t xml:space="preserve">qa_nutzung_kinder</t>
  </si>
  <si>
    <t xml:space="preserve">Nutzung durch unbeaufsichtigte Kinder zu erwarten (Schule, Kita, Wohnanlage)?</t>
  </si>
  <si>
    <t xml:space="preserve">MF-T06, MF-K05 (bedingt)</t>
  </si>
  <si>
    <t xml:space="preserve">1.24</t>
  </si>
  <si>
    <t xml:space="preserve">qa_baujahr</t>
  </si>
  <si>
    <t xml:space="preserve">Baujahr der Anlage</t>
  </si>
  <si>
    <t xml:space="preserve">Zahl 1900 … 2100</t>
  </si>
  <si>
    <t xml:space="preserve">Wird aus den Stammdaten übernommen. Steuerfeld: Es entscheidet mit über den passenden GBU-Typ (bis 1998 in aller Regel Bestand nach DIN EN 81-80) und darüber, ob eine fehlende Einrichtung eine Nachrüstung nach dem Stand der Technik oder ein Konformitätsmangel ist. Es blendet bewusst KEINE Frage aus – die Gefährdung besteht unabhängig vom Alter der Anlage.</t>
  </si>
  <si>
    <t xml:space="preserve">1.28</t>
  </si>
  <si>
    <t xml:space="preserve">qa_norm_inverkehrbringen</t>
  </si>
  <si>
    <t xml:space="preserve">Regelwerk bei Inverkehrbringen / letzter Modernisierung</t>
  </si>
  <si>
    <t xml:space="preserve">• TRA 200 / TRA 102 (vor 1999)
• DIN EN 81-1 / 81-2 (1999–2017)
• DIN EN 81-20 (ab 2017)
• Unbekannt / keine Unterlagen</t>
  </si>
  <si>
    <t xml:space="preserve">Ergänzt das Baujahr (1.24): Eine 1985 gebaute, 2020 durchgreifend modernisierte Anlage ist nach EN 81-20 in Verkehr gebracht. Weicht die Angabe vom Baujahr ab, gilt für die Beurteilung des Soll-Zustands das Regelwerk, nicht das Baujahr.</t>
  </si>
  <si>
    <t xml:space="preserve">15.6</t>
  </si>
  <si>
    <t xml:space="preserve">qa_feuerwehraufzug</t>
  </si>
  <si>
    <t xml:space="preserve">Feuerwehraufzug oder Aufzug mit Brandfall-Sonderbetrieb (EN 81-72 / EN 81-73 Evakuierung)?</t>
  </si>
  <si>
    <t xml:space="preserve">4.11</t>
  </si>
  <si>
    <t xml:space="preserve">qa_bfs_gefordert</t>
  </si>
  <si>
    <t xml:space="preserve">Fordert das Brandschutzkonzept des Gebäudes eine Brandfallsteuerung?</t>
  </si>
  <si>
    <t xml:space="preserve">Unbekannt = Ja wählen und in K prüfen lassen.</t>
  </si>
  <si>
    <t xml:space="preserve">15.8</t>
  </si>
  <si>
    <t xml:space="preserve">qa_bma_vorhanden</t>
  </si>
  <si>
    <t xml:space="preserve">Brandmeldeanlage (BMA) im Gebäude vorhanden?</t>
  </si>
  <si>
    <t xml:space="preserve">15.9</t>
  </si>
  <si>
    <t xml:space="preserve">qa_entrauchung_vorhanden</t>
  </si>
  <si>
    <t xml:space="preserve">Schachtentrauchung / RWA / Lüftungsöffnung im Schachtkopf vorhanden?</t>
  </si>
  <si>
    <t xml:space="preserve">15.10</t>
  </si>
  <si>
    <t xml:space="preserve">qa_sprinkler_vorhanden</t>
  </si>
  <si>
    <t xml:space="preserve">Löschanlage / Sprinkler im Schacht oder Triebwerksraum vorhanden?</t>
  </si>
  <si>
    <t xml:space="preserve">4.5</t>
  </si>
  <si>
    <t xml:space="preserve">qa_ucm_a3</t>
  </si>
  <si>
    <t xml:space="preserve">UCM-Schutz (unbeabsichtigte Fahrkorbbewegung, A3 / EN 81-20 5.6.7) vorhanden?</t>
  </si>
  <si>
    <t xml:space="preserve">MF-K12, MF-D06</t>
  </si>
  <si>
    <t xml:space="preserve">([1.28] ist eines von „DIN EN 81-20 (ab 2017)" ODER ([1.28] ist eines von „DIN EN 81-1 / 81-2 (1999–2017)" UND [1.24] ≥ 2012) ODER ([1.28] = „Unbekannt / keine Unterlagen" UND [1.24] ≥ 2012)): Ja</t>
  </si>
  <si>
    <t xml:space="preserve">„Ja" nur mit Nachweis in den Anlagenunterlagen. Vorbelegt wird die Frage nicht aus dem Baujahr, sondern aus dem Errichtungsregelwerk (1.28: EN 81-1/2 + A3 seit 2012, EN 81-20 durchgehend) und nur, wenn die Konformitätserklärung vorliegt (1.29) – beides zusammen ist der Nachweis. Liegt sie nicht vor oder ist das Regelwerk unbekannt und das Baujahr vor 2012, bleibt die Frage zu erheben (Entscheidung Arne 20.09.2026 zum Prüfbericht, Befund B07).</t>
  </si>
  <si>
    <t xml:space="preserve">4.6</t>
  </si>
  <si>
    <t xml:space="preserve">qa_lagerung_statisch_bestimmt</t>
  </si>
  <si>
    <t xml:space="preserve">Antriebswelle statisch bestimmt gelagert (keine 3-Punkt-Lagerung)?</t>
  </si>
  <si>
    <t xml:space="preserve">[3.1 Aufzugsart] ist eines von „Seil-/Riemenaufzug (Treibscheibe)" / „Trommel- oder Kettenaufzug"</t>
  </si>
  <si>
    <t xml:space="preserve">MF-K12 (bedingt), MF-K14</t>
  </si>
  <si>
    <t xml:space="preserve">Nur bei Treibscheiben- und Trommelantrieb. Indirekte Hydraulikaufzüge haben keine Antriebswelle im Sinne von TRBS 3121 Anh. 1 Nr. 16.</t>
  </si>
  <si>
    <t xml:space="preserve">11.1</t>
  </si>
  <si>
    <t xml:space="preserve">qa_grubentiefe</t>
  </si>
  <si>
    <t xml:space="preserve">Schachtgrubentiefe über 1,60 m?</t>
  </si>
  <si>
    <t xml:space="preserve">Regelgrenze 1,60 m (DIN EN 81-20 5.2.1.5.1 a): bei Grubentiefe über 1,60 m zwei Notbremsschalter). Aus dem Anlagenstamm (Grubentiefe [m]).</t>
  </si>
  <si>
    <t xml:space="preserve">8.9b</t>
  </si>
  <si>
    <t xml:space="preserve">qt_nur_eingewiesene</t>
  </si>
  <si>
    <t xml:space="preserve">Ohne Fahrkorbtür: Lastenaufzug, der ausschließlich von eingewiesenen Personen benutzt wird (Einweisung dokumentiert)?</t>
  </si>
  <si>
    <t xml:space="preserve">([8.6 Fahrkorbabschlusstür vorhanden?] = Nein UND ([8.9 Ohne Fahrkorbtür: Sicherheitslichtgitter vorhanden?] = Ja ODER [8.9a Ohne Fahrkorbtür: Scherengitter vorhanden?] = Ja))</t>
  </si>
  <si>
    <t xml:space="preserve">MF-T06 (bedingt)</t>
  </si>
  <si>
    <t xml:space="preserve">TRBS 3121 Anh. 1 Nr. 14 c): Das Sicherheitslichtgitter ersetzt die Fahrkorbtür nur bei Lastenaufzügen mit ausschließlich eingewiesenem Nutzerkreis.</t>
  </si>
  <si>
    <t xml:space="preserve">5.53b</t>
  </si>
  <si>
    <t xml:space="preserve">qm_personal_eingewiesen</t>
  </si>
  <si>
    <t xml:space="preserve">Beauftragte Personen in die Personenbefreiung eingewiesen?</t>
  </si>
  <si>
    <t xml:space="preserve">[E1 Beauftragte Person für die Aufzugsanlage (Aufzugswärter) schriftlich benannt?] = Ja</t>
  </si>
  <si>
    <t xml:space="preserve">MF-M15 (bedingt)</t>
  </si>
  <si>
    <t xml:space="preserve">Setzt eine benannte beauftragte Person voraus (E1). Fehlt sie ganz, ist das der Befund von MF-D05 – die Einweisung wird dann nicht zusätzlich bemängelt (Prüfbericht 20.09.2026).</t>
  </si>
  <si>
    <t xml:space="preserve">5.55</t>
  </si>
  <si>
    <t xml:space="preserve">qm_stromlaufplan</t>
  </si>
  <si>
    <t xml:space="preserve">Stromlaufplan / Schaltunterlagen</t>
  </si>
  <si>
    <t xml:space="preserve">• Vorhanden und aktuell
• Vorhanden, aber unrichtig oder unvollständig
• Nicht vorhanden</t>
  </si>
  <si>
    <t xml:space="preserve">5.57</t>
  </si>
  <si>
    <t xml:space="preserve">qm_betriebsanleitung</t>
  </si>
  <si>
    <t xml:space="preserve">Betriebs-/Bedienungsanleitung der Anlage</t>
  </si>
  <si>
    <t xml:space="preserve">• Vorhanden und aktuell
• Vorhanden, aber nicht aktuell oder unvollständig
• Nicht vorhanden</t>
  </si>
  <si>
    <t xml:space="preserve">7.6</t>
  </si>
  <si>
    <t xml:space="preserve">qt_dreikant_hinterlegt</t>
  </si>
  <si>
    <t xml:space="preserve">Passender Entriegelungsschlüssel (Dreikant) für die Personenbefreiung vor Ort hinterlegt?</t>
  </si>
  <si>
    <t xml:space="preserve">15.30</t>
  </si>
  <si>
    <t xml:space="preserve">qu_unfaelle</t>
  </si>
  <si>
    <t xml:space="preserve">Unfälle oder gefährliche Ereignisse an der Anlage in den letzten Jahren</t>
  </si>
  <si>
    <t xml:space="preserve">• Keine bekannt
• Ereignisse mit Sachschaden
• Unfälle mit Personenschaden</t>
  </si>
  <si>
    <t xml:space="preserve">3.2</t>
  </si>
  <si>
    <t xml:space="preserve">qd_notfallplan</t>
  </si>
  <si>
    <t xml:space="preserve">Notfallplan für die Anlage vorhanden und aktuell (Ansprechpartner, Befreiungsdienst, Meldewege)?</t>
  </si>
  <si>
    <t xml:space="preserve">Nachweis: Aushang bzw. Dokument mit Ansprechpartnern, Notrufdienst, Befreiungsdienst und Zugangsregelung (BetrSichV Anh. 1 Nr. 4.1, TRBS 3121 Abschnitt 3.6).</t>
  </si>
  <si>
    <t xml:space="preserve">3.3</t>
  </si>
  <si>
    <t xml:space="preserve">qd_notbefreiungsanleitung</t>
  </si>
  <si>
    <t xml:space="preserve">Anlagenbezogene Notbefreiungs-/Evakuierungsanleitung</t>
  </si>
  <si>
    <t xml:space="preserve">• Vorhanden, zur Anlage passend und aktuell
• Vorhanden, aber veraltet oder nicht zur Anlage passend
• Nicht vorhanden</t>
  </si>
  <si>
    <t xml:space="preserve">3.9</t>
  </si>
  <si>
    <t xml:space="preserve">qd_wartungsunterlagen</t>
  </si>
  <si>
    <t xml:space="preserve">Wartungsunterlagen und Prüfbuch vorhanden und aktuell?</t>
  </si>
  <si>
    <t xml:space="preserve">3.10</t>
  </si>
  <si>
    <t xml:space="preserve">qd_regelmaessige_wartung</t>
  </si>
  <si>
    <t xml:space="preserve">Wird die Anlage regelmäßig durch ein Fachunternehmen instand gehalten (Wartungsvertrag)?</t>
  </si>
  <si>
    <t xml:space="preserve">3.6</t>
  </si>
  <si>
    <t xml:space="preserve">qd_pruefplakette</t>
  </si>
  <si>
    <t xml:space="preserve">Prüfplakette der ZÜS vorhanden und lesbar?</t>
  </si>
  <si>
    <t xml:space="preserve">3.7</t>
  </si>
  <si>
    <t xml:space="preserve">qd_zues_bericht</t>
  </si>
  <si>
    <t xml:space="preserve">Letzte ZÜS-Hauptprüfung: Prüfbericht liegt vor und ohne offene sicherheitsrelevante Mängel?</t>
  </si>
  <si>
    <t xml:space="preserve">• Ja – Prüfbericht liegt vor, keine offenen sicherheitsrelevanten Mängel
• Prüfbericht liegt vor, aber mit offenen sicherheitsrelevanten Mängeln
• Nein – kein Prüfbericht verfügbar / unbekannt</t>
  </si>
  <si>
    <t xml:space="preserve">Steuerfrage ohne eigene Bewertung. Bei „Ja“ werden die im Prüfbericht geprüften Einrichtungen (Verriegelungen, Fangvorrichtung, Begrenzer, Puffer, Bremse, Notruf-Funktion, Beleuchtung, Haltegenauigkeit, elektrische Anlage) als unauffällig vorbelegt – Herkunft „Nachweis“ mit Datum des Prüfberichts, bereichsweise zu bestätigen. Grundlage: TRBS 1201 Teil 4 3.3 (2) Nr. 1–31; die Prüfberichte gehören nach TRBS 3121 3.2 zu den Unterlagen des Betreibers. Ein im Prüfbericht gemeldeter Mangel setzt die betroffene Frage nicht auf „unauffällig“.</t>
  </si>
  <si>
    <t xml:space="preserve">3.8</t>
  </si>
  <si>
    <t xml:space="preserve">qd_pruefung_ueberfaellig</t>
  </si>
  <si>
    <t xml:space="preserve">Prüffrist der wiederkehrenden Prüfung (ZÜS) überschritten?</t>
  </si>
  <si>
    <t xml:space="preserve">E1</t>
  </si>
  <si>
    <t xml:space="preserve">qd_beauftragte_person</t>
  </si>
  <si>
    <t xml:space="preserve">Beauftragte Person für die Aufzugsanlage (Aufzugswärter) schriftlich benannt?</t>
  </si>
  <si>
    <t xml:space="preserve">E2</t>
  </si>
  <si>
    <t xml:space="preserve">qd_unterweisung</t>
  </si>
  <si>
    <t xml:space="preserve">Unterweisung der beauftragten Person dokumentiert?</t>
  </si>
  <si>
    <t xml:space="preserve">MF-D05 (bedingt)</t>
  </si>
  <si>
    <t xml:space="preserve">E3</t>
  </si>
  <si>
    <t xml:space="preserve">qd_betriebsanweisung</t>
  </si>
  <si>
    <t xml:space="preserve">Betriebsanweisung für die Anlage vorhanden und ausgehängt?</t>
  </si>
  <si>
    <t xml:space="preserve">E4</t>
  </si>
  <si>
    <t xml:space="preserve">qd_zugang_mr_geregelt</t>
  </si>
  <si>
    <t xml:space="preserve">Zutritt zum Triebwerksraum / Steuerschrank organisatorisch geregelt (Schlüsselverwaltung, nur befugte Personen)?</t>
  </si>
  <si>
    <t xml:space="preserve">E5</t>
  </si>
  <si>
    <t xml:space="preserve">qd_gbu_vorhanden</t>
  </si>
  <si>
    <t xml:space="preserve">Liegt für die Anlage bereits eine dokumentierte Gefährdungsbeurteilung des Betreibers vor?</t>
  </si>
  <si>
    <t xml:space="preserve">1.29</t>
  </si>
  <si>
    <t xml:space="preserve">qd_konformitaet_geprueft</t>
  </si>
  <si>
    <t xml:space="preserve">Konformitätserklärung und Abnahmeunterlagen der Anlage liegen vor?</t>
  </si>
  <si>
    <t xml:space="preserve">MF-D06 (bedingt)</t>
  </si>
  <si>
    <t xml:space="preserve">Nur für Anlagen, die nach der Aufzugsrichtlinie in Verkehr gebracht wurden (ab 1999). Bei Altanlagen nach TRA: Nein wählen. Die Frage schaltet zugleich alle Baujahr-Annahmen: Nur bei „Ja" gelten Merkmale, die zum Baujahr vorgeschrieben waren, als abgenommen (Prüfbericht 20.09.2026 – bisher reichte dafür eine unbeantwortete Frage).</t>
  </si>
  <si>
    <t xml:space="preserve">4.10</t>
  </si>
  <si>
    <t xml:space="preserve">qa_nutzung_flurfoerderzeug</t>
  </si>
  <si>
    <t xml:space="preserve">Beladung mit Flurförderzeugen oder Transportwagen?</t>
  </si>
  <si>
    <t xml:space="preserve">15.11</t>
  </si>
  <si>
    <t xml:space="preserve">qu_asbest_unbekannt</t>
  </si>
  <si>
    <t xml:space="preserve">Ist die Asbest-/Schadstoffsituation der Anlage unbekannt (Baujahr vor 1995, keine Unterlagen, keine Beprobung)?</t>
  </si>
  <si>
    <t xml:space="preserve">Ja / Nein (unauffällig: Nein)</t>
  </si>
  <si>
    <t xml:space="preserve">Ja, wenn keine Schadstofferkundung vorliegt und asbesthaltige Bauteile nach Baujahr oder Bauart nicht auszuschließen sind. Das ist kein Befund, sondern ein Erkundungsbedarf.</t>
  </si>
  <si>
    <t xml:space="preserve">15.28</t>
  </si>
  <si>
    <t xml:space="preserve">qu_gefahrstoff_chem_lager</t>
  </si>
  <si>
    <t xml:space="preserve">Chemische Gefahrstoffe in unmittelbarer Nähe der Anlage gelagert?</t>
  </si>
  <si>
    <t xml:space="preserve">15.29</t>
  </si>
  <si>
    <t xml:space="preserve">qu_gefahrstoff_bio_lager</t>
  </si>
  <si>
    <t xml:space="preserve">Biologische Arbeitsstoffe (Labor, Klinik, Entsorgung) in unmittelbarer Nähe der Anlage?</t>
  </si>
  <si>
    <t xml:space="preserve">15.32</t>
  </si>
  <si>
    <t xml:space="preserve">qu_transport_chem</t>
  </si>
  <si>
    <t xml:space="preserve">Transport chemischer Gefahrstoffe mit dem Aufzug?</t>
  </si>
  <si>
    <t xml:space="preserve">15.33</t>
  </si>
  <si>
    <t xml:space="preserve">qu_transport_bio</t>
  </si>
  <si>
    <t xml:space="preserve">Transport biologischer Arbeitsstoffe / infektiöser Stoffe mit dem Aufzug?</t>
  </si>
  <si>
    <t xml:space="preserve">15.34</t>
  </si>
  <si>
    <t xml:space="preserve">qu_transport_brennbar</t>
  </si>
  <si>
    <t xml:space="preserve">Transport brennbarer oder leicht entzündlicher Stoffe mit dem Aufzug?</t>
  </si>
  <si>
    <t xml:space="preserve">15.35</t>
  </si>
  <si>
    <t xml:space="preserve">qu_transport_radioaktiv</t>
  </si>
  <si>
    <t xml:space="preserve">Transport radioaktiver Stoffe mit dem Aufzug?</t>
  </si>
  <si>
    <t xml:space="preserve">15.25</t>
  </si>
  <si>
    <t xml:space="preserve">qu_ex_moeglich</t>
  </si>
  <si>
    <t xml:space="preserve">Kann sich im Bereich der Anlage ein explosionsfähiges Gemisch bilden (Gase, Dämpfe, Stäube)?</t>
  </si>
  <si>
    <t xml:space="preserve">15.25a</t>
  </si>
  <si>
    <t xml:space="preserve">qu_ex_bewertet</t>
  </si>
  <si>
    <t xml:space="preserve">Explosionsschutz für die Aufzugsanlage bewertet und dokumentiert (Explosionsschutzdokument)?</t>
  </si>
  <si>
    <t xml:space="preserve">MF-U06 (bedingt)</t>
  </si>
  <si>
    <t xml:space="preserve">15.25b</t>
  </si>
  <si>
    <t xml:space="preserve">qu_ex_umgesetzt</t>
  </si>
  <si>
    <t xml:space="preserve">Festgelegte Ex-Schutzmaßnahmen an der Aufzugsanlage umgesetzt und auf Wirksamkeit geprüft (geeignete Betriebsmittel, Prüfung vor Inbetriebnahme/wiederkehrend)?</t>
  </si>
  <si>
    <t xml:space="preserve">[15.25a Explosionsschutz für die Aufzugsanlage bewertet und dokumentiert (Explosionsschutzdokument)?] = Ja</t>
  </si>
  <si>
    <t xml:space="preserve">15.23</t>
  </si>
  <si>
    <t xml:space="preserve">qu_temperatur</t>
  </si>
  <si>
    <t xml:space="preserve">Unzulässige Temperaturen im Triebwerksraum oder Schacht möglich (Überhitzung über 40 °C, Frost)?</t>
  </si>
  <si>
    <t xml:space="preserve">15.23a</t>
  </si>
  <si>
    <t xml:space="preserve">qu_feuchte_sicherheitsteile</t>
  </si>
  <si>
    <t xml:space="preserve">Feuchtigkeit oder Kondensat an sicherheitsrelevanten Bauteilen außerhalb der Schachtgrube (Steuerung, Bremse, Türverriegelung)?</t>
  </si>
  <si>
    <t xml:space="preserve">Wasser und Feuchtigkeit IN der Schachtgrube werden unter 11.15 erfasst – hier nur Triebwerksraum, Schacht und Fahrkorb (Prüfbericht 20.09.2026: Abgrenzung geschärft, beide Fragen führten zuvor zur selben Stufe mit derselben Maßnahme).</t>
  </si>
  <si>
    <t xml:space="preserve">15.23b</t>
  </si>
  <si>
    <t xml:space="preserve">qu_korrosion</t>
  </si>
  <si>
    <t xml:space="preserve">Massive Korrosion, Betonabplatzungen oder andere bauliche Schäden am Schacht oder Triebwerksraum?</t>
  </si>
  <si>
    <t xml:space="preserve">15.26</t>
  </si>
  <si>
    <t xml:space="preserve">qu_bauliche_aenderung</t>
  </si>
  <si>
    <t xml:space="preserve">Bauliche Änderungen am Schacht / Triebwerksraum ohne statische und sicherheitstechnische Bewertung?</t>
  </si>
  <si>
    <t xml:space="preserve">15.26a</t>
  </si>
  <si>
    <t xml:space="preserve">qu_verkleidung</t>
  </si>
  <si>
    <t xml:space="preserve">Nachträgliche Verkleidungen oder Änderungen, die den Sicherheitszustand verschlechtern (Schutzräume, Lüftung, Zugänge)?</t>
  </si>
  <si>
    <t xml:space="preserve">15.8a</t>
  </si>
  <si>
    <t xml:space="preserve">qu_bma_abgestimmt</t>
  </si>
  <si>
    <t xml:space="preserve">Schnittstelle Brandmeldeanlage – Aufzug bekannt und abgestimmt (Brandfallsteuerung, Rückholung, Evakuierung)?</t>
  </si>
  <si>
    <t xml:space="preserve">Ja / Nein (unauffällig: Ja)</t>
  </si>
  <si>
    <t xml:space="preserve">[15.8 Brandmeldeanlage (BMA) im Gebäude vorhanden?] = Ja</t>
  </si>
  <si>
    <t xml:space="preserve">MF-U09 (bedingt)</t>
  </si>
  <si>
    <t xml:space="preserve">15.8b</t>
  </si>
  <si>
    <t xml:space="preserve">qu_bma_geprueft</t>
  </si>
  <si>
    <t xml:space="preserve">Funktion der Schnittstelle BMA – Aufzug geprüft (Nachweis)?</t>
  </si>
  <si>
    <t xml:space="preserve">[15.8a Schnittstelle Brandmeldeanlage – Aufzug bekannt und abgestimmt (Brandfallsteuerung, Rückholung, Evakuierung)?] = Ja</t>
  </si>
  <si>
    <t xml:space="preserve">15.8c</t>
  </si>
  <si>
    <t xml:space="preserve">qu_evak_in_gbu</t>
  </si>
  <si>
    <t xml:space="preserve">Evakuierungs-/Sonderfunktion des Aufzugs im Brandschutzkonzept und in der Betriebsanweisung beschrieben (wer den Aufzug im Brandfall wie benutzen darf)?</t>
  </si>
  <si>
    <t xml:space="preserve">Prüfbericht 20.09.2026: Die Frage lautete bisher „… in dieser Gefährdungsbeurteilung berücksichtigt?" und bewertete damit das eigene Dokument. Gefragt ist jetzt die Festlegung des Betreibers, die vor Ort prüfbar ist.</t>
  </si>
  <si>
    <t xml:space="preserve">15.8d</t>
  </si>
  <si>
    <t xml:space="preserve">qu_brandschutz_behindert</t>
  </si>
  <si>
    <t xml:space="preserve">Behindert eine Brandschutzeinrichtung (Brandschutztür, Abschottung) den Aufzugsbetrieb oder die Personenrettung?</t>
  </si>
  <si>
    <t xml:space="preserve">15.9a</t>
  </si>
  <si>
    <t xml:space="preserve">qu_entrauchung</t>
  </si>
  <si>
    <t xml:space="preserve">Zustand der Schachtentrauchung / RWA / Lüftungsöffnung</t>
  </si>
  <si>
    <t xml:space="preserve">• Funktion geprüft, Öffnungen frei (unauffällig)
• Funktion unklar, blockiert oder defekt
• Öffnungen verschlossen, verändert oder unzureichend
• Kein Nachweis über Prüfung</t>
  </si>
  <si>
    <t xml:space="preserve">[15.9 Schachtentrauchung / RWA / Lüftungsöffnung im Schachtkopf vorhanden?] = Ja</t>
  </si>
  <si>
    <t xml:space="preserve">15.10a</t>
  </si>
  <si>
    <t xml:space="preserve">qu_sprinkler_bewertet</t>
  </si>
  <si>
    <t xml:space="preserve">Wechselwirkung der Löschanlage mit der Aufzugsanlage (Wasserbeaufschlagung, Abschaltung) bewertet?</t>
  </si>
  <si>
    <t xml:space="preserve">[15.10 Löschanlage / Sprinkler im Schacht oder Triebwerksraum vorhanden?] = Ja</t>
  </si>
  <si>
    <t xml:space="preserve">15.36</t>
  </si>
  <si>
    <t xml:space="preserve">qu_wartung_gefaehrlicher_zugang</t>
  </si>
  <si>
    <t xml:space="preserve">Müssen Fremdgewerke (Lüftung, Elektro, Reinigung) für ihre Arbeiten in den Aufzugsbereich (Schacht, Triebwerksraum) eindringen?</t>
  </si>
  <si>
    <t xml:space="preserve">15.36a</t>
  </si>
  <si>
    <t xml:space="preserve">qu_fremd_zugangskonzept</t>
  </si>
  <si>
    <t xml:space="preserve">Zugangs- und Schutzkonzept für Fremdgewerke / Reinigungspersonal vorhanden?</t>
  </si>
  <si>
    <t xml:space="preserve">[15.36 Müssen Fremdgewerke (Lüftung, Elektro, Reinigung) für ihre Arbeiten in den Aufzugsbereich (Schacht, Triebwerksraum) eindringen?] = Ja</t>
  </si>
  <si>
    <t xml:space="preserve">MF-U12 (bedingt)</t>
  </si>
  <si>
    <t xml:space="preserve">15.37</t>
  </si>
  <si>
    <t xml:space="preserve">qu_nachweise_fremdgewerke</t>
  </si>
  <si>
    <t xml:space="preserve">Prüfnachweise der angrenzenden Gewerke (BMA, RWA, Ersatzstrom, Löschanlage) verfügbar?</t>
  </si>
  <si>
    <t xml:space="preserve">15.38</t>
  </si>
  <si>
    <t xml:space="preserve">qu_zustaendigkeit</t>
  </si>
  <si>
    <t xml:space="preserve">Zuständigkeiten zwischen den Gewerken für Maßnahmen an den Schnittstellen geregelt?</t>
  </si>
  <si>
    <t xml:space="preserve">15.27</t>
  </si>
  <si>
    <t xml:space="preserve">qu_verkehrswege</t>
  </si>
  <si>
    <t xml:space="preserve">Grenzt der Aufzugszugang unmittelbar an Fahrwege oder Verkehrsflächen (Tiefgarage, Anlieferung, Flurförderzeuge)?</t>
  </si>
  <si>
    <t xml:space="preserve">15.24</t>
  </si>
  <si>
    <t xml:space="preserve">qu_abgase</t>
  </si>
  <si>
    <t xml:space="preserve">Abgase oder Emissionen im Aufstellbereich (Tiefgarage, Werkstatt, Notstromaggregat)?</t>
  </si>
  <si>
    <t xml:space="preserve">15.22</t>
  </si>
  <si>
    <t xml:space="preserve">qu_laerm</t>
  </si>
  <si>
    <t xml:space="preserve">Erhöhte Lärmbelastung im Triebwerksraum oder am Aufzug (über 85 dB(A))?</t>
  </si>
  <si>
    <t xml:space="preserve">15.4</t>
  </si>
  <si>
    <t xml:space="preserve">qu_umfeld_kritisch</t>
  </si>
  <si>
    <t xml:space="preserve">Kritisches soziales Umfeld (Vandalismus, Missbrauch der Anlage)?</t>
  </si>
  <si>
    <t xml:space="preserve">5.1</t>
  </si>
  <si>
    <t xml:space="preserve">qz_bel_vorhanden</t>
  </si>
  <si>
    <t xml:space="preserve">Beleuchtung an den Zuwegen zum Triebwerks-/Steuerungsraum vorhanden?</t>
  </si>
  <si>
    <t xml:space="preserve">5.2</t>
  </si>
  <si>
    <t xml:space="preserve">qz_bel_ausreichend</t>
  </si>
  <si>
    <t xml:space="preserve">Beleuchtung an den Zuwegen ausreichend (mind. 50 Lux, funktionsfähig, Leuchten an geeigneter Stelle)?</t>
  </si>
  <si>
    <t xml:space="preserve">[5.1 Beleuchtung an den Zuwegen zum Triebwerks-/Steuerungsraum vorhanden?] = Ja</t>
  </si>
  <si>
    <t xml:space="preserve">MF-Z01 (bedingt)</t>
  </si>
  <si>
    <t xml:space="preserve">5.2a</t>
  </si>
  <si>
    <t xml:space="preserve">qz_bel_defekt</t>
  </si>
  <si>
    <t xml:space="preserve">Defekte Leuchten oder Leuchtkörper an den Zuwegen?</t>
  </si>
  <si>
    <t xml:space="preserve">Folgefrage zu 5.2: nennt den Grund der unzureichenden Beleuchtung und steuert die Maßnahme (Instandsetzung statt Umbau).</t>
  </si>
  <si>
    <t xml:space="preserve">5.3</t>
  </si>
  <si>
    <t xml:space="preserve">qz_weg_sicher</t>
  </si>
  <si>
    <t xml:space="preserve">Sicherer, freier Verkehrsweg zum Triebwerks-/Steuerungsraum (trocken, sauber, ohne Stolperstellen)?</t>
  </si>
  <si>
    <t xml:space="preserve">Absturzkanten und Überstiege auf dem Zugangsweg unter 5.7/5.8 erfassen.</t>
  </si>
  <si>
    <t xml:space="preserve">5.3a</t>
  </si>
  <si>
    <t xml:space="preserve">qz_weg_rutschig</t>
  </si>
  <si>
    <t xml:space="preserve">Verkehrsweg rutschig, glatt oder verschmutzt?</t>
  </si>
  <si>
    <t xml:space="preserve">MF-Z02 (bedingt)</t>
  </si>
  <si>
    <t xml:space="preserve">5.3b</t>
  </si>
  <si>
    <t xml:space="preserve">qz_weg_stolper</t>
  </si>
  <si>
    <t xml:space="preserve">Stolperstellen auf dem Verkehrsweg?</t>
  </si>
  <si>
    <t xml:space="preserve">5.4</t>
  </si>
  <si>
    <t xml:space="preserve">qz_weg_eng</t>
  </si>
  <si>
    <t xml:space="preserve">Enge oder niedrige Durchgänge (Breite &lt; 0,60 m oder Höhe &lt; 2,00 m)?</t>
  </si>
  <si>
    <t xml:space="preserve">5.5</t>
  </si>
  <si>
    <t xml:space="preserve">qz_aufstieg</t>
  </si>
  <si>
    <t xml:space="preserve">Art des Aufstiegs zum Triebwerksraum</t>
  </si>
  <si>
    <t xml:space="preserve">• Ebenerdig / kein Aufstieg nötig
• Treppe mit Handlauf
• Treppe ohne Handlauf
• Ordnungsgemäße Zug-/Klapptreppe
• Zug-/Klapptreppe nicht sicherheitsgerecht
• Fest angebrachte Steigleiter mit Rückenschutz/Haltegriff
• Nur mobile Leiter / Anlegeleiter
• Kein sicherer Aufstieg vorhanden</t>
  </si>
  <si>
    <t xml:space="preserve">5.6</t>
  </si>
  <si>
    <t xml:space="preserve">qz_aufstieg_bruch</t>
  </si>
  <si>
    <t xml:space="preserve">Bruch- oder Kippgefahr am Aufstieg (beschädigte Stufen, lose Leiter, fehlende Befestigung)?</t>
  </si>
  <si>
    <t xml:space="preserve">[5.5 Art des Aufstiegs zum Triebwerksraum] ≠ „Ebenerdig / kein Aufstieg nötig"</t>
  </si>
  <si>
    <t xml:space="preserve">MF-Z03 (bedingt)</t>
  </si>
  <si>
    <t xml:space="preserve">5.7</t>
  </si>
  <si>
    <t xml:space="preserve">qz_absturzkante</t>
  </si>
  <si>
    <t xml:space="preserve">Führt der Zugang über eine Dachfläche, Dachkante, Empore oder eine andere Absturzkante?</t>
  </si>
  <si>
    <t xml:space="preserve">5.7a</t>
  </si>
  <si>
    <t xml:space="preserve">qz_absturz_gesichert</t>
  </si>
  <si>
    <t xml:space="preserve">Absturzkante durch Geländer oder Umwehrung dauerhaft gesichert?</t>
  </si>
  <si>
    <t xml:space="preserve">[5.7 Führt der Zugang über eine Dachfläche, Dachkante, Empore oder eine andere Absturzkante?] = Ja</t>
  </si>
  <si>
    <t xml:space="preserve">MF-Z04 (bedingt)</t>
  </si>
  <si>
    <t xml:space="preserve">5.7b</t>
  </si>
  <si>
    <t xml:space="preserve">qz_absturz_gekennzeichnet</t>
  </si>
  <si>
    <t xml:space="preserve">Verkehrsweg an der Absturzkante festgelegt und gekennzeichnet?</t>
  </si>
  <si>
    <t xml:space="preserve">([5.7 Führt der Zugang über eine Dachfläche, Dachkante, Empore oder eine andere Absturzkante?] = Ja UND [5.7a Absturzkante durch Geländer oder Umwehrung dauerhaft gesichert?] = Nein)</t>
  </si>
  <si>
    <t xml:space="preserve">5.8</t>
  </si>
  <si>
    <t xml:space="preserve">qz_uebersteigen</t>
  </si>
  <si>
    <t xml:space="preserve">Muss ein Treppenauge, eine Brüstung oder ein Fenster überstiegen werden?</t>
  </si>
  <si>
    <t xml:space="preserve">5.9</t>
  </si>
  <si>
    <t xml:space="preserve">qz_von_innen</t>
  </si>
  <si>
    <t xml:space="preserve">Lässt sich der Zugangsbereich / Triebwerksraum jederzeit von innen verlassen?</t>
  </si>
  <si>
    <t xml:space="preserve">• Ja, ohne Schlüssel (Panikfunktion, Drücker innen) (unauffällig)
• Nur mit Schlüssel, Schlüssel dauerhaft innen hinterlegt
• Nein – Einschließen möglich</t>
  </si>
  <si>
    <t xml:space="preserve">5.10</t>
  </si>
  <si>
    <t xml:space="preserve">qz_durch_fremde</t>
  </si>
  <si>
    <t xml:space="preserve">Führt der Zugang durch fremde Räume?</t>
  </si>
  <si>
    <t xml:space="preserve">• Nein, direkter Zugang (unauffällig)
• Durch Arbeits-, Lager- oder Technikräume Dritter
• Durch eine Wohnung oder einen nur zeitweise zugänglichen Bereich</t>
  </si>
  <si>
    <t xml:space="preserve">5.11</t>
  </si>
  <si>
    <t xml:space="preserve">qz_material_erschwert</t>
  </si>
  <si>
    <t xml:space="preserve">Erschwert die Art des Zugangs den Transport von Material und Werkzeug (z. B. nur über Leiter, Dachluke, enge Wendeltreppe)?</t>
  </si>
  <si>
    <t xml:space="preserve">5.12</t>
  </si>
  <si>
    <t xml:space="preserve">qz_tuer_vorhanden</t>
  </si>
  <si>
    <t xml:space="preserve">Zugangstür zum Triebwerks-/Maschinenraum vorhanden?</t>
  </si>
  <si>
    <t xml:space="preserve">MF-Z07 (bedingt)</t>
  </si>
  <si>
    <t xml:space="preserve">5.12a</t>
  </si>
  <si>
    <t xml:space="preserve">qz_tuer_abschliessbar</t>
  </si>
  <si>
    <t xml:space="preserve">Zugangstür abschließbar (Zutritt nur für befugte Personen)?</t>
  </si>
  <si>
    <t xml:space="preserve">[5.12 Zugangstür zum Triebwerks-/Maschinenraum vorhanden?] = Ja</t>
  </si>
  <si>
    <t xml:space="preserve">5.12b</t>
  </si>
  <si>
    <t xml:space="preserve">qz_tuer_zustand</t>
  </si>
  <si>
    <t xml:space="preserve">Zugangstür unbeschädigt und leichtgängig?</t>
  </si>
  <si>
    <t xml:space="preserve">5.12c</t>
  </si>
  <si>
    <t xml:space="preserve">qz_tuer_mass</t>
  </si>
  <si>
    <t xml:space="preserve">Durchgangsmaß der Zugangstür ausreichend (mind. 2,00 m hoch, 0,60 m breit)?</t>
  </si>
  <si>
    <t xml:space="preserve">([1.28] ist eines von „DIN EN 81-1 / 81-2 (1999–2017)" / „DIN EN 81-20 (ab 2017)" ODER ([1.28] = „Unbekannt / keine Unterlagen" UND [1.24] ≥ 1999)): Ja</t>
  </si>
  <si>
    <t xml:space="preserve">5.14</t>
  </si>
  <si>
    <t xml:space="preserve">qz_schaltschrank_abschliessbar</t>
  </si>
  <si>
    <t xml:space="preserve">Ohne Triebwerksraum: Steuerschrank (an der Haltestelle oder im Schacht) abschließbar, Zutritt nur für befugte Personen?</t>
  </si>
  <si>
    <t xml:space="preserve">[4.7 Eigener Triebwerks-/Maschinenraum vorhanden?] = Nein</t>
  </si>
  <si>
    <t xml:space="preserve">Gegenstück zu 5.12a für maschinenraumlose Anlagen (Prüfbericht 20.09.2026): Der Steuerschrank ersetzt den Triebwerksraum und muss gegen unbefugten Zugriff verschlossen sein (DIN EN 81-20 5.2.6, Steuerschränke außerhalb von Triebwerksräumen).</t>
  </si>
  <si>
    <t xml:space="preserve">5.13</t>
  </si>
  <si>
    <t xml:space="preserve">qz_flucht_frei</t>
  </si>
  <si>
    <t xml:space="preserve">Flucht- und Rettungsweg vom Triebwerks-/Steuerungsraum frei und benutzbar?</t>
  </si>
  <si>
    <t xml:space="preserve">5.13a</t>
  </si>
  <si>
    <t xml:space="preserve">qz_flucht_gekennz</t>
  </si>
  <si>
    <t xml:space="preserve">Flucht- und Rettungsweg gekennzeichnet und beleuchtet?</t>
  </si>
  <si>
    <t xml:space="preserve">[5.13 Flucht- und Rettungsweg vom Triebwerks-/Steuerungsraum frei und benutzbar?] = Ja</t>
  </si>
  <si>
    <t xml:space="preserve">MF-Z08 (bedingt)</t>
  </si>
  <si>
    <t xml:space="preserve">5.13b</t>
  </si>
  <si>
    <t xml:space="preserve">qz_flucht_eingeengt</t>
  </si>
  <si>
    <t xml:space="preserve">Fluchtweg durch Lagerung eingeengt?</t>
  </si>
  <si>
    <t xml:space="preserve">3.4</t>
  </si>
  <si>
    <t xml:space="preserve">qz_zugang_befreiung</t>
  </si>
  <si>
    <t xml:space="preserve">Zugang zur Anlage für die Personenbefreiung jederzeit gewährleistet?</t>
  </si>
  <si>
    <t xml:space="preserve">• Ja, jederzeit (Schlüsseltresor / ständig besetzte Stelle vor Ort)
• Nur über Schlüssel bei Leitwarte, Pforte oder Hausmeister
• Nein, nicht jederzeit möglich</t>
  </si>
  <si>
    <t xml:space="preserve">Prüfen, ob der Befreiungsdienst rund um die Uhr ins Gebäude und zur Anlage kommt (Schlüsseltresor, Pförtner, Schließanlage).</t>
  </si>
  <si>
    <t xml:space="preserve">5.60</t>
  </si>
  <si>
    <t xml:space="preserve">qz_asbest</t>
  </si>
  <si>
    <t xml:space="preserve">Asbesthaltige oder andere schädliche Baustoffe im Zugangsbereich zum Triebwerksraum (Bremsbeläge, Dichtungen, Brandschutzplatten, Isolierungen)?</t>
  </si>
  <si>
    <t xml:space="preserve">5.62</t>
  </si>
  <si>
    <t xml:space="preserve">qz_verschmutzung</t>
  </si>
  <si>
    <t xml:space="preserve">Erhebliche Verschmutzungen (Taubenkot, Unrat, Schimmel, Ablagerungen) im Zugangsbereich zum Triebwerksraum?</t>
  </si>
  <si>
    <t xml:space="preserve">5.64</t>
  </si>
  <si>
    <t xml:space="preserve">qz_brennbar_lager</t>
  </si>
  <si>
    <t xml:space="preserve">Lagerung brennbarer oder leicht entzündlicher Stoffe im Zugangsbereich zum Triebwerksraum?</t>
  </si>
  <si>
    <t xml:space="preserve">5.20</t>
  </si>
  <si>
    <t xml:space="preserve">qm_bel_vorhanden</t>
  </si>
  <si>
    <t xml:space="preserve">Beleuchtung im Triebwerks-/Maschinenraum vorhanden?</t>
  </si>
  <si>
    <t xml:space="preserve">5.21</t>
  </si>
  <si>
    <t xml:space="preserve">qm_bel_200lux</t>
  </si>
  <si>
    <t xml:space="preserve">Beleuchtungsstärke an den Arbeitsflächen (Antrieb, Steuerschrank) mind. 200 Lux, Leuchten funktionsfähig?</t>
  </si>
  <si>
    <t xml:space="preserve">[5.20 Beleuchtung im Triebwerks-/Maschinenraum vorhanden?] = Ja</t>
  </si>
  <si>
    <t xml:space="preserve">MF-M01 (bedingt)</t>
  </si>
  <si>
    <t xml:space="preserve">5.22</t>
  </si>
  <si>
    <t xml:space="preserve">qm_bel_geeignet</t>
  </si>
  <si>
    <t xml:space="preserve">Leuchten an geeigneter Stelle (Arbeitsflächen nicht abgeschattet)?</t>
  </si>
  <si>
    <t xml:space="preserve">5.23</t>
  </si>
  <si>
    <t xml:space="preserve">qm_bel_splitterschutz</t>
  </si>
  <si>
    <t xml:space="preserve">Leuchten im Kopfbereich mit Splitterschutz / bruchsicher?</t>
  </si>
  <si>
    <t xml:space="preserve">5.30</t>
  </si>
  <si>
    <t xml:space="preserve">qm_beruehrungssicher</t>
  </si>
  <si>
    <t xml:space="preserve">Alle spannungsführenden Teile berührungssicher (Abdeckungen vorhanden, Schaltschrank geschlossen)?</t>
  </si>
  <si>
    <t xml:space="preserve">5.31</t>
  </si>
  <si>
    <t xml:space="preserve">qm_offene_schalttafel</t>
  </si>
  <si>
    <t xml:space="preserve">Offene Schalttafel ohne Schaltschrank vorhanden?</t>
  </si>
  <si>
    <t xml:space="preserve">MF-M02 (bedingt)</t>
  </si>
  <si>
    <t xml:space="preserve">5.32</t>
  </si>
  <si>
    <t xml:space="preserve">qm_offene_schalter</t>
  </si>
  <si>
    <t xml:space="preserve">Offene Kontakte oder Schalter an Maschine, Kopierwerk oder Begrenzer?</t>
  </si>
  <si>
    <t xml:space="preserve">5.33</t>
  </si>
  <si>
    <t xml:space="preserve">qm_schaltschrank_unsicher</t>
  </si>
  <si>
    <t xml:space="preserve">Nicht berührungssichere Bauteile im Schaltschrank (bei geöffneter Tür erreichbar)?</t>
  </si>
  <si>
    <t xml:space="preserve">5.34</t>
  </si>
  <si>
    <t xml:space="preserve">qm_kennz_kontakte</t>
  </si>
  <si>
    <t xml:space="preserve">Warnkennzeichnung für offene elektrische Kontakte vorhanden?</t>
  </si>
  <si>
    <t xml:space="preserve">Die Kennzeichnung ersetzt den Berührungsschutz nicht (Entscheidung 02.09.2026, K-K10); sie fehlt, ist das ein eigener – geringer – Mangel.</t>
  </si>
  <si>
    <t xml:space="preserve">5.35</t>
  </si>
  <si>
    <t xml:space="preserve">qm_dguv_v3</t>
  </si>
  <si>
    <t xml:space="preserve">Nachweis der elektrischen Prüfung der AUFZUGSANLAGE nach DGUV Vorschrift 3 vorhanden (Steuerung, Antrieb, Leitungen der Anlage; Prüfplakette / Protokoll aktuell)?</t>
  </si>
  <si>
    <t xml:space="preserve">Nur die Aufzugsanlage selbst. Die bauseitige ortsfeste Installation des Raumes (Steckdosen, Raumbeleuchtung, Zuleitung) wird unter 5.37 erfasst (Prüfbericht 20.09.2026: Abgrenzung geschärft).</t>
  </si>
  <si>
    <t xml:space="preserve">5.36</t>
  </si>
  <si>
    <t xml:space="preserve">qm_bauseitig_ok</t>
  </si>
  <si>
    <t xml:space="preserve">Bauseitige Elektroinstallation im Raum (Steckdosen, Schalter, Leitungen) unbeschädigt?</t>
  </si>
  <si>
    <t xml:space="preserve">5.37</t>
  </si>
  <si>
    <t xml:space="preserve">qm_ortsfest_geprueft</t>
  </si>
  <si>
    <t xml:space="preserve">Prüfung der BAUSEITIGEN ortsfesten elektrischen Anlage des Raumes nachgewiesen (Zuleitung, Steckdosen, Raumbeleuchtung)?</t>
  </si>
  <si>
    <t xml:space="preserve">Bauseitige Installation, nicht die Aufzugsanlage (die steht unter 5.35). Zuständig ist der Betreiber bzw. das Elektrogewerk des Gebäudes.</t>
  </si>
  <si>
    <t xml:space="preserve">5.38</t>
  </si>
  <si>
    <t xml:space="preserve">qm_potenzialausgleich</t>
  </si>
  <si>
    <t xml:space="preserve">Hauptpotenzialausgleich an der Aufzugskonstruktion vorhanden?</t>
  </si>
  <si>
    <t xml:space="preserve">5.40</t>
  </si>
  <si>
    <t xml:space="preserve">qm_einzug_treibscheibe</t>
  </si>
  <si>
    <t xml:space="preserve">Einzugsschutz an Treibscheibe, Umlenkrollen und Kopierwerk vorhanden?</t>
  </si>
  <si>
    <t xml:space="preserve">5.41</t>
  </si>
  <si>
    <t xml:space="preserve">qm_einzug_begrenzer</t>
  </si>
  <si>
    <t xml:space="preserve">Einzugsschutz am Geschwindigkeitsbegrenzer vorhanden?</t>
  </si>
  <si>
    <t xml:space="preserve">5.42</t>
  </si>
  <si>
    <t xml:space="preserve">qm_einzug_grad</t>
  </si>
  <si>
    <t xml:space="preserve">Abdeckung der Einzugstellen insgesamt</t>
  </si>
  <si>
    <t xml:space="preserve">• Komplett abgedeckt (unauffällig)
• Teilweise abgedeckt
• Einzugstellen offen</t>
  </si>
  <si>
    <t xml:space="preserve">5.43</t>
  </si>
  <si>
    <t xml:space="preserve">qm_hoehe_180</t>
  </si>
  <si>
    <t xml:space="preserve">Lichte Höhe im Gehbereich mind. 1,80 m?</t>
  </si>
  <si>
    <t xml:space="preserve">5.44</t>
  </si>
  <si>
    <t xml:space="preserve">qm_freiflaeche</t>
  </si>
  <si>
    <t xml:space="preserve">Freifläche für Notbetrieb/Handrad mind. 0,50 m × 0,60 m vor dem Antrieb vorhanden?</t>
  </si>
  <si>
    <t xml:space="preserve">5.45</t>
  </si>
  <si>
    <t xml:space="preserve">qm_lagerung</t>
  </si>
  <si>
    <t xml:space="preserve">Bewegungsflächen durch Lagerung eingeengt?</t>
  </si>
  <si>
    <t xml:space="preserve">5.46</t>
  </si>
  <si>
    <t xml:space="preserve">qm_niveau</t>
  </si>
  <si>
    <t xml:space="preserve">Niveauunterschiede über 0,50 m im Raum vorhanden?</t>
  </si>
  <si>
    <t xml:space="preserve">5.46a</t>
  </si>
  <si>
    <t xml:space="preserve">qm_niveau_gesichert</t>
  </si>
  <si>
    <t xml:space="preserve">Niveauunterschied durch Treppe oder Leiter überwindbar?</t>
  </si>
  <si>
    <t xml:space="preserve">[5.46 Niveauunterschiede über 0,50 m im Raum vorhanden?] = Ja</t>
  </si>
  <si>
    <t xml:space="preserve">MF-M05 (bedingt)</t>
  </si>
  <si>
    <t xml:space="preserve">5.46b</t>
  </si>
  <si>
    <t xml:space="preserve">qm_podest_absturz</t>
  </si>
  <si>
    <t xml:space="preserve">Podest mit Absturzhöhe über 1,00 m ohne Geländer?</t>
  </si>
  <si>
    <t xml:space="preserve">5.47</t>
  </si>
  <si>
    <t xml:space="preserve">qm_bodenoeffnung</t>
  </si>
  <si>
    <t xml:space="preserve">Ungesicherte Bodenöffnung oder Vertiefung im Raum?</t>
  </si>
  <si>
    <t xml:space="preserve">5.48</t>
  </si>
  <si>
    <t xml:space="preserve">qm_boden_rutschhemmend</t>
  </si>
  <si>
    <t xml:space="preserve">Boden rutschhemmend und sauber?</t>
  </si>
  <si>
    <t xml:space="preserve">5.49</t>
  </si>
  <si>
    <t xml:space="preserve">qm_boden_oelfest</t>
  </si>
  <si>
    <t xml:space="preserve">Boden ölfest gestrichen und unbeschädigt?</t>
  </si>
  <si>
    <t xml:space="preserve">5.50</t>
  </si>
  <si>
    <t xml:space="preserve">qm_oel_ausgetreten</t>
  </si>
  <si>
    <t xml:space="preserve">Ausgetretenes Öl / Hydrauliköl ohne Auffangmöglichkeit?</t>
  </si>
  <si>
    <t xml:space="preserve">5.51</t>
  </si>
  <si>
    <t xml:space="preserve">qm_hauptschalter</t>
  </si>
  <si>
    <t xml:space="preserve">Hauptschalter vorhanden und Wirkung nachvollziehbar?</t>
  </si>
  <si>
    <t xml:space="preserve">Prüfen: Hauptschalter ausschalten – Antrieb und Steuerung müssen spannungsfrei sein (Beleuchtung und Notruf bleiben versorgt). Abschließbarkeit unter 5.51a erfassen.</t>
  </si>
  <si>
    <t xml:space="preserve">5.51a</t>
  </si>
  <si>
    <t xml:space="preserve">qm_hauptschalter_abschliessbar</t>
  </si>
  <si>
    <t xml:space="preserve">Hauptschalter abschließbar?</t>
  </si>
  <si>
    <t xml:space="preserve">[5.51 Hauptschalter vorhanden und Wirkung nachvollziehbar?] = Ja</t>
  </si>
  <si>
    <t xml:space="preserve">MF-M07 (bedingt)</t>
  </si>
  <si>
    <t xml:space="preserve">5.51b</t>
  </si>
  <si>
    <t xml:space="preserve">qm_hauptschalter_gekennz</t>
  </si>
  <si>
    <t xml:space="preserve">Hauptschalter eindeutig gekennzeichnet?</t>
  </si>
  <si>
    <t xml:space="preserve">6.2</t>
  </si>
  <si>
    <t xml:space="preserve">qm_zweikreisbremse</t>
  </si>
  <si>
    <t xml:space="preserve">Zweikreisbremse (redundante Betriebsbremse) vorhanden?</t>
  </si>
  <si>
    <t xml:space="preserve">MF-M08, MF-K12 (bedingt)</t>
  </si>
  <si>
    <t xml:space="preserve">Nachweis aus den Herstellerunterlagen bzw. Baumuster der Bremse: zwei mechanisch unabhängig wirkende Bremskreise.</t>
  </si>
  <si>
    <t xml:space="preserve">6.2a</t>
  </si>
  <si>
    <t xml:space="preserve">qm_bremse_ueberwacht</t>
  </si>
  <si>
    <t xml:space="preserve">Bremse elektrisch überwacht (Bremskontrollschalter)?</t>
  </si>
  <si>
    <t xml:space="preserve">[6.2 Zweikreisbremse (redundante Betriebsbremse) vorhanden?] = Ja</t>
  </si>
  <si>
    <t xml:space="preserve">MF-M08 (bedingt), MF-K12 (bedingt)</t>
  </si>
  <si>
    <t xml:space="preserve">Prüfen: Bremskontrollschalter vorhanden und im Steuerungsplan eingebunden; bei Fehlfunktion darf die Anlage nicht erneut anfahren.</t>
  </si>
  <si>
    <t xml:space="preserve">6.3</t>
  </si>
  <si>
    <t xml:space="preserve">qm_motorschutz</t>
  </si>
  <si>
    <t xml:space="preserve">Schutz gegen Überhitzen des Antriebsmotors vorhanden?</t>
  </si>
  <si>
    <t xml:space="preserve">6.4</t>
  </si>
  <si>
    <t xml:space="preserve">qm_schuetze_unabhaengig</t>
  </si>
  <si>
    <t xml:space="preserve">Zwei unabhängige Fahrschütze / Abschaltwege vorhanden?</t>
  </si>
  <si>
    <t xml:space="preserve">NICHT [3.1 Aufzugsart] ist eines von „Hydraulikaufzug" / „Seil-Hydraulikaufzug (indirekt)"</t>
  </si>
  <si>
    <t xml:space="preserve">Stromlaufplan prüfen: zwei voneinander unabhängige Schütze oder gleichwertige Abschaltung des Antriebs (TRBS 3121 Anh. 1 Nr. 20).</t>
  </si>
  <si>
    <t xml:space="preserve">6.4a</t>
  </si>
  <si>
    <t xml:space="preserve">qm_steuerung_selbstueberw</t>
  </si>
  <si>
    <t xml:space="preserve">Bei nur einem Schütz: selbstüberwachende Steuerung mit Baumusterprüfung?</t>
  </si>
  <si>
    <t xml:space="preserve">MF-M10 (bedingt)</t>
  </si>
  <si>
    <t xml:space="preserve">Nur Ja, wenn die Baumusterbescheinigung der Steuerung die Überwachung des Einzelschützes ausdrücklich nennt.</t>
  </si>
  <si>
    <t xml:space="preserve">6.5</t>
  </si>
  <si>
    <t xml:space="preserve">qm_laufzeit</t>
  </si>
  <si>
    <t xml:space="preserve">Motor-Laufzeitüberwachung vorhanden?</t>
  </si>
  <si>
    <t xml:space="preserve">6.6</t>
  </si>
  <si>
    <t xml:space="preserve">qm_phasenumkehr</t>
  </si>
  <si>
    <t xml:space="preserve">Schutz gegen Phasenumkehr / Phasenausfall vorhanden?</t>
  </si>
  <si>
    <t xml:space="preserve">[6.1 Antriebssystem / Regelung] ist keines von „Geregelter Antrieb (Frequenzumrichter)" / „Hydraulischer Antrieb"</t>
  </si>
  <si>
    <t xml:space="preserve">6.10</t>
  </si>
  <si>
    <t xml:space="preserve">qm_absperrventil</t>
  </si>
  <si>
    <t xml:space="preserve">Absperrventil am Hydraulikaggregat vorhanden?</t>
  </si>
  <si>
    <t xml:space="preserve">[3.1 Aufzugsart] ist eines von „Hydraulikaufzug" / „Seil-Hydraulikaufzug (indirekt)"</t>
  </si>
  <si>
    <t xml:space="preserve">Sichtprüfung am Aggregat: Absperrventil in der Leitung zum Zylinder vorhanden und bedienbar.</t>
  </si>
  <si>
    <t xml:space="preserve">6.10a</t>
  </si>
  <si>
    <t xml:space="preserve">qm_absperrventil_gekennz</t>
  </si>
  <si>
    <t xml:space="preserve">Absperrventil gekennzeichnet und gut zugänglich?</t>
  </si>
  <si>
    <t xml:space="preserve">[6.10 Absperrventil am Hydraulikaggregat vorhanden?] = Ja</t>
  </si>
  <si>
    <t xml:space="preserve">MF-M13 (bedingt)</t>
  </si>
  <si>
    <t xml:space="preserve">6.11</t>
  </si>
  <si>
    <t xml:space="preserve">qm_rohrbruch</t>
  </si>
  <si>
    <t xml:space="preserve">Rohrbruchsicherungsventil vorhanden?</t>
  </si>
  <si>
    <t xml:space="preserve">Nachweis aus den Herstellerunterlagen; Rohrbruchventil am Zylinder bzw. in der Leitung unmittelbar am Zylinder.</t>
  </si>
  <si>
    <t xml:space="preserve">6.12</t>
  </si>
  <si>
    <t xml:space="preserve">qm_kav</t>
  </si>
  <si>
    <t xml:space="preserve">Einrichtung gegen Absinken (Kolbenabsinkverhinderung / Nachholsteuerung) vorhanden?</t>
  </si>
  <si>
    <t xml:space="preserve">6.13</t>
  </si>
  <si>
    <t xml:space="preserve">qm_absinkt</t>
  </si>
  <si>
    <t xml:space="preserve">Sinkt der Fahrkorb im Stillstand merklich ab?</t>
  </si>
  <si>
    <t xml:space="preserve">5.52</t>
  </si>
  <si>
    <t xml:space="preserve">qm_anschlagpunkte</t>
  </si>
  <si>
    <t xml:space="preserve">Anschlagpunkte / Hebezeuge zum Anheben schwerer Teile vorhanden?</t>
  </si>
  <si>
    <t xml:space="preserve">5.52a</t>
  </si>
  <si>
    <t xml:space="preserve">qm_tragfaehigkeit</t>
  </si>
  <si>
    <t xml:space="preserve">Tragfähigkeit der Anschlagpunkte angegeben?</t>
  </si>
  <si>
    <t xml:space="preserve">[5.52 Anschlagpunkte / Hebezeuge zum Anheben schwerer Teile vorhanden?] = Ja</t>
  </si>
  <si>
    <t xml:space="preserve">MF-M14 (bedingt)</t>
  </si>
  <si>
    <t xml:space="preserve">5.52b</t>
  </si>
  <si>
    <t xml:space="preserve">qm_anschlag_geprueft</t>
  </si>
  <si>
    <t xml:space="preserve">Prüfung der Anschlagpunkte dokumentiert?</t>
  </si>
  <si>
    <t xml:space="preserve">5.53</t>
  </si>
  <si>
    <t xml:space="preserve">qm_notbetrieb</t>
  </si>
  <si>
    <t xml:space="preserve">Einrichtung für Notbetrieb / Personenbefreiung vorhanden (Handrad, Bremslüfthebel, Evakuierungseinheit, Notablass)?</t>
  </si>
  <si>
    <t xml:space="preserve">Prüfen: Einrichtung vorhanden, vollständig und für die beauftragte Person bedienbar; Notbefreiungsanleitung an der Einrichtung.</t>
  </si>
  <si>
    <t xml:space="preserve">5.53a</t>
  </si>
  <si>
    <t xml:space="preserve">qm_notbetrieb_gekennz</t>
  </si>
  <si>
    <t xml:space="preserve">Notbetriebseinrichtung gekennzeichnet (Fahrtrichtung, Bündigmarken)?</t>
  </si>
  <si>
    <t xml:space="preserve">[5.53 Einrichtung für Notbetrieb / Personenbefreiung vorhanden (Handrad, Bremslüfthebel, Evakuierungseinheit, Notablass)?] = Ja</t>
  </si>
  <si>
    <t xml:space="preserve">5.54</t>
  </si>
  <si>
    <t xml:space="preserve">qm_kennz_elektrisch</t>
  </si>
  <si>
    <t xml:space="preserve">Elektrische Einrichtungen gekennzeichnet (Zuordnung im Notfall möglich)?</t>
  </si>
  <si>
    <t xml:space="preserve">5.56</t>
  </si>
  <si>
    <t xml:space="preserve">qm_beschilderung</t>
  </si>
  <si>
    <t xml:space="preserve">Beschilderung vollständig (Schutzraum, Notablass, Entriegelungsschlüssel, Verhalten bei Personenbefreiung)?</t>
  </si>
  <si>
    <t xml:space="preserve">5.58</t>
  </si>
  <si>
    <t xml:space="preserve">qm_sprechverbindung</t>
  </si>
  <si>
    <t xml:space="preserve">Sprechverbindung zwischen Fahrkorb und Triebwerksraum/Steuerung</t>
  </si>
  <si>
    <t xml:space="preserve">• Vorhanden und funktionsfähig
• Vorhanden, Verständigung nur eingeschränkt
• Keine Sprechverbindung
• Verständigung ohne Hilfsmittel möglich (kurze Wege)</t>
  </si>
  <si>
    <t xml:space="preserve">5.24</t>
  </si>
  <si>
    <t xml:space="preserve">qm_rollenraum_nothalt</t>
  </si>
  <si>
    <t xml:space="preserve">Notbremsschalter im zusätzlichen Rollenraum vorhanden?</t>
  </si>
  <si>
    <t xml:space="preserve">[4.7a Zusätzlicher Rollenraum vorhanden?] = Ja</t>
  </si>
  <si>
    <t xml:space="preserve">5.59</t>
  </si>
  <si>
    <t xml:space="preserve">qm_fremd_frei</t>
  </si>
  <si>
    <t xml:space="preserve">Triebwerksraum frei von aufzugsfremden Einrichtungen (Lager, Leitungen, Geräte Dritter)?</t>
  </si>
  <si>
    <t xml:space="preserve">5.61</t>
  </si>
  <si>
    <t xml:space="preserve">qm_asbest</t>
  </si>
  <si>
    <t xml:space="preserve">Asbesthaltige oder andere schädliche Baustoffe im Triebwerks-/Maschinenraum (Bremsbeläge, Dichtungen, Brandschutzplatten, Isolierungen)?</t>
  </si>
  <si>
    <t xml:space="preserve">MF-U01 (bedingt)</t>
  </si>
  <si>
    <t xml:space="preserve">5.63</t>
  </si>
  <si>
    <t xml:space="preserve">qm_verschmutzung</t>
  </si>
  <si>
    <t xml:space="preserve">Erhebliche Verschmutzungen (Taubenkot, Unrat, Schimmel, Ablagerungen) im Triebwerks-/Maschinenraum?</t>
  </si>
  <si>
    <t xml:space="preserve">MF-U02 (bedingt)</t>
  </si>
  <si>
    <t xml:space="preserve">5.65</t>
  </si>
  <si>
    <t xml:space="preserve">qm_brennbar_lager</t>
  </si>
  <si>
    <t xml:space="preserve">Lagerung brennbarer oder leicht entzündlicher Stoffe im Triebwerks-/Maschinenraum?</t>
  </si>
  <si>
    <t xml:space="preserve">MF-U03 (bedingt)</t>
  </si>
  <si>
    <t xml:space="preserve">9.1</t>
  </si>
  <si>
    <t xml:space="preserve">qf_spalt_mm</t>
  </si>
  <si>
    <t xml:space="preserve">Größter horizontaler Abstand Fahrkorbdachkante – Schachtwand</t>
  </si>
  <si>
    <t xml:space="preserve">• ≤ 300 mm
• 301–500 mm
• 501–850 mm
• über 850 mm</t>
  </si>
  <si>
    <t xml:space="preserve">Regelgrenzen 300, 500 und 850 mm: Geländer ab 0,30 m (DIN EN 81-20 5.4.7.2 b)); Höhe 0,70 m bis 0,50 m Abstand, 1,10 m darüber (5.4.7.4 b)); nach EN 81-1 8.13.3.2 lag die Grenze bei 0,85 m. Messwert optional im Feld daneben.</t>
  </si>
  <si>
    <t xml:space="preserve">9.1m</t>
  </si>
  <si>
    <t xml:space="preserve">qf_spalt_mm_wert</t>
  </si>
  <si>
    <t xml:space="preserve">Abstand gemessen [mm]</t>
  </si>
  <si>
    <t xml:space="preserve">Zahl 0 … 3000</t>
  </si>
  <si>
    <t xml:space="preserve">Dokumentation des Messwerts; die Bewertung nimmt die Bereichsauswahl.</t>
  </si>
  <si>
    <t xml:space="preserve">9.2</t>
  </si>
  <si>
    <t xml:space="preserve">qf_gelaender</t>
  </si>
  <si>
    <t xml:space="preserve">Geländer auf dem Fahrkorbdach vorhanden?</t>
  </si>
  <si>
    <t xml:space="preserve">[9.1 Größter horizontaler Abstand Fahrkorbdachkante – Schachtwand] ist eines von „301–500 mm" / „501–850 mm" / „über 850 mm"</t>
  </si>
  <si>
    <t xml:space="preserve">MF-F01 (bedingt)</t>
  </si>
  <si>
    <t xml:space="preserve">Erforderlich, wenn der freie Abstand zwischen Außenkante Fahrkorbdach und Schachtwand mehr als 0,30 m beträgt (TRBS 3121 Anh. 1 Nr. 15).</t>
  </si>
  <si>
    <t xml:space="preserve">9.3</t>
  </si>
  <si>
    <t xml:space="preserve">qf_gelaender_hoehe_mm</t>
  </si>
  <si>
    <t xml:space="preserve">Geländerhöhe auf dem Fahrkorbdach</t>
  </si>
  <si>
    <t xml:space="preserve">• ≥ 1 100 mm
• 700–1 099 mm
• unter 700 mm</t>
  </si>
  <si>
    <t xml:space="preserve">[9.2 Geländer auf dem Fahrkorbdach vorhanden?] = Ja</t>
  </si>
  <si>
    <t xml:space="preserve">Regelgrenzen 700 mm und 1 100 mm (DIN EN 81-20 5.4.7.4 b); EN 81-1 8.13.3.2).</t>
  </si>
  <si>
    <t xml:space="preserve">9.4</t>
  </si>
  <si>
    <t xml:space="preserve">qf_fussleiste</t>
  </si>
  <si>
    <t xml:space="preserve">Fußleiste (mind. 100 mm) am Rand des Fahrkorbdachs vorhanden?</t>
  </si>
  <si>
    <t xml:space="preserve">9.5</t>
  </si>
  <si>
    <t xml:space="preserve">qf_einzugstellen</t>
  </si>
  <si>
    <t xml:space="preserve">Einzugstellen im Schachtkopf / auf dem Fahrkorbdach vorhanden (Umlenkrollen, Heberrolle, Seilrollen)?</t>
  </si>
  <si>
    <t xml:space="preserve">9.5a</t>
  </si>
  <si>
    <t xml:space="preserve">qf_einzug_abdeckung</t>
  </si>
  <si>
    <t xml:space="preserve">Abdeckung der Einzugstellen</t>
  </si>
  <si>
    <t xml:space="preserve">[9.5 Einzugstellen im Schachtkopf / auf dem Fahrkorbdach vorhanden (Umlenkrollen, Heberrolle, Seilrollen)?] = Ja</t>
  </si>
  <si>
    <t xml:space="preserve">MF-F02 (bedingt)</t>
  </si>
  <si>
    <t xml:space="preserve">9.6</t>
  </si>
  <si>
    <t xml:space="preserve">qf_nachbar_trennung</t>
  </si>
  <si>
    <t xml:space="preserve">Abtrennung zum Nachbaraufzug / Nachbar-Gegengewicht im Bereich des Fahrkorbdachs</t>
  </si>
  <si>
    <t xml:space="preserve">• Gefahrstellen komplett abgedeckt
• Engmaschiges Trenngitter
• Ausreichende Abstände (kein Erreichen möglich)
• Teilweise Abdeckungen
• Grobmaschiges Trenngitter oder Spanndrähte
• Keine Abdeckung / kein Trenngitter</t>
  </si>
  <si>
    <t xml:space="preserve">[4.8 Mehrere Aufzüge in einem gemeinsamen Schacht?] = Ja</t>
  </si>
  <si>
    <t xml:space="preserve">9.6a</t>
  </si>
  <si>
    <t xml:space="preserve">qf_nachbar_abschaltung</t>
  </si>
  <si>
    <t xml:space="preserve">Einrichtung zum automatischen Abschalten des Nachbaraufzugs bei Arbeiten im Fahrschacht vorhanden?</t>
  </si>
  <si>
    <t xml:space="preserve">[9.6 Abtrennung zum Nachbaraufzug / Nachbar-Gegengewicht im Bereich des Fahrkorbdachs] ist eines von „Keine Abdeckung / kein Trenngitter" / „Teilweise Abdeckungen" / „Grobmaschiges Trenngitter oder Spanndrähte"</t>
  </si>
  <si>
    <t xml:space="preserve">MF-F03 (bedingt)</t>
  </si>
  <si>
    <t xml:space="preserve">9.6b</t>
  </si>
  <si>
    <t xml:space="preserve">qf_nachbar_abschaltung_geprueft</t>
  </si>
  <si>
    <t xml:space="preserve">Automatische Abschaltung in der Funktion geprüft, alle Nachbaranlagen erfasst und Wirkung bei Inspektionsbetrieb bestätigt?</t>
  </si>
  <si>
    <t xml:space="preserve">[9.6a Einrichtung zum automatischen Abschalten des Nachbaraufzugs bei Arbeiten im Fahrschacht vorhanden?] = Ja</t>
  </si>
  <si>
    <t xml:space="preserve">9.7</t>
  </si>
  <si>
    <t xml:space="preserve">qf_schutzraum</t>
  </si>
  <si>
    <t xml:space="preserve">Schutzraum im Schachtkopf</t>
  </si>
  <si>
    <t xml:space="preserve">• Schutzraum nach EN 81-20 vorhanden (Abmessungen eingehalten)
• Schutzraum nach TRA 200 / EN 81-1/-2 (kleiner als EN 81-20)
• Reduzierter Schachtkopf mit wirksamer Zusatzeinrichtung und Betriebsanweisung
• Schutzraum nicht gegeben (z. B. nachträgliche Einbauten)</t>
  </si>
  <si>
    <t xml:space="preserve">Mit dem Fahrkorb auf dem voll zusammengedrückten Puffer (bzw. Berechnung aus den Unterlagen) den freien Raum über dem Fahrkorbdach bestimmen. Nachträgliche Einbauten im Schachtkopf mitprüfen.</t>
  </si>
  <si>
    <t xml:space="preserve">9.7a</t>
  </si>
  <si>
    <t xml:space="preserve">qf_kopffreiheit_gekennz</t>
  </si>
  <si>
    <t xml:space="preserve">Warnkennzeichnung zur reduzierten Kopffreiheit vorhanden?</t>
  </si>
  <si>
    <t xml:space="preserve">MF-F04 (bedingt)</t>
  </si>
  <si>
    <t xml:space="preserve">9.8</t>
  </si>
  <si>
    <t xml:space="preserve">qf_inspektion</t>
  </si>
  <si>
    <t xml:space="preserve">Inspektionssteuerung auf dem Fahrkorbdach vorhanden?</t>
  </si>
  <si>
    <t xml:space="preserve">Prüfen: Inspektionsschalter umschalten – Normalbetrieb muss gesperrt sein, Fahrt nur mit Richtungstaste und Freigabe.</t>
  </si>
  <si>
    <t xml:space="preserve">9.8a</t>
  </si>
  <si>
    <t xml:space="preserve">qf_inspektion_schutz</t>
  </si>
  <si>
    <t xml:space="preserve">Inspektionssteuerung gegen unbeabsichtigtes Betätigen geschützt?</t>
  </si>
  <si>
    <t xml:space="preserve">[9.8 Inspektionssteuerung auf dem Fahrkorbdach vorhanden?] = Ja</t>
  </si>
  <si>
    <t xml:space="preserve">MF-F05 (bedingt)</t>
  </si>
  <si>
    <t xml:space="preserve">9.8b</t>
  </si>
  <si>
    <t xml:space="preserve">qf_inspektion_erreichbar</t>
  </si>
  <si>
    <t xml:space="preserve">Inspektionssteuerung vom Zugang aus gut erreichbar?</t>
  </si>
  <si>
    <t xml:space="preserve">9.8c</t>
  </si>
  <si>
    <t xml:space="preserve">qf_inspektion_geschw</t>
  </si>
  <si>
    <t xml:space="preserve">Inspektionsgeschwindigkeit max. 0,63 m/s?</t>
  </si>
  <si>
    <t xml:space="preserve">9.9</t>
  </si>
  <si>
    <t xml:space="preserve">qf_nothalt</t>
  </si>
  <si>
    <t xml:space="preserve">Notbremsschalter (Not-Halt) auf dem Fahrkorbdach vorhanden?</t>
  </si>
  <si>
    <t xml:space="preserve">Prüfen: Not-Halt vom Zugang aus erreichbar betätigen – Fahrt darf nicht möglich sein.</t>
  </si>
  <si>
    <t xml:space="preserve">9.9a</t>
  </si>
  <si>
    <t xml:space="preserve">qf_nothalt_erreichbar</t>
  </si>
  <si>
    <t xml:space="preserve">Not-Halt vom Zugang aus erreichbar?</t>
  </si>
  <si>
    <t xml:space="preserve">[9.9 Notbremsschalter (Not-Halt) auf dem Fahrkorbdach vorhanden?] = Ja</t>
  </si>
  <si>
    <t xml:space="preserve">MF-F06 (bedingt)</t>
  </si>
  <si>
    <t xml:space="preserve">9.9b</t>
  </si>
  <si>
    <t xml:space="preserve">qf_nothalt_wirksam</t>
  </si>
  <si>
    <t xml:space="preserve">Not-Halt wirksam (Funktion geprüft)?</t>
  </si>
  <si>
    <t xml:space="preserve">9.10</t>
  </si>
  <si>
    <t xml:space="preserve">qf_dach_tragfaehig</t>
  </si>
  <si>
    <t xml:space="preserve">Fahrkorbdach tragfähig (200 kg auf 0,30 m × 0,30 m)?</t>
  </si>
  <si>
    <t xml:space="preserve">Nachweis aus den Herstellerunterlagen; bei Zweifeln (dünne Bleche, sichtbare Verformung) Nein wählen, bis der Nachweis vorliegt.</t>
  </si>
  <si>
    <t xml:space="preserve">9.11</t>
  </si>
  <si>
    <t xml:space="preserve">qf_klappe</t>
  </si>
  <si>
    <t xml:space="preserve">Klappe / Notausstieg im Fahrkorbdach vorhanden?</t>
  </si>
  <si>
    <t xml:space="preserve">9.11a</t>
  </si>
  <si>
    <t xml:space="preserve">qf_klappe_ueberwacht</t>
  </si>
  <si>
    <t xml:space="preserve">Klappe elektrisch überwacht (Sicherheitskreis)?</t>
  </si>
  <si>
    <t xml:space="preserve">[9.11 Klappe / Notausstieg im Fahrkorbdach vorhanden?] = Ja</t>
  </si>
  <si>
    <t xml:space="preserve">MF-F07 (bedingt)</t>
  </si>
  <si>
    <t xml:space="preserve">9.12</t>
  </si>
  <si>
    <t xml:space="preserve">qf_notbeleuchtung</t>
  </si>
  <si>
    <t xml:space="preserve">Notbeleuchtung auf dem Fahrkorbdach (mind. 5 Lux, 1 h) vorhanden?</t>
  </si>
  <si>
    <t xml:space="preserve">([1.28] ist eines von „DIN EN 81-20 (ab 2017)" ODER ([1.28] = „Unbekannt / keine Unterlagen" UND [1.24] ≥ 2017)): Ja</t>
  </si>
  <si>
    <t xml:space="preserve">9.13</t>
  </si>
  <si>
    <t xml:space="preserve">qf_notruf_dach</t>
  </si>
  <si>
    <t xml:space="preserve">Eindeutig erkennbarer Auslöser für den (Fern-)Notruf auf dem Fahrkorbdach vorhanden?</t>
  </si>
  <si>
    <t xml:space="preserve">10.1</t>
  </si>
  <si>
    <t xml:space="preserve">qs_bel_vorhanden</t>
  </si>
  <si>
    <t xml:space="preserve">Schachtbeleuchtung vorhanden?</t>
  </si>
  <si>
    <t xml:space="preserve">10.1a</t>
  </si>
  <si>
    <t xml:space="preserve">qs_bel_ausreichend</t>
  </si>
  <si>
    <t xml:space="preserve">Schachtbeleuchtung ausreichend (mind. 50 Lux 1 m über dem Fahrkorbdach, mind. 20 Lux im übrigen Schacht)?</t>
  </si>
  <si>
    <t xml:space="preserve">[10.1 Schachtbeleuchtung vorhanden?] = Ja</t>
  </si>
  <si>
    <t xml:space="preserve">MF-S01 (bedingt)</t>
  </si>
  <si>
    <t xml:space="preserve">TRBS 3121 Anh. 1 Nr. 8 / DIN EN 81-20 5.2.1.4.1: Arbeitsbereiche auf dem Fahrkorbdach und in der Grube mindestens 50 lx. Die Grube wird unter 11.2a erfasst.</t>
  </si>
  <si>
    <t xml:space="preserve">10.1c</t>
  </si>
  <si>
    <t xml:space="preserve">qs_bel_altnorm</t>
  </si>
  <si>
    <t xml:space="preserve">Falls nicht ausreichend: erfüllt die Schachtbeleuchtung die Anforderungen des Errichtungs-Regelwerks (TRA 200 bzw. DIN EN 81-1/-2)?</t>
  </si>
  <si>
    <t xml:space="preserve">[10.1a Schachtbeleuchtung ausreichend (mind. 50 Lux 1 m über dem Fahrkorbdach, mind. 20 Lux im übrigen Schacht)?] = Nein</t>
  </si>
  <si>
    <t xml:space="preserve">10.1b</t>
  </si>
  <si>
    <t xml:space="preserve">qs_bel_splitterschutz</t>
  </si>
  <si>
    <t xml:space="preserve">Leuchten im Schacht mit Splitterschutz und an geeigneter Stelle?</t>
  </si>
  <si>
    <t xml:space="preserve">10.2</t>
  </si>
  <si>
    <t xml:space="preserve">qs_zugang_bel</t>
  </si>
  <si>
    <t xml:space="preserve">Beleuchtung an den Schachtzugängen (Haltestellen) mind. 50 lx?</t>
  </si>
  <si>
    <t xml:space="preserve">Sollwert DIN EN 81-20:2020-06 5.3.7.1: mindestens 50 lx am Boden im Bereich der Schachttüren. Der bisherige Wert „75 Lux" stammte aus dem übernommenen Katalog und stand im Widerspruch zur eigenen Quellenangabe (Entscheidung Arne 20.09.2026 zum Prüfbericht, Befund B42).</t>
  </si>
  <si>
    <t xml:space="preserve">10.3</t>
  </si>
  <si>
    <t xml:space="preserve">qs_vollumwehrt</t>
  </si>
  <si>
    <t xml:space="preserve">Schacht vollständig umwehrt (Wände, Decke, Boden)?</t>
  </si>
  <si>
    <t xml:space="preserve">10.3a</t>
  </si>
  <si>
    <t xml:space="preserve">qs_teilumwehrt_zulaessig</t>
  </si>
  <si>
    <t xml:space="preserve">Teilumwehrung nach EN 81-20 5.2.5.2.3 zulässig ausgeführt (Höhen, Abstände)?</t>
  </si>
  <si>
    <t xml:space="preserve">[10.3 Schacht vollständig umwehrt (Wände, Decke, Boden)?] = Nein</t>
  </si>
  <si>
    <t xml:space="preserve">MF-S03 (bedingt)</t>
  </si>
  <si>
    <t xml:space="preserve">10.4</t>
  </si>
  <si>
    <t xml:space="preserve">qs_wand_fest</t>
  </si>
  <si>
    <t xml:space="preserve">Schachtwände ausreichend fest (100 kg auf 0,30 m × 0,30 m, keine Durchbrüche)?</t>
  </si>
  <si>
    <t xml:space="preserve">10.5</t>
  </si>
  <si>
    <t xml:space="preserve">qs_glas_vsg</t>
  </si>
  <si>
    <t xml:space="preserve">Nachweis Verbundsicherheitsglas für die Schachtverglasung vorhanden?</t>
  </si>
  <si>
    <t xml:space="preserve">[4.2 Schacht oder Schachtgerüst mit Glas?] = Ja</t>
  </si>
  <si>
    <t xml:space="preserve">10.6</t>
  </si>
  <si>
    <t xml:space="preserve">qs_schienen_stahl</t>
  </si>
  <si>
    <t xml:space="preserve">Führungsschienen für Fahrkorb und Gegengewicht aus Stahl?</t>
  </si>
  <si>
    <t xml:space="preserve">10.7</t>
  </si>
  <si>
    <t xml:space="preserve">qs_fang</t>
  </si>
  <si>
    <t xml:space="preserve">Fangvorrichtung am Fahrkorb vorhanden?</t>
  </si>
  <si>
    <t xml:space="preserve">Nachweis über Typenschild und Prüfbuch; Sichtprüfung der Fangvorrichtung bei Inspektionsfahrt.</t>
  </si>
  <si>
    <t xml:space="preserve">10.8</t>
  </si>
  <si>
    <t xml:space="preserve">qs_begrenzer</t>
  </si>
  <si>
    <t xml:space="preserve">Geschwindigkeitsbegrenzer vorhanden?</t>
  </si>
  <si>
    <t xml:space="preserve">Sichtprüfung im Triebwerksraum bzw. Schachtkopf; Typenschild und Auslösegeschwindigkeit mit dem Prüfbuch abgleichen.</t>
  </si>
  <si>
    <t xml:space="preserve">10.9</t>
  </si>
  <si>
    <t xml:space="preserve">qs_fang_geprueft</t>
  </si>
  <si>
    <t xml:space="preserve">Prüfung von Fangvorrichtung und Begrenzer dokumentiert?</t>
  </si>
  <si>
    <t xml:space="preserve">([10.7 Fangvorrichtung am Fahrkorb vorhanden?] = Ja UND [10.8 Geschwindigkeitsbegrenzer vorhanden?] = Ja)</t>
  </si>
  <si>
    <t xml:space="preserve">MF-S05 (bedingt)</t>
  </si>
  <si>
    <t xml:space="preserve">10.10</t>
  </si>
  <si>
    <t xml:space="preserve">qs_spanngewicht_schalter</t>
  </si>
  <si>
    <t xml:space="preserve">Spanngewicht des Begrenzerseils mit Schlaffseilschalter?</t>
  </si>
  <si>
    <t xml:space="preserve">[10.8 Geschwindigkeitsbegrenzer vorhanden?] = Ja</t>
  </si>
  <si>
    <t xml:space="preserve">10.11</t>
  </si>
  <si>
    <t xml:space="preserve">qs_schlaffseil</t>
  </si>
  <si>
    <t xml:space="preserve">Schlaffseil-/Schlaffkettensicherung vorhanden?</t>
  </si>
  <si>
    <t xml:space="preserve">[3.1 Aufzugsart] = „Trommel- oder Kettenaufzug"</t>
  </si>
  <si>
    <t xml:space="preserve">10.12</t>
  </si>
  <si>
    <t xml:space="preserve">qs_fremd_frei</t>
  </si>
  <si>
    <t xml:space="preserve">Schacht frei von aufzugsfremden Einrichtungen?</t>
  </si>
  <si>
    <t xml:space="preserve">10.12a</t>
  </si>
  <si>
    <t xml:space="preserve">qs_fremd_fachgerecht</t>
  </si>
  <si>
    <t xml:space="preserve">Aufzugsfremde Leitungen fachgerecht verlegt und gekennzeichnet?</t>
  </si>
  <si>
    <t xml:space="preserve">MF-S06 (bedingt)</t>
  </si>
  <si>
    <t xml:space="preserve">10.12b</t>
  </si>
  <si>
    <t xml:space="preserve">qs_fremd_behindert</t>
  </si>
  <si>
    <t xml:space="preserve">Behindern aufzugsfremde Einrichtungen Arbeiten oder Rettungswege im Schacht?</t>
  </si>
  <si>
    <t xml:space="preserve">10.13</t>
  </si>
  <si>
    <t xml:space="preserve">qs_zugang_schacht_sicher</t>
  </si>
  <si>
    <t xml:space="preserve">Zugänge zum Schacht (Schachttüren, Inspektionstüren) frei und sicher erreichbar (nicht zugestellt, nicht verbaut)?</t>
  </si>
  <si>
    <t xml:space="preserve">Nur die Erreichbarkeit. Die Wirksamkeit der zugehörigen Sicherheitsschalter steht unter 10.13a (Prüfbericht 20.09.2026: bisher beides in einer Frage mit Stufe Hoch).</t>
  </si>
  <si>
    <t xml:space="preserve">10.13a</t>
  </si>
  <si>
    <t xml:space="preserve">qs_zugang_schalter_wirksam</t>
  </si>
  <si>
    <t xml:space="preserve">Elektrische Sicherheitseinrichtungen der Schacht- und Inspektionstüren vorhanden und wirksam (Türkontakt im Sicherheitskreis)?</t>
  </si>
  <si>
    <t xml:space="preserve">10.20</t>
  </si>
  <si>
    <t xml:space="preserve">qs_asbest</t>
  </si>
  <si>
    <t xml:space="preserve">Asbesthaltige oder andere schädliche Baustoffe im Schacht / am Fahrkorb (Bremsbeläge, Dichtungen, Brandschutzplatten, Isolierungen)?</t>
  </si>
  <si>
    <t xml:space="preserve">10.21</t>
  </si>
  <si>
    <t xml:space="preserve">qs_verschmutzung</t>
  </si>
  <si>
    <t xml:space="preserve">Erhebliche Verschmutzungen (Taubenkot, Unrat, Schimmel, Ablagerungen) im Schacht / am Fahrkorb?</t>
  </si>
  <si>
    <t xml:space="preserve">10.22</t>
  </si>
  <si>
    <t xml:space="preserve">qs_brennbar_lager</t>
  </si>
  <si>
    <t xml:space="preserve">Lagerung brennbarer oder leicht entzündlicher Stoffe im Schacht / am Fahrkorb?</t>
  </si>
  <si>
    <t xml:space="preserve">11.2</t>
  </si>
  <si>
    <t xml:space="preserve">qg_bel_vorhanden</t>
  </si>
  <si>
    <t xml:space="preserve">Beleuchtung in der Schachtgrube vorhanden?</t>
  </si>
  <si>
    <t xml:space="preserve">11.2a</t>
  </si>
  <si>
    <t xml:space="preserve">qg_bel_50lux</t>
  </si>
  <si>
    <t xml:space="preserve">Grubenbeleuchtung ausreichend (mind. 50 Lux), Leuchten geeignet angeordnet?</t>
  </si>
  <si>
    <t xml:space="preserve">[11.2 Beleuchtung in der Schachtgrube vorhanden?] = Ja</t>
  </si>
  <si>
    <t xml:space="preserve">MF-G01 (bedingt)</t>
  </si>
  <si>
    <t xml:space="preserve">11.3</t>
  </si>
  <si>
    <t xml:space="preserve">qg_schutzraum</t>
  </si>
  <si>
    <t xml:space="preserve">Schutzraum in der Schachtgrube</t>
  </si>
  <si>
    <t xml:space="preserve">• Schutzraum nach EN 81-20 vorhanden, Abmessungen eingehalten
• Schutzraum nach TRA 200 / EN 81-1/-2 (kleiner als EN 81-20)
• Reduzierte Grube mit wirksamer Zusatzeinrichtung und Kennzeichnung
• Schutzraum nicht gegeben</t>
  </si>
  <si>
    <t xml:space="preserve">Mit dem Fahrkorb auf dem voll zusammengedrückten Puffer den freien Raum in der Grube bestimmen (bzw. aus den Unterlagen).</t>
  </si>
  <si>
    <t xml:space="preserve">11.4</t>
  </si>
  <si>
    <t xml:space="preserve">qg_nothalt</t>
  </si>
  <si>
    <t xml:space="preserve">Notbremsschalter in der Schachtgrube vorhanden?</t>
  </si>
  <si>
    <t xml:space="preserve">Prüfen: Not-Halt in der Grube betätigen – Fahrt darf nicht möglich sein. Erreichbarkeit von der Schachttür aus unter 11.4a erfassen.</t>
  </si>
  <si>
    <t xml:space="preserve">11.4a</t>
  </si>
  <si>
    <t xml:space="preserve">qg_nothalt_aussen</t>
  </si>
  <si>
    <t xml:space="preserve">Notbremsschalter von der Schachttür aus erreichbar?</t>
  </si>
  <si>
    <t xml:space="preserve">[11.4 Notbremsschalter in der Schachtgrube vorhanden?] = Ja</t>
  </si>
  <si>
    <t xml:space="preserve">MF-G03 (bedingt)</t>
  </si>
  <si>
    <t xml:space="preserve">11.4b</t>
  </si>
  <si>
    <t xml:space="preserve">qg_nothalt_zwei</t>
  </si>
  <si>
    <t xml:space="preserve">Bei Grubentiefe über 1,60 m: zweiter Notbremsschalter am Grubenboden vorhanden?</t>
  </si>
  <si>
    <t xml:space="preserve">([11.4 Notbremsschalter in der Schachtgrube vorhanden?] = Ja UND [11.1 Schachtgrubentiefe über 1,60 m?] = Ja)</t>
  </si>
  <si>
    <t xml:space="preserve">11.5</t>
  </si>
  <si>
    <t xml:space="preserve">qg_inspektion</t>
  </si>
  <si>
    <t xml:space="preserve">Inspektionssteuerung in der Schachtgrube vorhanden?</t>
  </si>
  <si>
    <t xml:space="preserve">11.7</t>
  </si>
  <si>
    <t xml:space="preserve">qg_zugangstuer</t>
  </si>
  <si>
    <t xml:space="preserve">Zugang zur Grube über eine separate Grubenzugangstür (ebenerdig, ohne Abstieg über eine Leiter)?</t>
  </si>
  <si>
    <t xml:space="preserve">Zuerst die Zugangsart klären: Nur wenn der Zugang über eine Leiter erfolgt, werden die Leiterfragen gestellt (TRBS 3121 Anh. 1 Nr. 6 a/b).</t>
  </si>
  <si>
    <t xml:space="preserve">11.6</t>
  </si>
  <si>
    <t xml:space="preserve">qg_leiter</t>
  </si>
  <si>
    <t xml:space="preserve">Grubenleiter</t>
  </si>
  <si>
    <t xml:space="preserve">• Fest installierte Grubenleiter (unauffällig)
• Mobile Leiter im Schacht deponiert
• Grubenleiter vorhanden, aber schwer erreichbar
• Leiter beim Kunden deponiert
• Leiter wird im Kundendienstfahrzeug mitgeführt
• Keine Grubenleiter</t>
  </si>
  <si>
    <t xml:space="preserve">[11.7 Zugang zur Grube über eine separate Grubenzugangstür (ebenerdig, ohne Abstieg über eine Leiter)?] = Nein</t>
  </si>
  <si>
    <t xml:space="preserve">MF-G04 (bedingt)</t>
  </si>
  <si>
    <t xml:space="preserve">11.7a</t>
  </si>
  <si>
    <t xml:space="preserve">qg_zugangstuer_schalter</t>
  </si>
  <si>
    <t xml:space="preserve">Elektrische Sicherheitseinrichtung an der Grubenzugangstür?</t>
  </si>
  <si>
    <t xml:space="preserve">[11.7 Zugang zur Grube über eine separate Grubenzugangstür (ebenerdig, ohne Abstieg über eine Leiter)?] = Ja</t>
  </si>
  <si>
    <t xml:space="preserve">11.8</t>
  </si>
  <si>
    <t xml:space="preserve">qg_selbstbefreiung</t>
  </si>
  <si>
    <t xml:space="preserve">Selbstbefreiung aus der Grube über die Schachttür möglich (Verschluss innerhalb 1,80 m Höhe / 0,80 m horizontal)?</t>
  </si>
  <si>
    <t xml:space="preserve">11.9</t>
  </si>
  <si>
    <t xml:space="preserve">qg_notruf</t>
  </si>
  <si>
    <t xml:space="preserve">Notrufeinrichtung in der Schachtgrube vorhanden?</t>
  </si>
  <si>
    <t xml:space="preserve">11.10</t>
  </si>
  <si>
    <t xml:space="preserve">qg_puffer</t>
  </si>
  <si>
    <t xml:space="preserve">Puffer für Fahrkorb und Gegengewicht vorhanden?</t>
  </si>
  <si>
    <t xml:space="preserve">Sichtprüfung: Puffer unter Fahrkorb und Gegengewicht vorhanden und fest verankert.</t>
  </si>
  <si>
    <t xml:space="preserve">11.10a</t>
  </si>
  <si>
    <t xml:space="preserve">qg_puffer_zustand</t>
  </si>
  <si>
    <t xml:space="preserve">Puffer unbeschädigt und nicht verschlissen?</t>
  </si>
  <si>
    <t xml:space="preserve">[11.10 Puffer für Fahrkorb und Gegengewicht vorhanden?] = Ja</t>
  </si>
  <si>
    <t xml:space="preserve">MF-G06 (bedingt)</t>
  </si>
  <si>
    <t xml:space="preserve">11.10b</t>
  </si>
  <si>
    <t xml:space="preserve">qg_puffer_art</t>
  </si>
  <si>
    <t xml:space="preserve">Bauart der Puffer</t>
  </si>
  <si>
    <t xml:space="preserve">• Energiespeichernd (Feder / Polyurethan)
• Energieverzehrend (hydraulisch)</t>
  </si>
  <si>
    <t xml:space="preserve">11.10c</t>
  </si>
  <si>
    <t xml:space="preserve">qg_puffer_oelstand</t>
  </si>
  <si>
    <t xml:space="preserve">Ölstand hydraulischer Puffer prüfbar und Kennzeichnung vorhanden?</t>
  </si>
  <si>
    <t xml:space="preserve">[11.10b Bauart der Puffer] = „Energieverzehrend (hydraulisch)"</t>
  </si>
  <si>
    <t xml:space="preserve">11.11</t>
  </si>
  <si>
    <t xml:space="preserve">qg_gg_abtrennung</t>
  </si>
  <si>
    <t xml:space="preserve">Abtrennung der Gegengewichtsfahrbahn in der Grube</t>
  </si>
  <si>
    <t xml:space="preserve">• Vollwandig oder engmaschig, normgerechte Höhe (unauffällig)
• Vorhanden, aber zu niedrig oder grobmaschig
• Keine Abtrennung</t>
  </si>
  <si>
    <t xml:space="preserve">([3.1 Aufzugsart] ist eines von „Seil-/Riemenaufzug (Treibscheibe)" / „Trommel- oder Kettenaufzug" / „Seil-Hydraulikaufzug (indirekt)" UND [3.1b Gegengewicht oder Ausgleichsgewicht vorhanden?] = Ja)</t>
  </si>
  <si>
    <t xml:space="preserve">Messen: Abtrennung von höchstens 0,30 m bis mindestens 2,0 m über der Schachtgrubensohle, in der Breite des Gegengewichts (TRBS 3121 Anh. 1 Nr. 2).</t>
  </si>
  <si>
    <t xml:space="preserve">11.12</t>
  </si>
  <si>
    <t xml:space="preserve">qg_gg_fuellung</t>
  </si>
  <si>
    <t xml:space="preserve">Gegengewichtsfüllung gegen Herausfallen gesichert (Rahmen)?</t>
  </si>
  <si>
    <t xml:space="preserve">11.13</t>
  </si>
  <si>
    <t xml:space="preserve">qg_gg_fang</t>
  </si>
  <si>
    <t xml:space="preserve">Fangvorrichtung am Gegengewicht (oder durchgehendes Fundament) bei betretbarem Raum unter der Grube?</t>
  </si>
  <si>
    <t xml:space="preserve">(([3.1 Aufzugsart] ist eines von „Seil-/Riemenaufzug (Treibscheibe)" / „Trommel- oder Kettenaufzug" / „Seil-Hydraulikaufzug (indirekt)" UND [3.1b Gegengewicht oder Ausgleichsgewicht vorhanden?] = Ja) UND [4.8a Betretbarer Raum unterhalb der Schachtgrube?] = Ja)</t>
  </si>
  <si>
    <t xml:space="preserve">MF-G07 (bedingt)</t>
  </si>
  <si>
    <t xml:space="preserve">11.14</t>
  </si>
  <si>
    <t xml:space="preserve">qg_nachbar_abtrennung</t>
  </si>
  <si>
    <t xml:space="preserve">Abtrennung zum Nachbaraufzug in der Schachtgrube vorhanden?</t>
  </si>
  <si>
    <t xml:space="preserve">11.14a</t>
  </si>
  <si>
    <t xml:space="preserve">qg_nachbar_abschaltung</t>
  </si>
  <si>
    <t xml:space="preserve">Einrichtung zum automatischen Abschalten des Nachbaraufzugs bei Arbeiten in der Schachtgrube vorhanden?</t>
  </si>
  <si>
    <t xml:space="preserve">([4.8 Mehrere Aufzüge in einem gemeinsamen Schacht?] = Ja UND [11.14 Abtrennung zum Nachbaraufzug in der Schachtgrube vorhanden?] = Nein)</t>
  </si>
  <si>
    <t xml:space="preserve">MF-G08 (bedingt)</t>
  </si>
  <si>
    <t xml:space="preserve">11.14b</t>
  </si>
  <si>
    <t xml:space="preserve">qg_nachbar_abschaltung_geprueft</t>
  </si>
  <si>
    <t xml:space="preserve">Automatische Abschaltung in der Funktion geprüft, alle Nachbaranlagen erfasst und Wirkung bei Inspektions- und Rückholbetrieb bestätigt?</t>
  </si>
  <si>
    <t xml:space="preserve">[11.14a Einrichtung zum automatischen Abschalten des Nachbaraufzugs bei Arbeiten in der Schachtgrube vorhanden?] = Ja</t>
  </si>
  <si>
    <t xml:space="preserve">11.15</t>
  </si>
  <si>
    <t xml:space="preserve">qg_wasser</t>
  </si>
  <si>
    <t xml:space="preserve">Wasser oder Feuchtigkeit in der Schachtgrube?</t>
  </si>
  <si>
    <t xml:space="preserve">11.16</t>
  </si>
  <si>
    <t xml:space="preserve">qg_oel</t>
  </si>
  <si>
    <t xml:space="preserve">Öl oder wassergefährdende Stoffe in der Grube ohne Auffangmöglichkeit?</t>
  </si>
  <si>
    <t xml:space="preserve">11.20</t>
  </si>
  <si>
    <t xml:space="preserve">qg_asbest</t>
  </si>
  <si>
    <t xml:space="preserve">Asbesthaltige oder andere schädliche Baustoffe in der Schachtgrube (Bremsbeläge, Dichtungen, Brandschutzplatten, Isolierungen)?</t>
  </si>
  <si>
    <t xml:space="preserve">11.21</t>
  </si>
  <si>
    <t xml:space="preserve">qg_verschmutzung</t>
  </si>
  <si>
    <t xml:space="preserve">Erhebliche Verschmutzungen (Taubenkot, Unrat, Schimmel, Ablagerungen) in der Schachtgrube?</t>
  </si>
  <si>
    <t xml:space="preserve">11.22</t>
  </si>
  <si>
    <t xml:space="preserve">qg_brennbar_lager</t>
  </si>
  <si>
    <t xml:space="preserve">Lagerung brennbarer oder leicht entzündlicher Stoffe in der Schachtgrube?</t>
  </si>
  <si>
    <t xml:space="preserve">7.1</t>
  </si>
  <si>
    <t xml:space="preserve">qt_verriegelung_elektrisch</t>
  </si>
  <si>
    <t xml:space="preserve">Schachttürverriegelung vom Sicherheitskreis elektrisch überwacht?</t>
  </si>
  <si>
    <t xml:space="preserve">Prüfen: Tür bei Fahrkorb außerhalb der Zone öffnen lassen bzw. Kontakt am Verriegelungsbolzen kontrollieren – die Fahrt darf erst bei eingegriffenem Riegel möglich sein (Riegelkontakt im Sicherheitskreis). Nein bei reinen Türkontakten ohne Riegelüberwachung.</t>
  </si>
  <si>
    <t xml:space="preserve">7.2</t>
  </si>
  <si>
    <t xml:space="preserve">qt_fehlschliess</t>
  </si>
  <si>
    <t xml:space="preserve">Fehlschließsicherung / Nachschließeinrichtung an den Schachttüren vorhanden?</t>
  </si>
  <si>
    <t xml:space="preserve">Prüfen: Tür mit Hindernis nicht vollständig schließen lassen – die Anlage darf nicht anfahren; die Tür muss selbsttätig nachschließen.</t>
  </si>
  <si>
    <t xml:space="preserve">7.3</t>
  </si>
  <si>
    <t xml:space="preserve">qt_selbstschliessend</t>
  </si>
  <si>
    <t xml:space="preserve">Schachttüren selbstschließend (Feder oder Gewicht)?</t>
  </si>
  <si>
    <t xml:space="preserve">Prüfen: Schachttür bei Fahrkorb außerhalb der Zone mit Notentriegelung öffnen und loslassen – sie muss durch Feder oder Gewicht selbsttätig schließen.</t>
  </si>
  <si>
    <t xml:space="preserve">7.4</t>
  </si>
  <si>
    <t xml:space="preserve">qt_schliesst_nach_notentriegelung</t>
  </si>
  <si>
    <t xml:space="preserve">Schließt die Schachttür nach einer Notentriegelung selbsttätig?</t>
  </si>
  <si>
    <t xml:space="preserve">Wie 7.3, aber vollständig bis zur Verriegelung: Nach dem Loslassen muss der Riegel wieder eingreifen. Bei jeder Haltestelle prüfen; eine einzige Abweichung = Nein.</t>
  </si>
  <si>
    <t xml:space="preserve">7.5</t>
  </si>
  <si>
    <t xml:space="preserve">qt_notentriegelung_alle</t>
  </si>
  <si>
    <t xml:space="preserve">Notentriegelung an allen Schachttüren vorhanden?</t>
  </si>
  <si>
    <t xml:space="preserve">An jeder Schachttür prüfen, ob die Notentriegelung vorhanden und mit dem hinterlegten Schlüssel bedienbar ist.</t>
  </si>
  <si>
    <t xml:space="preserve">7.7</t>
  </si>
  <si>
    <t xml:space="preserve">qt_notentriegelung_hoehe</t>
  </si>
  <si>
    <t xml:space="preserve">Notentriegelung erreichbar (max. 2,00 m über Boden im Türblatt bzw. 2,70 m im Rahmen mit langem Schlüssel)?</t>
  </si>
  <si>
    <t xml:space="preserve">[7.5 Notentriegelung an allen Schachttüren vorhanden?] = Ja</t>
  </si>
  <si>
    <t xml:space="preserve">MF-T02 (bedingt)</t>
  </si>
  <si>
    <t xml:space="preserve">7.8</t>
  </si>
  <si>
    <t xml:space="preserve">qt_glas_normgerecht</t>
  </si>
  <si>
    <t xml:space="preserve">Glaseinsätze in Schacht-/Fahrkorbtüren aus normgerechtem Glas (Verbundsicherheitsglas nach EN 81-20 5.3.5.3)?</t>
  </si>
  <si>
    <t xml:space="preserve">([4.1 Schachttüren mit Glas?] = Ja ODER [4.3 Fahrkorbtüren mit Glas?] = Ja)</t>
  </si>
  <si>
    <t xml:space="preserve">Nur die Glasart. Drahtglas wird unter 7.9 erfasst, Beschädigungen unter 7.8a.</t>
  </si>
  <si>
    <t xml:space="preserve">7.8a</t>
  </si>
  <si>
    <t xml:space="preserve">qt_glas_beschaedigt</t>
  </si>
  <si>
    <t xml:space="preserve">Glaseinsatz beschädigt, lose oder nicht sicher befestigt?</t>
  </si>
  <si>
    <t xml:space="preserve">7.9</t>
  </si>
  <si>
    <t xml:space="preserve">qt_glas_drahtglas</t>
  </si>
  <si>
    <t xml:space="preserve">Drahtglas (Gitterglas) verbaut?</t>
  </si>
  <si>
    <t xml:space="preserve">7.9a</t>
  </si>
  <si>
    <t xml:space="preserve">qt_glas_schiebetuer</t>
  </si>
  <si>
    <t xml:space="preserve">Verglaste Türen als kraftbetätigte Schiebetüren ausgeführt?</t>
  </si>
  <si>
    <t xml:space="preserve">7.10</t>
  </si>
  <si>
    <t xml:space="preserve">qt_glas_einzugsschutz</t>
  </si>
  <si>
    <t xml:space="preserve">Schutz gegen Einziehen von Kinderhänden an Glas-Schiebetüren vorhanden (Sensorleiste, Abstand, Beschichtung)?</t>
  </si>
  <si>
    <t xml:space="preserve">(([4.1 Schachttüren mit Glas?] = Ja ODER [4.3 Fahrkorbtüren mit Glas?] = Ja) UND [7.9a Verglaste Türen als kraftbetätigte Schiebetüren ausgeführt?] = Ja)</t>
  </si>
  <si>
    <t xml:space="preserve">MF-T04 (bedingt)</t>
  </si>
  <si>
    <t xml:space="preserve">7.11</t>
  </si>
  <si>
    <t xml:space="preserve">qt_feuerwiderstand</t>
  </si>
  <si>
    <t xml:space="preserve">Feuerwiderstandsfähigkeit der Schachttüren (EN 81-58 / bauaufsichtliche Anforderung)</t>
  </si>
  <si>
    <t xml:space="preserve">• Nachgewiesen (Zertifikat vorhanden)
• Nicht gefordert (kein Brandschutzerfordernis)
• Unbekannt / kein Nachweis
• Gefordert, aber nicht gegeben</t>
  </si>
  <si>
    <t xml:space="preserve">8.7</t>
  </si>
  <si>
    <t xml:space="preserve">qt_fk_tuer_automatisch</t>
  </si>
  <si>
    <t xml:space="preserve">Fahrkorbtür kraftbetätigt (automatisch)?</t>
  </si>
  <si>
    <t xml:space="preserve">[8.6 Fahrkorbabschlusstür vorhanden?] = Ja</t>
  </si>
  <si>
    <t xml:space="preserve">Steuerfrage für 8.8: Eine Schließkantensicherung ist nur bei kraftbetätigten Türen gefordert (EN 81-20 5.3.6.2). Handbetätigte Dreh- oder Schiebetüren brauchen keine (Prüfbericht 20.09.2026).</t>
  </si>
  <si>
    <t xml:space="preserve">8.8</t>
  </si>
  <si>
    <t xml:space="preserve">qt_schliesskante</t>
  </si>
  <si>
    <t xml:space="preserve">Schließkantensicherung der Fahrkorbtür</t>
  </si>
  <si>
    <t xml:space="preserve">• Lichtgitter / Lichtvorhang (vollflächige Personenerkennung)
• Einzel-Lichtschranke mit Kraftbegrenzung 150 N / 10 J (ältere Ausführung)
• Umsteuereinrichtung (Schachtdrehtür)
• Andere Schließkantensicherung (Bauart dokumentieren)
• Keine Schließkantensicherung</t>
  </si>
  <si>
    <t xml:space="preserve">([8.6 Fahrkorbabschlusstür vorhanden?] = Ja UND [8.7 Fahrkorbtür kraftbetätigt (automatisch)?] = Ja)</t>
  </si>
  <si>
    <t xml:space="preserve">Lichtgitter = mehrstrahlige Erkennung über die Türhöhe. Einzel-Lichtschranke nur bei nachgewiesener Kraftbegrenzung (150 N) und kinetischer Energie ≤ 10 J wählen, sonst „Keine Schließkantensicherung“.</t>
  </si>
  <si>
    <t xml:space="preserve">8.9</t>
  </si>
  <si>
    <t xml:space="preserve">qt_lichtgitter_ohne_tuer</t>
  </si>
  <si>
    <t xml:space="preserve">Ohne Fahrkorbtür: Sicherheitslichtgitter vorhanden?</t>
  </si>
  <si>
    <t xml:space="preserve">[8.6 Fahrkorbabschlusstür vorhanden?] = Nein</t>
  </si>
  <si>
    <t xml:space="preserve">8.9a</t>
  </si>
  <si>
    <t xml:space="preserve">qt_scherengitter</t>
  </si>
  <si>
    <t xml:space="preserve">Ohne Fahrkorbtür: Scherengitter vorhanden?</t>
  </si>
  <si>
    <t xml:space="preserve">8.1</t>
  </si>
  <si>
    <t xml:space="preserve">qk_notruf_vorhanden</t>
  </si>
  <si>
    <t xml:space="preserve">Notrufeinrichtung im Fahrkorb vorhanden?</t>
  </si>
  <si>
    <t xml:space="preserve">Prüfen: Notruf aus dem Fahrkorb auslösen und Verbindung bis zur Notrufstelle nachverfolgen.</t>
  </si>
  <si>
    <t xml:space="preserve">8.2</t>
  </si>
  <si>
    <t xml:space="preserve">qk_notruf_art</t>
  </si>
  <si>
    <t xml:space="preserve">Art der Notrufeinrichtung</t>
  </si>
  <si>
    <t xml:space="preserve">• Sprechverbindung zu ständig besetzter Stelle
• Klingel zu ständig besetzter Stelle
• Sprechverbindung oder Klingel zu nicht ständig besetzter Stelle
• Klingel im Schacht ohne Weiterleitung</t>
  </si>
  <si>
    <t xml:space="preserve">[8.1 Notrufeinrichtung im Fahrkorb vorhanden?] = Ja</t>
  </si>
  <si>
    <t xml:space="preserve">MF-K01 (bedingt)</t>
  </si>
  <si>
    <t xml:space="preserve">Nach dem tatsächlichen Empfänger einstufen, nicht nach der Beschriftung des Tasters. Klingel im Gebäude ohne ständig besetzte Stelle = „nicht ständig besetzt“.</t>
  </si>
  <si>
    <t xml:space="preserve">8.3</t>
  </si>
  <si>
    <t xml:space="preserve">qk_notruf_24h</t>
  </si>
  <si>
    <t xml:space="preserve">Nachweis: Notruf auf eine rund um die Uhr besetzte Stelle aufgeschaltet (Aufschaltbestätigung, Testruf)?</t>
  </si>
  <si>
    <t xml:space="preserve">[8.2 Art der Notrufeinrichtung] ist eines von „Sprechverbindung zu ständig besetzter Stelle" / „Klingel zu ständig besetzter Stelle"</t>
  </si>
  <si>
    <t xml:space="preserve">Nur, wenn unter 8.2 eine ständig besetzte Stelle angegeben ist – 8.3 ist deren Nachweis. Bei „nicht ständig besetzt" oder „Klingel im Schacht" ist der Mangel bereits unter 8.2 erfasst (Prüfbericht 20.09.2026).</t>
  </si>
  <si>
    <t xml:space="preserve">8.5</t>
  </si>
  <si>
    <t xml:space="preserve">qk_notbeleuchtung</t>
  </si>
  <si>
    <t xml:space="preserve">Notbeleuchtung im Fahrkorb</t>
  </si>
  <si>
    <t xml:space="preserve">• Leuchte mit Netzersatzfunktion (mind. 5 Lux, 1 h)
• Keine Notbeleuchtung, aber beleuchteter Notruftaster
• Keine Notbeleuchtung</t>
  </si>
  <si>
    <t xml:space="preserve">Prüfen: Netz abschalten (Hauptschalter der Fahrkorbbeleuchtung) – die Notbeleuchtung muss selbsttätig einschalten. Ein nur beleuchteter Notruftaster ist keine Notbeleuchtung.</t>
  </si>
  <si>
    <t xml:space="preserve">8.10</t>
  </si>
  <si>
    <t xml:space="preserve">qk_stufe_mm</t>
  </si>
  <si>
    <t xml:space="preserve">Größte Stufenbildung / Haltegenauigkeit an den Haltestellen</t>
  </si>
  <si>
    <t xml:space="preserve">• ≤ 10 mm
• 11–20 mm
• über 20 mm</t>
  </si>
  <si>
    <t xml:space="preserve">Regelgrenzen 10 mm und 20 mm (DIN EN 81-20 5.12.1.1.4: Anhaltegenauigkeit ± 10 mm). Vorbelegung aus dem ZÜS-Prüfbericht (Hauptprüfung Nr. 5, Haltegenauigkeit in allen Etagen). Messwert optional im Feld daneben.</t>
  </si>
  <si>
    <t xml:space="preserve">8.10m</t>
  </si>
  <si>
    <t xml:space="preserve">qk_stufe_mm_wert</t>
  </si>
  <si>
    <t xml:space="preserve">Stufenbildung gemessen [mm]</t>
  </si>
  <si>
    <t xml:space="preserve">Zahl 0 … 300</t>
  </si>
  <si>
    <t xml:space="preserve">8.12</t>
  </si>
  <si>
    <t xml:space="preserve">qk_schuerze_mm</t>
  </si>
  <si>
    <t xml:space="preserve">Fahrkorbtürschürze</t>
  </si>
  <si>
    <t xml:space="preserve">• ≥ 750 mm
• 300–749 mm
• unter 300 mm oder keine Schürze</t>
  </si>
  <si>
    <t xml:space="preserve">Regelgrenzen 300 mm und 750 mm (DIN EN 81-20 5.4.5.2: vertikaler Teil mindestens 0,75 m; TRA 200 Nr. 245.1: 0,75 m, Güteraufzüge 0,3 m). Messwert optional im Feld daneben.</t>
  </si>
  <si>
    <t xml:space="preserve">8.12m</t>
  </si>
  <si>
    <t xml:space="preserve">qk_schuerze_mm_wert</t>
  </si>
  <si>
    <t xml:space="preserve">Schürzenlänge gemessen [mm]</t>
  </si>
  <si>
    <t xml:space="preserve">Zahl 0 … 2500</t>
  </si>
  <si>
    <t xml:space="preserve">8.13</t>
  </si>
  <si>
    <t xml:space="preserve">qk_befreiung_nur_fachkundig</t>
  </si>
  <si>
    <t xml:space="preserve">Personenbefreiung ausschließlich durch fachkundige Personen (Betriebsanweisung, keine Selbstbefreiung durch Aufzugswärter)?</t>
  </si>
  <si>
    <t xml:space="preserve">MF-K04 (bedingt)</t>
  </si>
  <si>
    <t xml:space="preserve">8.14</t>
  </si>
  <si>
    <t xml:space="preserve">qk_abstand_schwelle_mm</t>
  </si>
  <si>
    <t xml:space="preserve">Abstand Fahrkorbschwelle – Schachtwand über 150 mm?</t>
  </si>
  <si>
    <t xml:space="preserve">Regelgrenze 150 mm (DIN EN 81-20 5.2.5.3.1: höchstens 0,15 m über die gesamte Schachthöhe). Nur bei Ja oder Unsicherheit messen; Messwert optional im Feld daneben.</t>
  </si>
  <si>
    <t xml:space="preserve">8.14m</t>
  </si>
  <si>
    <t xml:space="preserve">qk_abstand_schwelle_mm_wert</t>
  </si>
  <si>
    <t xml:space="preserve">Zahl 0 … 1500</t>
  </si>
  <si>
    <t xml:space="preserve">8.15</t>
  </si>
  <si>
    <t xml:space="preserve">qk_fk_tuer_verriegelt</t>
  </si>
  <si>
    <t xml:space="preserve">Fahrkorbtür-Verriegelung (Fahrkorbtür außerhalb der Entriegelungszone verriegelt)?</t>
  </si>
  <si>
    <t xml:space="preserve">MF-K05 (bedingt)</t>
  </si>
  <si>
    <t xml:space="preserve">Prüfen: Fahrkorb außerhalb der Entriegelungszone anhalten und versuchen, die Fahrkorbtür von innen aufzuschieben – sie darf sich nicht öffnen lassen.</t>
  </si>
  <si>
    <t xml:space="preserve">8.15a</t>
  </si>
  <si>
    <t xml:space="preserve">qk_schachttuer_zusatzverriegelung</t>
  </si>
  <si>
    <t xml:space="preserve">Zusatzverriegelung an den Schachttüren vorhanden?</t>
  </si>
  <si>
    <t xml:space="preserve">8.16</t>
  </si>
  <si>
    <t xml:space="preserve">qk_nennlast_gekennz</t>
  </si>
  <si>
    <t xml:space="preserve">Nennlast und zulässige Personenzahl im Fahrkorb gekennzeichnet?</t>
  </si>
  <si>
    <t xml:space="preserve">8.17</t>
  </si>
  <si>
    <t xml:space="preserve">qk_nutzflaeche_ok</t>
  </si>
  <si>
    <t xml:space="preserve">Nutzfläche des Fahrkorbs passt zur Nennlast (Tabelle EN 81-20 5.4.2)?</t>
  </si>
  <si>
    <t xml:space="preserve">8.18</t>
  </si>
  <si>
    <t xml:space="preserve">qk_ueberlast</t>
  </si>
  <si>
    <t xml:space="preserve">Überlastkontrolle / Lastmessung vorhanden?</t>
  </si>
  <si>
    <t xml:space="preserve">8.18a</t>
  </si>
  <si>
    <t xml:space="preserve">qk_ueberlast_geprueft</t>
  </si>
  <si>
    <t xml:space="preserve">Funktion der Überlastkontrolle nachweislich geprüft?</t>
  </si>
  <si>
    <t xml:space="preserve">[8.18 Überlastkontrolle / Lastmessung vorhanden?] = Ja</t>
  </si>
  <si>
    <t xml:space="preserve">MF-K06 (bedingt)</t>
  </si>
  <si>
    <t xml:space="preserve">8.19</t>
  </si>
  <si>
    <t xml:space="preserve">qk_lueftung</t>
  </si>
  <si>
    <t xml:space="preserve">Lüftung des Fahrkorbs</t>
  </si>
  <si>
    <t xml:space="preserve">• Lüftungsöffnungen ausreichend (≥ 1 % der Grundfläche) und frei (unauffällig)
• Lüftungsöffnungen teilweise verdeckt oder verschmutzt
• Keine Zwangsbelüftung bei langen Fahrzeiten / hoher Belegung
• Lüftungsöffnungen fehlen oder unzureichend</t>
  </si>
  <si>
    <t xml:space="preserve">8.20</t>
  </si>
  <si>
    <t xml:space="preserve">qk_hinweis_brandfall</t>
  </si>
  <si>
    <t xml:space="preserve">Hinweisschild „Aufzug im Brandfall nicht benutzen" an allen Haltestellen vorhanden und lesbar?</t>
  </si>
  <si>
    <t xml:space="preserve">8.21</t>
  </si>
  <si>
    <t xml:space="preserve">qk_bfs_vorhanden</t>
  </si>
  <si>
    <t xml:space="preserve">Brandfallsteuerung vorhanden?</t>
  </si>
  <si>
    <t xml:space="preserve">[4.11 Fordert das Brandschutzkonzept des Gebäudes eine Brandfallsteuerung?] = Ja</t>
  </si>
  <si>
    <t xml:space="preserve">Nur das Vorhandensein. Wie sie ausgelöst wird, steht unter 8.21b – bisher war beides in einer Frage, sodass die Maßnahme „Brandfallsteuerung nachrüsten" auch dann erschien, wenn nur die Einbindung fehlte (Prüfbericht 20.09.2026).</t>
  </si>
  <si>
    <t xml:space="preserve">8.21b</t>
  </si>
  <si>
    <t xml:space="preserve">qk_bfs_ausloesung</t>
  </si>
  <si>
    <t xml:space="preserve">Auslösung der Brandfallsteuerung</t>
  </si>
  <si>
    <t xml:space="preserve">• Automatisch über die Brandmeldeanlage des Gebäudes (unauffällig)
• Nur manuell (Schlüsselschalter, Taster, Feuerwehr)
• Einbindung in das Brandschutzkonzept unbekannt</t>
  </si>
  <si>
    <t xml:space="preserve">[8.21 Brandfallsteuerung vorhanden?] = Ja</t>
  </si>
  <si>
    <t xml:space="preserve">MF-K08 (bedingt)</t>
  </si>
  <si>
    <t xml:space="preserve">DIN EN 81-73: Die Brandfallsteuerung wird durch die Brandmeldeanlage ausgelöst. Eine nur manuelle Auslösung wirkt erst, wenn jemand vor Ort ist.</t>
  </si>
  <si>
    <t xml:space="preserve">8.21a</t>
  </si>
  <si>
    <t xml:space="preserve">qk_bfs_geprueft</t>
  </si>
  <si>
    <t xml:space="preserve">Funktion der Brandfallsteuerung regelmäßig geprüft (Nachweis der Wartung/Prüfung der Aufzugsanlage)?</t>
  </si>
  <si>
    <t xml:space="preserve">Funktionsprüfung der Aufzugs-Brandfallsteuerung. Die Wirk-Prinzip-Prüfung des Zusammenwirkens von Brandmeldeanlage und Aufzug (Gebäudeseite, Prüfverordnung der Länder) wird unter 15.8b erfasst.</t>
  </si>
  <si>
    <t xml:space="preserve">8.22</t>
  </si>
  <si>
    <t xml:space="preserve">qk_en8170</t>
  </si>
  <si>
    <t xml:space="preserve">Anlage nach DIN EN 81-70 barrierefrei ausgeführt?</t>
  </si>
  <si>
    <t xml:space="preserve">([4.9 Nutzung durch Personen mit eingeschränkter Mobilität (Rollstuhl, Rollator, Sehbehinderung) zu erwarten?] = Ja ODER [4.9a Barrierefreie Ausführung gefordert (Baugenehmigung, Nutzungskonzept, öffentlich zugängliches Gebäude)?] = Ja)</t>
  </si>
  <si>
    <t xml:space="preserve">8.23</t>
  </si>
  <si>
    <t xml:space="preserve">qk_bedienelemente</t>
  </si>
  <si>
    <t xml:space="preserve">Bedienelemente in erreichbarer Höhe und ertastbar?</t>
  </si>
  <si>
    <t xml:space="preserve">(([4.9 Nutzung durch Personen mit eingeschränkter Mobilität (Rollstuhl, Rollator, Sehbehinderung) zu erwarten?] = Ja ODER [4.9a Barrierefreie Ausführung gefordert (Baugenehmigung, Nutzungskonzept, öffentlich zugängliches Gebäude)?] = Ja) UND [8.22 Anlage nach DIN EN 81-70 barrierefrei ausgeführt?] = Nein)</t>
  </si>
  <si>
    <t xml:space="preserve">MF-K10 (bedingt)</t>
  </si>
  <si>
    <t xml:space="preserve">Teilaspekt von 8.22: nur zu prüfen, wenn die Anlage NICHT nach EN 81-70 ausgeführt ist (Prüfbericht 20.09.2026).</t>
  </si>
  <si>
    <t xml:space="preserve">8.24</t>
  </si>
  <si>
    <t xml:space="preserve">qk_rollstuhl_mass</t>
  </si>
  <si>
    <t xml:space="preserve">Fahrkorbabmessungen für Rollstuhlnutzung ausreichend (mind. 1,00 m × 1,25 m, Fahrkorbtyp 1 nach DIN EN 81-70:2022-12)?</t>
  </si>
  <si>
    <t xml:space="preserve">Teilaspekt von 8.22, nur bei nicht normgerechter Ausführung zu prüfen. Typ 1 nach DIN EN 81-70 ist das Mindestmaß für einen Rollstuhl ohne Begleitperson; fordert die Genehmigung einen größeren Typ (2 oder 3), gilt dieser.</t>
  </si>
  <si>
    <t xml:space="preserve">8.25</t>
  </si>
  <si>
    <t xml:space="preserve">qk_ausstattung</t>
  </si>
  <si>
    <t xml:space="preserve">Zustand der Fahrkorbausstattung</t>
  </si>
  <si>
    <t xml:space="preserve">• Unbeschädigt, keine Hinweise auf Vandalismus (unauffällig)
• Beschädigt ohne unmittelbare Gefährdung (Tableau, Spiegel, Verkleidung)
• Beschädigt mit unmittelbarer Gefährdung (freiliegende Elektrik, gebrochenes Glas, defekter Notruf)</t>
  </si>
  <si>
    <t xml:space="preserve">8.26</t>
  </si>
  <si>
    <t xml:space="preserve">qk_vandalismus_wiederholt</t>
  </si>
  <si>
    <t xml:space="preserve">Wiederholte Vandalismusschäden?</t>
  </si>
  <si>
    <t xml:space="preserve">8.26a</t>
  </si>
  <si>
    <t xml:space="preserve">qk_en8171</t>
  </si>
  <si>
    <t xml:space="preserve">Vandalismussichere Ausführung nach DIN EN 81-71?</t>
  </si>
  <si>
    <t xml:space="preserve">[8.26 Wiederholte Vandalismusschäden?] = Ja</t>
  </si>
  <si>
    <t xml:space="preserve">MF-K11 (bedingt)</t>
  </si>
  <si>
    <t xml:space="preserve">8.27</t>
  </si>
  <si>
    <t xml:space="preserve">qk_ucm_sr_modul</t>
  </si>
  <si>
    <t xml:space="preserve">Türüberbrückung (SR-Modul) für Nachregulieren / Voraböffnen mit offener Tür vorhanden?</t>
  </si>
  <si>
    <t xml:space="preserve">Bei Hydraulikaufzügen nicht gefragt: das Nachregulieren bei Druckverlust setzt die Türüberbrückung immer voraus (Entscheidung 02.09.2026, K-K12).</t>
  </si>
  <si>
    <t xml:space="preserve">8.28</t>
  </si>
  <si>
    <t xml:space="preserve">qk_schutz_aufwaerts</t>
  </si>
  <si>
    <t xml:space="preserve">Schutz gegen Übergeschwindigkeit aufwärts / Sturz nach oben</t>
  </si>
  <si>
    <t xml:space="preserve">• Aktive Maßnahme (Notbremssystem / SAFÜ auf Seil oder Treibscheibe)
• Passive Maßnahme (geringer Beschleunigungsweg, Gegengewichtsverhältnis)
• Nicht verhindert</t>
  </si>
  <si>
    <t xml:space="preserve">([3.1 Aufzugsart] ist eines von „Seil-/Riemenaufzug (Treibscheibe)" / „Trommel- oder Kettenaufzug" UND [3.1b Gegengewicht oder Ausgleichsgewicht vorhanden?] = Ja)</t>
  </si>
  <si>
    <t xml:space="preserve">MF-K13, MF-K14 (bedingt)</t>
  </si>
  <si>
    <t xml:space="preserve">Nur bei Treibscheiben- und Trommelantrieb mit Gegengewicht (MF-K13/MF-K14). Ein indirekter Hydraulikaufzug kann nicht durch Treibfähigkeitsverlust nach oben durchgehen (Prüfbericht 20.09.2026).</t>
  </si>
  <si>
    <t xml:space="preserve">16.1</t>
  </si>
  <si>
    <t xml:space="preserve">qsf_unterlagen</t>
  </si>
  <si>
    <t xml:space="preserve">Anforderungen und Unterlagen des Feuerwehraufzugs (EN 81-72, Brandschutzkonzept) vorhanden und erfüllt?</t>
  </si>
  <si>
    <t xml:space="preserve">[15.6 Feuerwehraufzug oder Aufzug mit Brandfall-Sonderbetrieb (EN 81-72 / EN 81-73 Evakuierung)?] = Ja</t>
  </si>
  <si>
    <t xml:space="preserve">16.2</t>
  </si>
  <si>
    <t xml:space="preserve">qsf_bma</t>
  </si>
  <si>
    <t xml:space="preserve">Brandmeldeanlage und Feuerwehraufzugsfunktion aufeinander abgestimmt?</t>
  </si>
  <si>
    <t xml:space="preserve">16.3</t>
  </si>
  <si>
    <t xml:space="preserve">qsf_druckbelueftung</t>
  </si>
  <si>
    <t xml:space="preserve">Druckbelüftungs-/Rauchschutzanlagen für Schacht und Vorräume vorhanden und geprüft?</t>
  </si>
  <si>
    <t xml:space="preserve">16.4</t>
  </si>
  <si>
    <t xml:space="preserve">qsf_loeschwasser</t>
  </si>
  <si>
    <t xml:space="preserve">Löschwasser-/Pumpeneinrichtungen mit Schnittstelle zum Aufzug berücksichtigt?</t>
  </si>
  <si>
    <t xml:space="preserve">16.5</t>
  </si>
  <si>
    <t xml:space="preserve">qsf_ersatzstrom</t>
  </si>
  <si>
    <t xml:space="preserve">Sicherheits-/Ersatzstromversorgung vorhanden und geprüft?</t>
  </si>
  <si>
    <t xml:space="preserve">16.6</t>
  </si>
  <si>
    <t xml:space="preserve">qsf_ersatzstrom_test</t>
  </si>
  <si>
    <t xml:space="preserve">Funktion des Aufzugs unter Ersatzstrombedingungen geprüft?</t>
  </si>
  <si>
    <t xml:space="preserve">16.7</t>
  </si>
  <si>
    <t xml:space="preserve">qsf_nachweise</t>
  </si>
  <si>
    <t xml:space="preserve">Erforderliche Prüfnachweise der Fremdgewerke verfügbar?</t>
  </si>
  <si>
    <t xml:space="preserve">16.8</t>
  </si>
  <si>
    <t xml:space="preserve">qsf_feuerwehr_doku</t>
  </si>
  <si>
    <t xml:space="preserve">Schnittstellen zur Feuerwehr / Brandschutzdienststelle dokumentiert (Feuerwehrplan, Schlüsseldepot)?</t>
  </si>
  <si>
    <t xml:space="preserve">16.9</t>
  </si>
  <si>
    <t xml:space="preserve">qsf_organisation</t>
  </si>
  <si>
    <t xml:space="preserve">Betreiberorganisation auf den Sonderbetrieb abgestimmt (Zuständigkeit, Unterweisung, Übungen)?</t>
  </si>
  <si>
    <t xml:space="preserve">16.10</t>
  </si>
  <si>
    <t xml:space="preserve">qsf_cyber</t>
  </si>
  <si>
    <t xml:space="preserve">Cyber-Auswirkungen auf die Feuerwehrfunktionen gesondert betrachtet?</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</si>
</sst>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
      <i val="true"/>
      <sz val="10"/>
      <color rgb="FF555555"/>
      <name val="Arial"/>
      <family val="0"/>
      <charset val="1"/>
    </font>
    <font>
      <sz val="10"/>
      <color rgb="FF808080"/>
      <name val="Arial"/>
      <family val="0"/>
      <charset val="1"/>
    </font>
  </fonts>
  <fills count="10">
    <fill>
      <patternFill patternType="none"/>
    </fill>
    <fill>
      <patternFill patternType="gray125"/>
    </fill>
    <fill>
      <patternFill patternType="solid">
        <fgColor rgb="FF1F3A5F"/>
        <bgColor rgb="FF333333"/>
      </patternFill>
    </fill>
    <fill>
      <patternFill patternType="solid">
        <fgColor rgb="FFDCE6F1"/>
        <bgColor rgb="FFD9EAD3"/>
      </patternFill>
    </fill>
    <fill>
      <patternFill patternType="solid">
        <fgColor rgb="FFFFF2CC"/>
        <bgColor rgb="FFFCE5CD"/>
      </patternFill>
    </fill>
    <fill>
      <patternFill patternType="solid">
        <fgColor rgb="FFD9EAD3"/>
        <bgColor rgb="FFDCE6F1"/>
      </patternFill>
    </fill>
    <fill>
      <patternFill patternType="solid">
        <fgColor rgb="FFEDEDED"/>
        <bgColor rgb="FFDCE6F1"/>
      </patternFill>
    </fill>
    <fill>
      <patternFill patternType="solid">
        <fgColor rgb="FFF4CCCC"/>
        <bgColor rgb="FFFAD7B5"/>
      </patternFill>
    </fill>
    <fill>
      <patternFill patternType="solid">
        <fgColor rgb="FFFCE5CD"/>
        <bgColor rgb="FFFFF2CC"/>
      </patternFill>
    </fill>
    <fill>
      <patternFill patternType="solid">
        <fgColor rgb="FFFAD7B5"/>
        <bgColor rgb="FFF4CCCC"/>
      </patternFill>
    </fill>
  </fills>
  <borders count="2">
    <border diagonalUp="false" diagonalDown="false">
      <left/>
      <right/>
      <top/>
      <bottom/>
      <diagonal/>
    </border>
    <border diagonalUp="false" diagonalDown="false">
      <left style="thin">
        <color rgb="FFC9D1DB"/>
      </left>
      <right style="thin">
        <color rgb="FFC9D1DB"/>
      </right>
      <top style="thin">
        <color rgb="FFC9D1DB"/>
      </top>
      <bottom style="thin">
        <color rgb="FFC9D1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fals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D9EAD3"/>
        </patternFill>
      </fill>
    </dxf>
    <dxf>
      <fill>
        <patternFill>
          <bgColor rgb="FFF4B6B6"/>
        </patternFill>
      </fill>
    </dxf>
    <dxf>
      <fill>
        <patternFill patternType="solid">
          <fgColor rgb="FF1F3A5F"/>
          <bgColor rgb="FF000000"/>
        </patternFill>
      </fill>
    </dxf>
    <dxf>
      <fill>
        <patternFill patternType="solid">
          <fgColor rgb="FFDCE6F1"/>
          <bgColor rgb="FF000000"/>
        </patternFill>
      </fill>
    </dxf>
    <dxf>
      <fill>
        <patternFill patternType="solid">
          <fgColor rgb="FFEDEDED"/>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FAD7B5"/>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4CCCC"/>
      <rgbColor rgb="FF808080"/>
      <rgbColor rgb="FF9999FF"/>
      <rgbColor rgb="FF993366"/>
      <rgbColor rgb="FFFFF2CC"/>
      <rgbColor rgb="FFDCE6F1"/>
      <rgbColor rgb="FF660066"/>
      <rgbColor rgb="FFFF8080"/>
      <rgbColor rgb="FF0066CC"/>
      <rgbColor rgb="FFC9D1DB"/>
      <rgbColor rgb="FF000080"/>
      <rgbColor rgb="FFFF00FF"/>
      <rgbColor rgb="FFFFFF00"/>
      <rgbColor rgb="FF00FFFF"/>
      <rgbColor rgb="FF800080"/>
      <rgbColor rgb="FF800000"/>
      <rgbColor rgb="FF008080"/>
      <rgbColor rgb="FF0000FF"/>
      <rgbColor rgb="FF00CCFF"/>
      <rgbColor rgb="FFEDEDED"/>
      <rgbColor rgb="FFD9EAD3"/>
      <rgbColor rgb="FFFCE5CD"/>
      <rgbColor rgb="FF99CCFF"/>
      <rgbColor rgb="FFF4B6B6"/>
      <rgbColor rgb="FFCC99FF"/>
      <rgbColor rgb="FFFAD7B5"/>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0</v>
      </c>
    </row>
    <row r="2" customFormat="false" ht="30" hidden="false" customHeight="true" outlineLevel="0" collapsed="false">
      <c r="A2" s="2" t="s">
        <v>1</v>
      </c>
    </row>
    <row r="3" customFormat="false" ht="15" hidden="false" customHeight="false" outlineLevel="0" collapsed="false">
      <c r="A3" s="2"/>
    </row>
    <row r="4" customFormat="false" ht="30" hidden="false" customHeight="true" outlineLevel="0" collapsed="false">
      <c r="A4" s="2" t="s">
        <v>2</v>
      </c>
    </row>
    <row r="5" customFormat="false" ht="43.5" hidden="false" customHeight="true" outlineLevel="0" collapsed="false">
      <c r="A5" s="2" t="s">
        <v>3</v>
      </c>
    </row>
    <row r="6" customFormat="false" ht="43.5" hidden="false" customHeight="true" outlineLevel="0" collapsed="false">
      <c r="A6" s="2" t="s">
        <v>4</v>
      </c>
    </row>
    <row r="7" customFormat="false" ht="43.5" hidden="false" customHeight="tru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43.5" hidden="false" customHeight="true" outlineLevel="0" collapsed="false">
      <c r="A10" s="2" t="s">
        <v>7</v>
      </c>
    </row>
    <row r="11" customFormat="false" ht="30" hidden="false" customHeight="true" outlineLevel="0" collapsed="false">
      <c r="A11" s="2" t="s">
        <v>8</v>
      </c>
    </row>
    <row r="12" customFormat="false" ht="30" hidden="false" customHeight="true" outlineLevel="0" collapsed="false">
      <c r="A12" s="2" t="s">
        <v>9</v>
      </c>
    </row>
    <row r="13" customFormat="false" ht="15.75" hidden="false" customHeight="true" outlineLevel="0" collapsed="false">
      <c r="A13" s="2" t="s">
        <v>10</v>
      </c>
    </row>
    <row r="14" customFormat="false" ht="30" hidden="false" customHeight="true" outlineLevel="0" collapsed="false">
      <c r="A14" s="2" t="s">
        <v>11</v>
      </c>
    </row>
    <row r="15" customFormat="false" ht="30" hidden="false" customHeight="tru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75" hidden="false" customHeight="true" outlineLevel="0" collapsed="false">
      <c r="A18" s="2" t="s">
        <v>14</v>
      </c>
    </row>
    <row r="19" customFormat="false" ht="15.75" hidden="false" customHeight="true" outlineLevel="0" collapsed="false">
      <c r="A19" s="2" t="s">
        <v>15</v>
      </c>
    </row>
    <row r="20" customFormat="false" ht="30" hidden="false" customHeight="true" outlineLevel="0" collapsed="false">
      <c r="A20" s="2" t="s">
        <v>16</v>
      </c>
    </row>
    <row r="21" customFormat="false" ht="30" hidden="false" customHeight="true" outlineLevel="0" collapsed="false">
      <c r="A21" s="2" t="s">
        <v>17</v>
      </c>
    </row>
    <row r="22" customFormat="false" ht="15.75" hidden="false" customHeight="true" outlineLevel="0" collapsed="false">
      <c r="A22" s="2" t="s">
        <v>18</v>
      </c>
    </row>
    <row r="23" customFormat="false" ht="30" hidden="false" customHeight="true" outlineLevel="0" collapsed="false">
      <c r="A23" s="2" t="s">
        <v>19</v>
      </c>
    </row>
    <row r="24" customFormat="false" ht="15" hidden="false" customHeight="false" outlineLevel="0" collapsed="false">
      <c r="A24" s="2"/>
    </row>
    <row r="25" customFormat="false" ht="30" hidden="false" customHeight="true" outlineLevel="0" collapsed="false">
      <c r="A25" s="2" t="s">
        <v>20</v>
      </c>
    </row>
    <row r="26" customFormat="false" ht="15" hidden="false" customHeight="false" outlineLevel="0" collapsed="false">
      <c r="A26" s="2"/>
    </row>
    <row r="27" customFormat="false" ht="43.5" hidden="false" customHeight="true" outlineLevel="0" collapsed="false">
      <c r="A27" s="2" t="s">
        <v>21</v>
      </c>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4" min="3" style="0" width="13"/>
    <col collapsed="false" customWidth="true" hidden="false" outlineLevel="0" max="5" min="5" style="0" width="12"/>
    <col collapsed="false" customWidth="true" hidden="false" outlineLevel="0" max="6" min="6" style="0" width="16"/>
    <col collapsed="false" customWidth="true" hidden="false" outlineLevel="0" max="7" min="7" style="0" width="13"/>
    <col collapsed="false" customWidth="true" hidden="false" outlineLevel="0" max="8" min="8" style="0" width="12"/>
    <col collapsed="false" customWidth="true" hidden="false" outlineLevel="0" max="10" min="9" style="0" width="10"/>
    <col collapsed="false" customWidth="true" hidden="false" outlineLevel="0" max="12" min="11" style="0" width="12"/>
    <col collapsed="false" customWidth="true" hidden="false" outlineLevel="0" max="13" min="13" style="0" width="14"/>
  </cols>
  <sheetData>
    <row r="1" customFormat="false" ht="23.85" hidden="false" customHeight="false" outlineLevel="0" collapsed="false">
      <c r="A1" s="4" t="s">
        <v>22</v>
      </c>
      <c r="B1" s="4" t="s">
        <v>23</v>
      </c>
      <c r="C1" s="4" t="s">
        <v>24</v>
      </c>
      <c r="D1" s="4" t="s">
        <v>25</v>
      </c>
      <c r="E1" s="4" t="s">
        <v>26</v>
      </c>
      <c r="F1" s="4" t="s">
        <v>27</v>
      </c>
      <c r="G1" s="4" t="s">
        <v>28</v>
      </c>
      <c r="H1" s="4" t="s">
        <v>29</v>
      </c>
      <c r="I1" s="4" t="s">
        <v>30</v>
      </c>
      <c r="J1" s="4" t="s">
        <v>31</v>
      </c>
      <c r="K1" s="4" t="s">
        <v>32</v>
      </c>
      <c r="L1" s="4" t="s">
        <v>33</v>
      </c>
      <c r="M1" s="4" t="s">
        <v>34</v>
      </c>
    </row>
    <row r="2" customFormat="false" ht="15" hidden="false" customHeight="false" outlineLevel="0" collapsed="false">
      <c r="A2" s="5" t="s">
        <v>35</v>
      </c>
      <c r="B2" s="5" t="s">
        <v>36</v>
      </c>
      <c r="C2" s="5" t="n">
        <v>9</v>
      </c>
      <c r="D2" s="5" t="n">
        <v>35</v>
      </c>
      <c r="E2" s="5" t="n">
        <v>9</v>
      </c>
      <c r="F2" s="5" t="n">
        <v>7</v>
      </c>
      <c r="G2" s="5" t="n">
        <f aca="false">COUNTIF('Z Zugang'!$L$2:$L$49,"?*")</f>
        <v>0</v>
      </c>
      <c r="H2" s="5" t="n">
        <f aca="false">COUNTIF('Z Zugang'!$L$2:$L$49,"Freigeben")</f>
        <v>0</v>
      </c>
      <c r="I2" s="5" t="n">
        <f aca="false">COUNTIF('Z Zugang'!$L$2:$L$49,"Ändern")</f>
        <v>0</v>
      </c>
      <c r="J2" s="5" t="n">
        <f aca="false">COUNTIF('Z Zugang'!$L$2:$L$49,"Streichen")</f>
        <v>0</v>
      </c>
      <c r="K2" s="6" t="n">
        <f aca="false">COUNTIFS('Z Zugang'!$J$2:$J$49,"Ändern",'Z Zugang'!$K$2:$K$49,"")+COUNTIFS('Z Zugang'!$J$2:$J$49,"Streichen",'Z Zugang'!$K$2:$K$49,"")</f>
        <v>0</v>
      </c>
      <c r="L2" s="7" t="n">
        <f aca="false">IF(D2=0,"",G2/D2)</f>
        <v>0</v>
      </c>
      <c r="M2" s="5" t="str">
        <f aca="false">IF(AND(H2=D2,K2=0),"ja","nein")</f>
        <v>nein</v>
      </c>
    </row>
    <row r="3" customFormat="false" ht="15" hidden="false" customHeight="false" outlineLevel="0" collapsed="false">
      <c r="A3" s="5" t="s">
        <v>37</v>
      </c>
      <c r="B3" s="5" t="s">
        <v>38</v>
      </c>
      <c r="C3" s="5" t="n">
        <v>20</v>
      </c>
      <c r="D3" s="5" t="n">
        <v>74</v>
      </c>
      <c r="E3" s="5" t="n">
        <v>20</v>
      </c>
      <c r="F3" s="5" t="n">
        <v>9</v>
      </c>
      <c r="G3" s="5" t="n">
        <f aca="false">COUNTIF('M Triebwerksraum'!$L$2:$L$98,"?*")</f>
        <v>0</v>
      </c>
      <c r="H3" s="5" t="n">
        <f aca="false">COUNTIF('M Triebwerksraum'!$L$2:$L$98,"Freigeben")</f>
        <v>0</v>
      </c>
      <c r="I3" s="5" t="n">
        <f aca="false">COUNTIF('M Triebwerksraum'!$L$2:$L$98,"Ändern")</f>
        <v>0</v>
      </c>
      <c r="J3" s="5" t="n">
        <f aca="false">COUNTIF('M Triebwerksraum'!$L$2:$L$98,"Streichen")</f>
        <v>0</v>
      </c>
      <c r="K3" s="6" t="n">
        <f aca="false">COUNTIFS('M Triebwerksraum'!$J$2:$J$98,"Ändern",'M Triebwerksraum'!$K$2:$K$98,"")+COUNTIFS('M Triebwerksraum'!$J$2:$J$98,"Streichen",'M Triebwerksraum'!$K$2:$K$98,"")</f>
        <v>0</v>
      </c>
      <c r="L3" s="7" t="n">
        <f aca="false">IF(D3=0,"",G3/D3)</f>
        <v>0</v>
      </c>
      <c r="M3" s="5" t="str">
        <f aca="false">IF(AND(H3=D3,K3=0),"ja","nein")</f>
        <v>nein</v>
      </c>
    </row>
    <row r="4" customFormat="false" ht="15" hidden="false" customHeight="false" outlineLevel="0" collapsed="false">
      <c r="A4" s="5" t="s">
        <v>39</v>
      </c>
      <c r="B4" s="5" t="s">
        <v>40</v>
      </c>
      <c r="C4" s="5" t="n">
        <v>6</v>
      </c>
      <c r="D4" s="5" t="n">
        <v>27</v>
      </c>
      <c r="E4" s="5" t="n">
        <v>6</v>
      </c>
      <c r="F4" s="5" t="n">
        <v>15</v>
      </c>
      <c r="G4" s="5" t="n">
        <f aca="false">COUNTIF('T Türen'!$L$2:$L$36,"?*")</f>
        <v>0</v>
      </c>
      <c r="H4" s="5" t="n">
        <f aca="false">COUNTIF('T Türen'!$L$2:$L$36,"Freigeben")</f>
        <v>0</v>
      </c>
      <c r="I4" s="5" t="n">
        <f aca="false">COUNTIF('T Türen'!$L$2:$L$36,"Ändern")</f>
        <v>0</v>
      </c>
      <c r="J4" s="5" t="n">
        <f aca="false">COUNTIF('T Türen'!$L$2:$L$36,"Streichen")</f>
        <v>0</v>
      </c>
      <c r="K4" s="6" t="n">
        <f aca="false">COUNTIFS('T Türen'!$J$2:$J$36,"Ändern",'T Türen'!$K$2:$K$36,"")+COUNTIFS('T Türen'!$J$2:$J$36,"Streichen",'T Türen'!$K$2:$K$36,"")</f>
        <v>0</v>
      </c>
      <c r="L4" s="7" t="n">
        <f aca="false">IF(D4=0,"",G4/D4)</f>
        <v>0</v>
      </c>
      <c r="M4" s="5" t="str">
        <f aca="false">IF(AND(H4=D4,K4=0),"ja","nein")</f>
        <v>nein</v>
      </c>
    </row>
    <row r="5" customFormat="false" ht="15" hidden="false" customHeight="false" outlineLevel="0" collapsed="false">
      <c r="A5" s="5" t="s">
        <v>41</v>
      </c>
      <c r="B5" s="5" t="s">
        <v>42</v>
      </c>
      <c r="C5" s="5" t="n">
        <v>14</v>
      </c>
      <c r="D5" s="5" t="n">
        <v>54</v>
      </c>
      <c r="E5" s="5" t="n">
        <v>14</v>
      </c>
      <c r="F5" s="5" t="n">
        <v>19</v>
      </c>
      <c r="G5" s="5" t="n">
        <f aca="false">COUNTIF('K Fahrkorb'!$L$2:$L$70,"?*")</f>
        <v>0</v>
      </c>
      <c r="H5" s="5" t="n">
        <f aca="false">COUNTIF('K Fahrkorb'!$L$2:$L$70,"Freigeben")</f>
        <v>0</v>
      </c>
      <c r="I5" s="5" t="n">
        <f aca="false">COUNTIF('K Fahrkorb'!$L$2:$L$70,"Ändern")</f>
        <v>0</v>
      </c>
      <c r="J5" s="5" t="n">
        <f aca="false">COUNTIF('K Fahrkorb'!$L$2:$L$70,"Streichen")</f>
        <v>0</v>
      </c>
      <c r="K5" s="6" t="n">
        <f aca="false">COUNTIFS('K Fahrkorb'!$J$2:$J$70,"Ändern",'K Fahrkorb'!$K$2:$K$70,"")+COUNTIFS('K Fahrkorb'!$J$2:$J$70,"Streichen",'K Fahrkorb'!$K$2:$K$70,"")</f>
        <v>0</v>
      </c>
      <c r="L5" s="7" t="n">
        <f aca="false">IF(D5=0,"",G5/D5)</f>
        <v>0</v>
      </c>
      <c r="M5" s="5" t="str">
        <f aca="false">IF(AND(H5=D5,K5=0),"ja","nein")</f>
        <v>nein</v>
      </c>
    </row>
    <row r="6" customFormat="false" ht="15" hidden="false" customHeight="false" outlineLevel="0" collapsed="false">
      <c r="A6" s="5" t="s">
        <v>43</v>
      </c>
      <c r="B6" s="5" t="s">
        <v>44</v>
      </c>
      <c r="C6" s="5" t="n">
        <v>9</v>
      </c>
      <c r="D6" s="5" t="n">
        <v>34</v>
      </c>
      <c r="E6" s="5" t="n">
        <v>9</v>
      </c>
      <c r="F6" s="5" t="n">
        <v>15</v>
      </c>
      <c r="G6" s="5" t="n">
        <f aca="false">COUNTIF('F Fahrkorbdach'!$L$2:$L$47,"?*")</f>
        <v>0</v>
      </c>
      <c r="H6" s="5" t="n">
        <f aca="false">COUNTIF('F Fahrkorbdach'!$L$2:$L$47,"Freigeben")</f>
        <v>0</v>
      </c>
      <c r="I6" s="5" t="n">
        <f aca="false">COUNTIF('F Fahrkorbdach'!$L$2:$L$47,"Ändern")</f>
        <v>0</v>
      </c>
      <c r="J6" s="5" t="n">
        <f aca="false">COUNTIF('F Fahrkorbdach'!$L$2:$L$47,"Streichen")</f>
        <v>0</v>
      </c>
      <c r="K6" s="6" t="n">
        <f aca="false">COUNTIFS('F Fahrkorbdach'!$J$2:$J$47,"Ändern",'F Fahrkorbdach'!$K$2:$K$47,"")+COUNTIFS('F Fahrkorbdach'!$J$2:$J$47,"Streichen",'F Fahrkorbdach'!$K$2:$K$47,"")</f>
        <v>0</v>
      </c>
      <c r="L6" s="7" t="n">
        <f aca="false">IF(D6=0,"",G6/D6)</f>
        <v>0</v>
      </c>
      <c r="M6" s="5" t="str">
        <f aca="false">IF(AND(H6=D6,K6=0),"ja","nein")</f>
        <v>nein</v>
      </c>
    </row>
    <row r="7" customFormat="false" ht="15" hidden="false" customHeight="false" outlineLevel="0" collapsed="false">
      <c r="A7" s="5" t="s">
        <v>45</v>
      </c>
      <c r="B7" s="5" t="s">
        <v>46</v>
      </c>
      <c r="C7" s="5" t="n">
        <v>7</v>
      </c>
      <c r="D7" s="5" t="n">
        <v>25</v>
      </c>
      <c r="E7" s="5" t="n">
        <v>7</v>
      </c>
      <c r="F7" s="5" t="n">
        <v>4</v>
      </c>
      <c r="G7" s="5" t="n">
        <f aca="false">COUNTIF('S Schacht'!$L$2:$L$35,"?*")</f>
        <v>0</v>
      </c>
      <c r="H7" s="5" t="n">
        <f aca="false">COUNTIF('S Schacht'!$L$2:$L$35,"Freigeben")</f>
        <v>0</v>
      </c>
      <c r="I7" s="5" t="n">
        <f aca="false">COUNTIF('S Schacht'!$L$2:$L$35,"Ändern")</f>
        <v>0</v>
      </c>
      <c r="J7" s="5" t="n">
        <f aca="false">COUNTIF('S Schacht'!$L$2:$L$35,"Streichen")</f>
        <v>0</v>
      </c>
      <c r="K7" s="6" t="n">
        <f aca="false">COUNTIFS('S Schacht'!$J$2:$J$35,"Ändern",'S Schacht'!$K$2:$K$35,"")+COUNTIFS('S Schacht'!$J$2:$J$35,"Streichen",'S Schacht'!$K$2:$K$35,"")</f>
        <v>0</v>
      </c>
      <c r="L7" s="7" t="n">
        <f aca="false">IF(D7=0,"",G7/D7)</f>
        <v>0</v>
      </c>
      <c r="M7" s="5" t="str">
        <f aca="false">IF(AND(H7=D7,K7=0),"ja","nein")</f>
        <v>nein</v>
      </c>
    </row>
    <row r="8" customFormat="false" ht="15" hidden="false" customHeight="false" outlineLevel="0" collapsed="false">
      <c r="A8" s="5" t="s">
        <v>47</v>
      </c>
      <c r="B8" s="5" t="s">
        <v>48</v>
      </c>
      <c r="C8" s="5" t="n">
        <v>8</v>
      </c>
      <c r="D8" s="5" t="n">
        <v>34</v>
      </c>
      <c r="E8" s="5" t="n">
        <v>8</v>
      </c>
      <c r="F8" s="5" t="n">
        <v>10</v>
      </c>
      <c r="G8" s="5" t="n">
        <f aca="false">COUNTIF('G Schachtgrube'!$L$2:$L$46,"?*")</f>
        <v>0</v>
      </c>
      <c r="H8" s="5" t="n">
        <f aca="false">COUNTIF('G Schachtgrube'!$L$2:$L$46,"Freigeben")</f>
        <v>0</v>
      </c>
      <c r="I8" s="5" t="n">
        <f aca="false">COUNTIF('G Schachtgrube'!$L$2:$L$46,"Ändern")</f>
        <v>0</v>
      </c>
      <c r="J8" s="5" t="n">
        <f aca="false">COUNTIF('G Schachtgrube'!$L$2:$L$46,"Streichen")</f>
        <v>0</v>
      </c>
      <c r="K8" s="6" t="n">
        <f aca="false">COUNTIFS('G Schachtgrube'!$J$2:$J$46,"Ändern",'G Schachtgrube'!$K$2:$K$46,"")+COUNTIFS('G Schachtgrube'!$J$2:$J$46,"Streichen",'G Schachtgrube'!$K$2:$K$46,"")</f>
        <v>0</v>
      </c>
      <c r="L8" s="7" t="n">
        <f aca="false">IF(D8=0,"",G8/D8)</f>
        <v>0</v>
      </c>
      <c r="M8" s="5" t="str">
        <f aca="false">IF(AND(H8=D8,K8=0),"ja","nein")</f>
        <v>nein</v>
      </c>
    </row>
    <row r="9" customFormat="false" ht="15" hidden="false" customHeight="false" outlineLevel="0" collapsed="false">
      <c r="A9" s="5" t="s">
        <v>49</v>
      </c>
      <c r="B9" s="5" t="s">
        <v>50</v>
      </c>
      <c r="C9" s="5" t="n">
        <v>15</v>
      </c>
      <c r="D9" s="5" t="n">
        <v>54</v>
      </c>
      <c r="E9" s="5" t="n">
        <v>15</v>
      </c>
      <c r="F9" s="5" t="n">
        <v>33</v>
      </c>
      <c r="G9" s="5" t="n">
        <f aca="false">COUNTIF('U Umfeld'!$L$2:$L$75,"?*")</f>
        <v>0</v>
      </c>
      <c r="H9" s="5" t="n">
        <f aca="false">COUNTIF('U Umfeld'!$L$2:$L$75,"Freigeben")</f>
        <v>0</v>
      </c>
      <c r="I9" s="5" t="n">
        <f aca="false">COUNTIF('U Umfeld'!$L$2:$L$75,"Ändern")</f>
        <v>0</v>
      </c>
      <c r="J9" s="5" t="n">
        <f aca="false">COUNTIF('U Umfeld'!$L$2:$L$75,"Streichen")</f>
        <v>0</v>
      </c>
      <c r="K9" s="6" t="n">
        <f aca="false">COUNTIFS('U Umfeld'!$J$2:$J$75,"Ändern",'U Umfeld'!$K$2:$K$75,"")+COUNTIFS('U Umfeld'!$J$2:$J$75,"Streichen",'U Umfeld'!$K$2:$K$75,"")</f>
        <v>0</v>
      </c>
      <c r="L9" s="7" t="n">
        <f aca="false">IF(D9=0,"",G9/D9)</f>
        <v>0</v>
      </c>
      <c r="M9" s="5" t="str">
        <f aca="false">IF(AND(H9=D9,K9=0),"ja","nein")</f>
        <v>nein</v>
      </c>
    </row>
    <row r="10" customFormat="false" ht="15" hidden="false" customHeight="false" outlineLevel="0" collapsed="false">
      <c r="A10" s="5" t="s">
        <v>51</v>
      </c>
      <c r="B10" s="5" t="s">
        <v>52</v>
      </c>
      <c r="C10" s="5" t="n">
        <v>1</v>
      </c>
      <c r="D10" s="5" t="n">
        <v>1</v>
      </c>
      <c r="E10" s="5" t="n">
        <v>1</v>
      </c>
      <c r="F10" s="5" t="n">
        <v>0</v>
      </c>
      <c r="G10" s="5" t="n">
        <f aca="false">COUNTIF('SF Sonderfunktionen'!$L$2:$L$13,"?*")</f>
        <v>0</v>
      </c>
      <c r="H10" s="5" t="n">
        <f aca="false">COUNTIF('SF Sonderfunktionen'!$L$2:$L$13,"Freigeben")</f>
        <v>0</v>
      </c>
      <c r="I10" s="5" t="n">
        <f aca="false">COUNTIF('SF Sonderfunktionen'!$L$2:$L$13,"Ändern")</f>
        <v>0</v>
      </c>
      <c r="J10" s="5" t="n">
        <f aca="false">COUNTIF('SF Sonderfunktionen'!$L$2:$L$13,"Streichen")</f>
        <v>0</v>
      </c>
      <c r="K10" s="6" t="n">
        <f aca="false">COUNTIFS('SF Sonderfunktionen'!$J$2:$J$13,"Ändern",'SF Sonderfunktionen'!$K$2:$K$13,"")+COUNTIFS('SF Sonderfunktionen'!$J$2:$J$13,"Streichen",'SF Sonderfunktionen'!$K$2:$K$13,"")</f>
        <v>0</v>
      </c>
      <c r="L10" s="7" t="n">
        <f aca="false">IF(D10=0,"",G10/D10)</f>
        <v>0</v>
      </c>
      <c r="M10" s="5" t="str">
        <f aca="false">IF(AND(H10=D10,K10=0),"ja","nein")</f>
        <v>nein</v>
      </c>
    </row>
    <row r="11" customFormat="false" ht="15" hidden="false" customHeight="false" outlineLevel="0" collapsed="false">
      <c r="A11" s="5" t="s">
        <v>53</v>
      </c>
      <c r="B11" s="5" t="s">
        <v>54</v>
      </c>
      <c r="C11" s="5" t="n">
        <v>6</v>
      </c>
      <c r="D11" s="5" t="n">
        <v>16</v>
      </c>
      <c r="E11" s="5" t="n">
        <v>5</v>
      </c>
      <c r="F11" s="5" t="n">
        <v>8</v>
      </c>
      <c r="G11" s="5" t="n">
        <f aca="false">COUNTIF('D Unterlagen'!$L$2:$L$31,"?*")</f>
        <v>0</v>
      </c>
      <c r="H11" s="5" t="n">
        <f aca="false">COUNTIF('D Unterlagen'!$L$2:$L$31,"Freigeben")</f>
        <v>0</v>
      </c>
      <c r="I11" s="5" t="n">
        <f aca="false">COUNTIF('D Unterlagen'!$L$2:$L$31,"Ändern")</f>
        <v>0</v>
      </c>
      <c r="J11" s="5" t="n">
        <f aca="false">COUNTIF('D Unterlagen'!$L$2:$L$31,"Streichen")</f>
        <v>0</v>
      </c>
      <c r="K11" s="6" t="n">
        <f aca="false">COUNTIFS('D Unterlagen'!$J$2:$J$31,"Ändern",'D Unterlagen'!$K$2:$K$31,"")+COUNTIFS('D Unterlagen'!$J$2:$J$31,"Streichen",'D Unterlagen'!$K$2:$K$31,"")</f>
        <v>0</v>
      </c>
      <c r="L11" s="7" t="n">
        <f aca="false">IF(D11=0,"",G11/D11)</f>
        <v>0</v>
      </c>
      <c r="M11" s="5" t="str">
        <f aca="false">IF(AND(H11=D11,K11=0),"ja","nein")</f>
        <v>nein</v>
      </c>
    </row>
    <row r="12" customFormat="false" ht="15" hidden="false" customHeight="false" outlineLevel="0" collapsed="false">
      <c r="A12" s="8" t="s">
        <v>55</v>
      </c>
      <c r="C12" s="9" t="n">
        <f aca="false">SUM(C2:C11)</f>
        <v>95</v>
      </c>
      <c r="D12" s="9" t="n">
        <f aca="false">SUM(D2:D11)</f>
        <v>354</v>
      </c>
      <c r="E12" s="9" t="n">
        <f aca="false">SUM(E2:E11)</f>
        <v>94</v>
      </c>
      <c r="F12" s="9" t="n">
        <f aca="false">SUM(F2:F11)</f>
        <v>120</v>
      </c>
      <c r="G12" s="9" t="n">
        <f aca="false">SUM(G2:G11)</f>
        <v>0</v>
      </c>
      <c r="H12" s="9" t="n">
        <f aca="false">SUM(H2:H11)</f>
        <v>0</v>
      </c>
      <c r="I12" s="9" t="n">
        <f aca="false">SUM(I2:I11)</f>
        <v>0</v>
      </c>
      <c r="J12" s="9" t="n">
        <f aca="false">SUM(J2:J11)</f>
        <v>0</v>
      </c>
      <c r="K12" s="9" t="n">
        <f aca="false">SUM(K2:K11)</f>
        <v>0</v>
      </c>
      <c r="L12" s="10" t="n">
        <f aca="false">IF(D12=0,"",G12/D12)</f>
        <v>0</v>
      </c>
      <c r="M12" s="11" t="str">
        <f aca="false">IF(AND(H12=D12,K12=0),"ja","nein")</f>
        <v>nein</v>
      </c>
    </row>
    <row r="14" customFormat="false" ht="15" hidden="false" customHeight="false" outlineLevel="0" collapsed="false">
      <c r="A14" s="12" t="s">
        <v>56</v>
      </c>
    </row>
  </sheetData>
  <sheetProtection sheet="true" formatColumns="false" formatRows="false" sort="false" autoFilter="false"/>
  <conditionalFormatting sqref="M2:M12">
    <cfRule type="expression" priority="2" aboveAverage="0" equalAverage="0" bottom="0" percent="0" rank="0" text="" dxfId="0">
      <formula>M2="ja"</formula>
    </cfRule>
  </conditionalFormatting>
  <conditionalFormatting sqref="K2:K12">
    <cfRule type="expression" priority="3" aboveAverage="0" equalAverage="0" bottom="0" percent="0" rank="0" text="" dxfId="1">
      <formula>K2&gt;0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22"/>
    <col collapsed="false" customWidth="true" hidden="false" outlineLevel="0" max="4" min="4" style="0" width="16"/>
    <col collapsed="false" customWidth="true" hidden="false" outlineLevel="0" max="6" min="5" style="0" width="60"/>
    <col collapsed="false" customWidth="true" hidden="false" outlineLevel="0" max="7" min="7" style="0" width="12"/>
    <col collapsed="false" customWidth="true" hidden="false" outlineLevel="0" max="8" min="8" style="0" width="16"/>
    <col collapsed="false" customWidth="true" hidden="false" outlineLevel="0" max="9" min="9" style="0" width="40"/>
  </cols>
  <sheetData>
    <row r="1" customFormat="false" ht="23.85" hidden="false" customHeight="false" outlineLevel="0" collapsed="false">
      <c r="A1" s="4" t="s">
        <v>57</v>
      </c>
      <c r="B1" s="4" t="s">
        <v>58</v>
      </c>
      <c r="C1" s="4" t="s">
        <v>59</v>
      </c>
      <c r="D1" s="4" t="s">
        <v>60</v>
      </c>
      <c r="E1" s="4" t="s">
        <v>61</v>
      </c>
      <c r="F1" s="4" t="s">
        <v>62</v>
      </c>
      <c r="G1" s="4" t="s">
        <v>63</v>
      </c>
      <c r="H1" s="4" t="s">
        <v>64</v>
      </c>
      <c r="I1" s="4" t="s">
        <v>65</v>
      </c>
    </row>
    <row r="2" customFormat="false" ht="15" hidden="false" customHeight="false" outlineLevel="0" collapsed="false">
      <c r="A2" s="13" t="s">
        <v>66</v>
      </c>
      <c r="B2" s="13"/>
      <c r="C2" s="13"/>
      <c r="D2" s="13"/>
      <c r="E2" s="13"/>
      <c r="F2" s="13"/>
      <c r="G2" s="13"/>
      <c r="H2" s="13"/>
      <c r="I2" s="13"/>
    </row>
    <row r="3" customFormat="false" ht="70.5" hidden="false" customHeight="true" outlineLevel="0" collapsed="false">
      <c r="A3" s="14" t="s">
        <v>67</v>
      </c>
      <c r="B3" s="5" t="s">
        <v>68</v>
      </c>
      <c r="C3" s="5" t="s">
        <v>69</v>
      </c>
      <c r="D3" s="15" t="s">
        <v>70</v>
      </c>
      <c r="E3" s="5" t="s">
        <v>71</v>
      </c>
      <c r="F3" s="5" t="s">
        <v>72</v>
      </c>
      <c r="G3" s="5"/>
      <c r="H3" s="5"/>
      <c r="I3" s="5"/>
    </row>
    <row r="4" customFormat="false" ht="30" hidden="false" customHeight="true" outlineLevel="0" collapsed="false">
      <c r="A4" s="14" t="s">
        <v>73</v>
      </c>
      <c r="B4" s="5" t="s">
        <v>68</v>
      </c>
      <c r="C4" s="5" t="s">
        <v>74</v>
      </c>
      <c r="D4" s="16" t="s">
        <v>75</v>
      </c>
      <c r="E4" s="5" t="s">
        <v>76</v>
      </c>
      <c r="F4" s="5" t="s">
        <v>77</v>
      </c>
      <c r="G4" s="5"/>
      <c r="H4" s="5"/>
      <c r="I4" s="5"/>
    </row>
    <row r="5" customFormat="false" ht="30" hidden="false" customHeight="true" outlineLevel="0" collapsed="false">
      <c r="A5" s="14" t="s">
        <v>78</v>
      </c>
      <c r="B5" s="5" t="s">
        <v>68</v>
      </c>
      <c r="C5" s="5" t="s">
        <v>79</v>
      </c>
      <c r="D5" s="16" t="s">
        <v>75</v>
      </c>
      <c r="E5" s="5" t="s">
        <v>80</v>
      </c>
      <c r="F5" s="5" t="s">
        <v>81</v>
      </c>
      <c r="G5" s="5"/>
      <c r="H5" s="5"/>
      <c r="I5" s="5"/>
    </row>
    <row r="6" customFormat="false" ht="43.5" hidden="false" customHeight="true" outlineLevel="0" collapsed="false">
      <c r="A6" s="14" t="s">
        <v>82</v>
      </c>
      <c r="B6" s="5" t="s">
        <v>68</v>
      </c>
      <c r="C6" s="5" t="s">
        <v>83</v>
      </c>
      <c r="D6" s="16" t="s">
        <v>75</v>
      </c>
      <c r="E6" s="5" t="s">
        <v>84</v>
      </c>
      <c r="F6" s="5" t="s">
        <v>85</v>
      </c>
      <c r="G6" s="5"/>
      <c r="H6" s="5"/>
      <c r="I6" s="5"/>
    </row>
    <row r="7" customFormat="false" ht="43.5" hidden="false" customHeight="true" outlineLevel="0" collapsed="false">
      <c r="A7" s="14" t="s">
        <v>86</v>
      </c>
      <c r="B7" s="5" t="s">
        <v>68</v>
      </c>
      <c r="C7" s="5" t="s">
        <v>87</v>
      </c>
      <c r="D7" s="16" t="s">
        <v>75</v>
      </c>
      <c r="E7" s="5" t="s">
        <v>88</v>
      </c>
      <c r="F7" s="5" t="s">
        <v>89</v>
      </c>
      <c r="G7" s="5"/>
      <c r="H7" s="5"/>
      <c r="I7" s="5"/>
    </row>
    <row r="8" customFormat="false" ht="30" hidden="false" customHeight="true" outlineLevel="0" collapsed="false">
      <c r="A8" s="14" t="s">
        <v>90</v>
      </c>
      <c r="B8" s="5" t="s">
        <v>68</v>
      </c>
      <c r="C8" s="5" t="s">
        <v>91</v>
      </c>
      <c r="D8" s="16" t="s">
        <v>75</v>
      </c>
      <c r="E8" s="5" t="s">
        <v>92</v>
      </c>
      <c r="F8" s="5" t="s">
        <v>93</v>
      </c>
      <c r="G8" s="5"/>
      <c r="H8" s="5"/>
      <c r="I8" s="5"/>
    </row>
    <row r="9" customFormat="false" ht="30" hidden="false" customHeight="true" outlineLevel="0" collapsed="false">
      <c r="A9" s="14" t="s">
        <v>94</v>
      </c>
      <c r="B9" s="5" t="s">
        <v>68</v>
      </c>
      <c r="C9" s="5" t="s">
        <v>95</v>
      </c>
      <c r="D9" s="16" t="s">
        <v>75</v>
      </c>
      <c r="E9" s="5" t="s">
        <v>96</v>
      </c>
      <c r="F9" s="5" t="s">
        <v>97</v>
      </c>
      <c r="G9" s="5"/>
      <c r="H9" s="5"/>
      <c r="I9" s="5"/>
    </row>
    <row r="10" customFormat="false" ht="43.5" hidden="false" customHeight="true" outlineLevel="0" collapsed="false">
      <c r="A10" s="14" t="s">
        <v>98</v>
      </c>
      <c r="B10" s="5" t="s">
        <v>68</v>
      </c>
      <c r="C10" s="5" t="s">
        <v>99</v>
      </c>
      <c r="D10" s="15" t="s">
        <v>70</v>
      </c>
      <c r="E10" s="5" t="s">
        <v>100</v>
      </c>
      <c r="F10" s="5" t="s">
        <v>101</v>
      </c>
      <c r="G10" s="5"/>
      <c r="H10" s="5"/>
      <c r="I10" s="5"/>
    </row>
    <row r="11" customFormat="false" ht="57" hidden="false" customHeight="true" outlineLevel="0" collapsed="false">
      <c r="A11" s="14" t="s">
        <v>102</v>
      </c>
      <c r="B11" s="5" t="s">
        <v>68</v>
      </c>
      <c r="C11" s="5" t="s">
        <v>103</v>
      </c>
      <c r="D11" s="17" t="s">
        <v>104</v>
      </c>
      <c r="E11" s="5" t="s">
        <v>105</v>
      </c>
      <c r="F11" s="5" t="s">
        <v>106</v>
      </c>
      <c r="G11" s="5"/>
      <c r="H11" s="5"/>
      <c r="I11" s="5"/>
    </row>
    <row r="12" customFormat="false" ht="43.5" hidden="false" customHeight="true" outlineLevel="0" collapsed="false">
      <c r="A12" s="14" t="s">
        <v>107</v>
      </c>
      <c r="B12" s="5" t="s">
        <v>68</v>
      </c>
      <c r="C12" s="5" t="s">
        <v>108</v>
      </c>
      <c r="D12" s="15" t="s">
        <v>70</v>
      </c>
      <c r="E12" s="5" t="s">
        <v>109</v>
      </c>
      <c r="F12" s="5" t="s">
        <v>110</v>
      </c>
      <c r="G12" s="5"/>
      <c r="H12" s="5"/>
      <c r="I12" s="5"/>
    </row>
    <row r="13" customFormat="false" ht="30" hidden="false" customHeight="true" outlineLevel="0" collapsed="false">
      <c r="A13" s="14" t="s">
        <v>111</v>
      </c>
      <c r="B13" s="5" t="s">
        <v>68</v>
      </c>
      <c r="C13" s="5" t="s">
        <v>112</v>
      </c>
      <c r="D13" s="16" t="s">
        <v>75</v>
      </c>
      <c r="E13" s="5" t="s">
        <v>113</v>
      </c>
      <c r="F13" s="5" t="s">
        <v>114</v>
      </c>
      <c r="G13" s="5"/>
      <c r="H13" s="5"/>
      <c r="I13" s="5"/>
    </row>
    <row r="14" customFormat="false" ht="30" hidden="false" customHeight="true" outlineLevel="0" collapsed="false">
      <c r="A14" s="14" t="s">
        <v>115</v>
      </c>
      <c r="B14" s="5" t="s">
        <v>68</v>
      </c>
      <c r="C14" s="5" t="s">
        <v>116</v>
      </c>
      <c r="D14" s="16" t="s">
        <v>75</v>
      </c>
      <c r="E14" s="5" t="s">
        <v>117</v>
      </c>
      <c r="F14" s="5" t="s">
        <v>118</v>
      </c>
      <c r="G14" s="5"/>
      <c r="H14" s="5"/>
      <c r="I14" s="5"/>
    </row>
    <row r="15" customFormat="false" ht="30" hidden="false" customHeight="true" outlineLevel="0" collapsed="false">
      <c r="A15" s="14" t="s">
        <v>119</v>
      </c>
      <c r="B15" s="5" t="s">
        <v>68</v>
      </c>
      <c r="C15" s="5" t="s">
        <v>120</v>
      </c>
      <c r="D15" s="16" t="s">
        <v>75</v>
      </c>
      <c r="E15" s="5" t="s">
        <v>121</v>
      </c>
      <c r="F15" s="5" t="s">
        <v>122</v>
      </c>
      <c r="G15" s="5"/>
      <c r="H15" s="5"/>
      <c r="I15" s="5"/>
    </row>
    <row r="16" customFormat="false" ht="57" hidden="false" customHeight="true" outlineLevel="0" collapsed="false">
      <c r="A16" s="14" t="s">
        <v>123</v>
      </c>
      <c r="B16" s="5" t="s">
        <v>68</v>
      </c>
      <c r="C16" s="5" t="s">
        <v>124</v>
      </c>
      <c r="D16" s="15" t="s">
        <v>70</v>
      </c>
      <c r="E16" s="5" t="s">
        <v>125</v>
      </c>
      <c r="F16" s="5" t="s">
        <v>126</v>
      </c>
      <c r="G16" s="5"/>
      <c r="H16" s="5"/>
      <c r="I16" s="5"/>
    </row>
    <row r="17" customFormat="false" ht="43.5" hidden="false" customHeight="true" outlineLevel="0" collapsed="false">
      <c r="A17" s="14" t="s">
        <v>127</v>
      </c>
      <c r="B17" s="5" t="s">
        <v>128</v>
      </c>
      <c r="C17" s="5" t="s">
        <v>129</v>
      </c>
      <c r="D17" s="17" t="s">
        <v>130</v>
      </c>
      <c r="E17" s="5" t="s">
        <v>131</v>
      </c>
      <c r="F17" s="5" t="s">
        <v>132</v>
      </c>
      <c r="G17" s="5"/>
      <c r="H17" s="5"/>
      <c r="I17" s="5"/>
    </row>
    <row r="18" customFormat="false" ht="16.5" hidden="false" customHeight="true" outlineLevel="0" collapsed="false">
      <c r="A18" s="14" t="s">
        <v>133</v>
      </c>
      <c r="B18" s="5" t="s">
        <v>128</v>
      </c>
      <c r="C18" s="5" t="s">
        <v>134</v>
      </c>
      <c r="D18" s="17" t="s">
        <v>104</v>
      </c>
      <c r="E18" s="5" t="s">
        <v>135</v>
      </c>
      <c r="F18" s="5" t="s">
        <v>136</v>
      </c>
      <c r="G18" s="5"/>
      <c r="H18" s="5"/>
      <c r="I18" s="5"/>
    </row>
    <row r="19" customFormat="false" ht="43.5" hidden="false" customHeight="true" outlineLevel="0" collapsed="false">
      <c r="A19" s="14" t="s">
        <v>137</v>
      </c>
      <c r="B19" s="5" t="s">
        <v>128</v>
      </c>
      <c r="C19" s="5" t="s">
        <v>138</v>
      </c>
      <c r="D19" s="15" t="s">
        <v>70</v>
      </c>
      <c r="E19" s="5" t="s">
        <v>139</v>
      </c>
      <c r="F19" s="5" t="s">
        <v>140</v>
      </c>
      <c r="G19" s="5"/>
      <c r="H19" s="5"/>
      <c r="I19" s="5"/>
    </row>
    <row r="20" customFormat="false" ht="30" hidden="false" customHeight="true" outlineLevel="0" collapsed="false">
      <c r="A20" s="14" t="s">
        <v>141</v>
      </c>
      <c r="B20" s="5" t="s">
        <v>128</v>
      </c>
      <c r="C20" s="5" t="s">
        <v>142</v>
      </c>
      <c r="D20" s="17" t="s">
        <v>104</v>
      </c>
      <c r="E20" s="5" t="s">
        <v>143</v>
      </c>
      <c r="F20" s="5" t="s">
        <v>144</v>
      </c>
      <c r="G20" s="5"/>
      <c r="H20" s="5"/>
      <c r="I20" s="5"/>
    </row>
    <row r="21" customFormat="false" ht="16.5" hidden="false" customHeight="true" outlineLevel="0" collapsed="false">
      <c r="A21" s="14" t="s">
        <v>145</v>
      </c>
      <c r="B21" s="5" t="s">
        <v>128</v>
      </c>
      <c r="C21" s="5" t="s">
        <v>146</v>
      </c>
      <c r="D21" s="16" t="s">
        <v>75</v>
      </c>
      <c r="E21" s="5" t="s">
        <v>147</v>
      </c>
      <c r="F21" s="5" t="s">
        <v>148</v>
      </c>
      <c r="G21" s="5"/>
      <c r="H21" s="5"/>
      <c r="I21" s="5"/>
    </row>
    <row r="22" customFormat="false" ht="30" hidden="false" customHeight="true" outlineLevel="0" collapsed="false">
      <c r="A22" s="14" t="s">
        <v>149</v>
      </c>
      <c r="B22" s="5" t="s">
        <v>128</v>
      </c>
      <c r="C22" s="5" t="s">
        <v>150</v>
      </c>
      <c r="D22" s="16" t="s">
        <v>75</v>
      </c>
      <c r="E22" s="5" t="s">
        <v>151</v>
      </c>
      <c r="F22" s="5" t="s">
        <v>152</v>
      </c>
      <c r="G22" s="5"/>
      <c r="H22" s="5"/>
      <c r="I22" s="5"/>
    </row>
    <row r="23" customFormat="false" ht="16.5" hidden="false" customHeight="true" outlineLevel="0" collapsed="false">
      <c r="A23" s="14" t="s">
        <v>153</v>
      </c>
      <c r="B23" s="5" t="s">
        <v>128</v>
      </c>
      <c r="C23" s="5" t="s">
        <v>154</v>
      </c>
      <c r="D23" s="16" t="s">
        <v>75</v>
      </c>
      <c r="E23" s="5" t="s">
        <v>155</v>
      </c>
      <c r="F23" s="5" t="s">
        <v>156</v>
      </c>
      <c r="G23" s="5"/>
      <c r="H23" s="5"/>
      <c r="I23" s="5"/>
    </row>
    <row r="24" customFormat="false" ht="30" hidden="false" customHeight="true" outlineLevel="0" collapsed="false">
      <c r="A24" s="14" t="s">
        <v>157</v>
      </c>
      <c r="B24" s="5" t="s">
        <v>128</v>
      </c>
      <c r="C24" s="5" t="s">
        <v>33</v>
      </c>
      <c r="D24" s="16" t="s">
        <v>75</v>
      </c>
      <c r="E24" s="5" t="s">
        <v>158</v>
      </c>
      <c r="F24" s="5" t="s">
        <v>159</v>
      </c>
      <c r="G24" s="5"/>
      <c r="H24" s="5"/>
      <c r="I24" s="5"/>
    </row>
    <row r="25" customFormat="false" ht="16.5" hidden="false" customHeight="true" outlineLevel="0" collapsed="false">
      <c r="A25" s="14" t="s">
        <v>160</v>
      </c>
      <c r="B25" s="5" t="s">
        <v>128</v>
      </c>
      <c r="C25" s="5" t="s">
        <v>161</v>
      </c>
      <c r="D25" s="16" t="s">
        <v>75</v>
      </c>
      <c r="E25" s="5" t="s">
        <v>162</v>
      </c>
      <c r="F25" s="5" t="s">
        <v>163</v>
      </c>
      <c r="G25" s="5"/>
      <c r="H25" s="5"/>
      <c r="I25" s="5"/>
    </row>
    <row r="26" customFormat="false" ht="30" hidden="false" customHeight="true" outlineLevel="0" collapsed="false">
      <c r="A26" s="14" t="s">
        <v>164</v>
      </c>
      <c r="B26" s="5" t="s">
        <v>128</v>
      </c>
      <c r="C26" s="5" t="s">
        <v>165</v>
      </c>
      <c r="D26" s="16" t="s">
        <v>75</v>
      </c>
      <c r="E26" s="5" t="s">
        <v>166</v>
      </c>
      <c r="F26" s="5" t="s">
        <v>167</v>
      </c>
      <c r="G26" s="5"/>
      <c r="H26" s="5"/>
      <c r="I26" s="5"/>
    </row>
    <row r="27" customFormat="false" ht="30" hidden="false" customHeight="true" outlineLevel="0" collapsed="false">
      <c r="A27" s="14" t="s">
        <v>168</v>
      </c>
      <c r="B27" s="5" t="s">
        <v>128</v>
      </c>
      <c r="C27" s="5" t="s">
        <v>169</v>
      </c>
      <c r="D27" s="16" t="s">
        <v>75</v>
      </c>
      <c r="E27" s="5" t="s">
        <v>170</v>
      </c>
      <c r="F27" s="5" t="s">
        <v>171</v>
      </c>
      <c r="G27" s="5"/>
      <c r="H27" s="5"/>
      <c r="I27" s="5"/>
    </row>
    <row r="28" customFormat="false" ht="43.5" hidden="false" customHeight="true" outlineLevel="0" collapsed="false">
      <c r="A28" s="14" t="s">
        <v>172</v>
      </c>
      <c r="B28" s="5" t="s">
        <v>128</v>
      </c>
      <c r="C28" s="5" t="s">
        <v>173</v>
      </c>
      <c r="D28" s="16" t="s">
        <v>75</v>
      </c>
      <c r="E28" s="5" t="s">
        <v>174</v>
      </c>
      <c r="F28" s="5" t="s">
        <v>175</v>
      </c>
      <c r="G28" s="5" t="s">
        <v>176</v>
      </c>
      <c r="H28" s="18"/>
      <c r="I28" s="18"/>
    </row>
    <row r="29" customFormat="false" ht="30" hidden="false" customHeight="true" outlineLevel="0" collapsed="false">
      <c r="A29" s="14" t="s">
        <v>177</v>
      </c>
      <c r="B29" s="5" t="s">
        <v>128</v>
      </c>
      <c r="C29" s="5" t="s">
        <v>178</v>
      </c>
      <c r="D29" s="16" t="s">
        <v>75</v>
      </c>
      <c r="E29" s="5" t="s">
        <v>179</v>
      </c>
      <c r="F29" s="5" t="s">
        <v>180</v>
      </c>
      <c r="G29" s="5"/>
      <c r="H29" s="5"/>
      <c r="I29" s="5"/>
    </row>
    <row r="30" customFormat="false" ht="16.5" hidden="false" customHeight="true" outlineLevel="0" collapsed="false">
      <c r="A30" s="14" t="s">
        <v>181</v>
      </c>
      <c r="B30" s="5" t="s">
        <v>128</v>
      </c>
      <c r="C30" s="5" t="s">
        <v>182</v>
      </c>
      <c r="D30" s="16" t="s">
        <v>75</v>
      </c>
      <c r="E30" s="5" t="s">
        <v>183</v>
      </c>
      <c r="F30" s="5" t="s">
        <v>184</v>
      </c>
      <c r="G30" s="5"/>
      <c r="H30" s="5"/>
      <c r="I30" s="5"/>
    </row>
    <row r="31" customFormat="false" ht="16.5" hidden="false" customHeight="true" outlineLevel="0" collapsed="false">
      <c r="A31" s="14" t="s">
        <v>185</v>
      </c>
      <c r="B31" s="5" t="s">
        <v>128</v>
      </c>
      <c r="C31" s="5" t="s">
        <v>186</v>
      </c>
      <c r="D31" s="16" t="s">
        <v>75</v>
      </c>
      <c r="E31" s="5" t="s">
        <v>187</v>
      </c>
      <c r="F31" s="5" t="s">
        <v>188</v>
      </c>
      <c r="G31" s="5"/>
      <c r="H31" s="5"/>
      <c r="I31" s="5"/>
    </row>
    <row r="32" customFormat="false" ht="30" hidden="false" customHeight="true" outlineLevel="0" collapsed="false">
      <c r="A32" s="14" t="s">
        <v>189</v>
      </c>
      <c r="B32" s="5" t="s">
        <v>128</v>
      </c>
      <c r="C32" s="5" t="s">
        <v>190</v>
      </c>
      <c r="D32" s="16" t="s">
        <v>75</v>
      </c>
      <c r="E32" s="5" t="s">
        <v>191</v>
      </c>
      <c r="F32" s="5" t="s">
        <v>192</v>
      </c>
      <c r="G32" s="5"/>
      <c r="H32" s="5"/>
      <c r="I32" s="5"/>
    </row>
    <row r="33" customFormat="false" ht="30" hidden="false" customHeight="true" outlineLevel="0" collapsed="false">
      <c r="A33" s="14" t="s">
        <v>193</v>
      </c>
      <c r="B33" s="5" t="s">
        <v>194</v>
      </c>
      <c r="C33" s="5" t="s">
        <v>195</v>
      </c>
      <c r="D33" s="16" t="s">
        <v>75</v>
      </c>
      <c r="E33" s="5" t="s">
        <v>196</v>
      </c>
      <c r="F33" s="5" t="s">
        <v>197</v>
      </c>
      <c r="G33" s="5"/>
      <c r="H33" s="5"/>
      <c r="I33" s="5"/>
    </row>
    <row r="34" customFormat="false" ht="30" hidden="false" customHeight="true" outlineLevel="0" collapsed="false">
      <c r="A34" s="14" t="s">
        <v>198</v>
      </c>
      <c r="B34" s="5" t="s">
        <v>194</v>
      </c>
      <c r="C34" s="5" t="s">
        <v>199</v>
      </c>
      <c r="D34" s="15" t="s">
        <v>70</v>
      </c>
      <c r="E34" s="5" t="s">
        <v>200</v>
      </c>
      <c r="F34" s="5" t="s">
        <v>201</v>
      </c>
      <c r="G34" s="5"/>
      <c r="H34" s="5"/>
      <c r="I34" s="5"/>
    </row>
    <row r="35" customFormat="false" ht="30" hidden="false" customHeight="true" outlineLevel="0" collapsed="false">
      <c r="A35" s="14" t="s">
        <v>202</v>
      </c>
      <c r="B35" s="5" t="s">
        <v>194</v>
      </c>
      <c r="C35" s="5" t="s">
        <v>203</v>
      </c>
      <c r="D35" s="15" t="s">
        <v>70</v>
      </c>
      <c r="E35" s="5" t="s">
        <v>204</v>
      </c>
      <c r="F35" s="5" t="s">
        <v>205</v>
      </c>
      <c r="G35" s="5"/>
      <c r="H35" s="5"/>
      <c r="I35" s="5"/>
    </row>
    <row r="36" customFormat="false" ht="16.5" hidden="false" customHeight="true" outlineLevel="0" collapsed="false">
      <c r="A36" s="14" t="s">
        <v>206</v>
      </c>
      <c r="B36" s="5" t="s">
        <v>194</v>
      </c>
      <c r="C36" s="5" t="s">
        <v>207</v>
      </c>
      <c r="D36" s="16" t="s">
        <v>75</v>
      </c>
      <c r="E36" s="5" t="s">
        <v>208</v>
      </c>
      <c r="F36" s="5" t="s">
        <v>209</v>
      </c>
      <c r="G36" s="5"/>
      <c r="H36" s="5"/>
      <c r="I36" s="5"/>
    </row>
    <row r="37" customFormat="false" ht="30" hidden="false" customHeight="true" outlineLevel="0" collapsed="false">
      <c r="A37" s="14" t="s">
        <v>210</v>
      </c>
      <c r="B37" s="5" t="s">
        <v>194</v>
      </c>
      <c r="C37" s="5" t="s">
        <v>211</v>
      </c>
      <c r="D37" s="16" t="s">
        <v>75</v>
      </c>
      <c r="E37" s="5" t="s">
        <v>212</v>
      </c>
      <c r="F37" s="5" t="s">
        <v>213</v>
      </c>
      <c r="G37" s="5"/>
      <c r="H37" s="5"/>
      <c r="I37" s="5"/>
    </row>
    <row r="38" customFormat="false" ht="30" hidden="false" customHeight="true" outlineLevel="0" collapsed="false">
      <c r="A38" s="14" t="s">
        <v>214</v>
      </c>
      <c r="B38" s="5" t="s">
        <v>215</v>
      </c>
      <c r="C38" s="5" t="s">
        <v>216</v>
      </c>
      <c r="D38" s="15" t="s">
        <v>70</v>
      </c>
      <c r="E38" s="5" t="s">
        <v>217</v>
      </c>
      <c r="F38" s="5" t="s">
        <v>218</v>
      </c>
      <c r="G38" s="5"/>
      <c r="H38" s="5"/>
      <c r="I38" s="5"/>
    </row>
    <row r="39" customFormat="false" ht="15" hidden="false" customHeight="false" outlineLevel="0" collapsed="false">
      <c r="A39" s="13" t="s">
        <v>219</v>
      </c>
      <c r="B39" s="13"/>
      <c r="C39" s="13"/>
      <c r="D39" s="13"/>
      <c r="E39" s="13"/>
      <c r="F39" s="13"/>
      <c r="G39" s="13"/>
      <c r="H39" s="13"/>
      <c r="I39" s="13"/>
    </row>
    <row r="40" customFormat="false" ht="57" hidden="false" customHeight="true" outlineLevel="0" collapsed="false">
      <c r="A40" s="14" t="s">
        <v>220</v>
      </c>
      <c r="B40" s="5" t="s">
        <v>128</v>
      </c>
      <c r="C40" s="5" t="s">
        <v>95</v>
      </c>
      <c r="D40" s="16" t="s">
        <v>75</v>
      </c>
      <c r="E40" s="5" t="s">
        <v>221</v>
      </c>
      <c r="F40" s="5" t="s">
        <v>222</v>
      </c>
      <c r="G40" s="5"/>
      <c r="H40" s="5"/>
      <c r="I40" s="5"/>
    </row>
    <row r="41" customFormat="false" ht="57" hidden="false" customHeight="true" outlineLevel="0" collapsed="false">
      <c r="A41" s="14" t="s">
        <v>223</v>
      </c>
      <c r="B41" s="5" t="s">
        <v>128</v>
      </c>
      <c r="C41" s="5" t="s">
        <v>224</v>
      </c>
      <c r="D41" s="15" t="s">
        <v>70</v>
      </c>
      <c r="E41" s="5" t="s">
        <v>225</v>
      </c>
      <c r="F41" s="5" t="s">
        <v>226</v>
      </c>
      <c r="G41" s="5"/>
      <c r="H41" s="5"/>
      <c r="I41" s="5"/>
    </row>
    <row r="42" customFormat="false" ht="70.5" hidden="false" customHeight="true" outlineLevel="0" collapsed="false">
      <c r="A42" s="14" t="s">
        <v>227</v>
      </c>
      <c r="B42" s="5" t="s">
        <v>128</v>
      </c>
      <c r="C42" s="5" t="s">
        <v>228</v>
      </c>
      <c r="D42" s="16" t="s">
        <v>75</v>
      </c>
      <c r="E42" s="5" t="s">
        <v>229</v>
      </c>
      <c r="F42" s="5" t="s">
        <v>230</v>
      </c>
      <c r="G42" s="5"/>
      <c r="H42" s="5"/>
      <c r="I42" s="5"/>
    </row>
    <row r="43" customFormat="false" ht="30" hidden="false" customHeight="true" outlineLevel="0" collapsed="false">
      <c r="A43" s="14" t="s">
        <v>231</v>
      </c>
      <c r="B43" s="5" t="s">
        <v>128</v>
      </c>
      <c r="C43" s="5" t="s">
        <v>232</v>
      </c>
      <c r="D43" s="16" t="s">
        <v>75</v>
      </c>
      <c r="E43" s="5" t="s">
        <v>233</v>
      </c>
      <c r="F43" s="5" t="s">
        <v>234</v>
      </c>
      <c r="G43" s="5"/>
      <c r="H43" s="5"/>
      <c r="I43" s="5"/>
    </row>
    <row r="44" customFormat="false" ht="43.5" hidden="false" customHeight="true" outlineLevel="0" collapsed="false">
      <c r="A44" s="14" t="s">
        <v>235</v>
      </c>
      <c r="B44" s="5" t="s">
        <v>128</v>
      </c>
      <c r="C44" s="5" t="s">
        <v>236</v>
      </c>
      <c r="D44" s="16" t="s">
        <v>75</v>
      </c>
      <c r="E44" s="5" t="s">
        <v>237</v>
      </c>
      <c r="F44" s="5" t="s">
        <v>238</v>
      </c>
      <c r="G44" s="5"/>
      <c r="H44" s="5"/>
      <c r="I44" s="5"/>
    </row>
    <row r="45" customFormat="false" ht="70.5" hidden="false" customHeight="true" outlineLevel="0" collapsed="false">
      <c r="A45" s="14" t="s">
        <v>239</v>
      </c>
      <c r="B45" s="5" t="s">
        <v>128</v>
      </c>
      <c r="C45" s="5" t="s">
        <v>240</v>
      </c>
      <c r="D45" s="16" t="s">
        <v>75</v>
      </c>
      <c r="E45" s="5" t="s">
        <v>241</v>
      </c>
      <c r="F45" s="5" t="s">
        <v>242</v>
      </c>
      <c r="G45" s="5"/>
      <c r="H45" s="5"/>
      <c r="I45" s="5"/>
    </row>
    <row r="46" customFormat="false" ht="70.5" hidden="false" customHeight="true" outlineLevel="0" collapsed="false">
      <c r="A46" s="14" t="s">
        <v>243</v>
      </c>
      <c r="B46" s="5" t="s">
        <v>194</v>
      </c>
      <c r="C46" s="5" t="s">
        <v>244</v>
      </c>
      <c r="D46" s="16" t="s">
        <v>75</v>
      </c>
      <c r="E46" s="5" t="s">
        <v>245</v>
      </c>
      <c r="F46" s="5" t="s">
        <v>246</v>
      </c>
      <c r="G46" s="5"/>
      <c r="H46" s="5"/>
      <c r="I46" s="5"/>
    </row>
    <row r="47" customFormat="false" ht="43.5" hidden="false" customHeight="true" outlineLevel="0" collapsed="false">
      <c r="A47" s="14" t="s">
        <v>247</v>
      </c>
      <c r="B47" s="5" t="s">
        <v>194</v>
      </c>
      <c r="C47" s="5" t="s">
        <v>248</v>
      </c>
      <c r="D47" s="15" t="s">
        <v>70</v>
      </c>
      <c r="E47" s="5" t="s">
        <v>249</v>
      </c>
      <c r="F47" s="5" t="s">
        <v>250</v>
      </c>
      <c r="G47" s="5"/>
      <c r="H47" s="5"/>
      <c r="I47" s="5"/>
    </row>
    <row r="48" customFormat="false" ht="30" hidden="false" customHeight="true" outlineLevel="0" collapsed="false">
      <c r="A48" s="14" t="s">
        <v>251</v>
      </c>
      <c r="B48" s="5" t="s">
        <v>194</v>
      </c>
      <c r="C48" s="5" t="s">
        <v>252</v>
      </c>
      <c r="D48" s="15" t="s">
        <v>70</v>
      </c>
      <c r="E48" s="5" t="s">
        <v>253</v>
      </c>
      <c r="F48" s="5" t="s">
        <v>254</v>
      </c>
      <c r="G48" s="5"/>
      <c r="H48" s="5"/>
      <c r="I48" s="5"/>
    </row>
    <row r="49" customFormat="false" ht="30" hidden="false" customHeight="true" outlineLevel="0" collapsed="false">
      <c r="A49" s="14" t="s">
        <v>255</v>
      </c>
      <c r="B49" s="5" t="s">
        <v>194</v>
      </c>
      <c r="C49" s="5" t="s">
        <v>195</v>
      </c>
      <c r="D49" s="16" t="s">
        <v>75</v>
      </c>
      <c r="E49" s="5" t="s">
        <v>256</v>
      </c>
      <c r="F49" s="5" t="s">
        <v>257</v>
      </c>
      <c r="G49" s="5" t="s">
        <v>176</v>
      </c>
      <c r="H49" s="18"/>
      <c r="I49" s="18"/>
    </row>
    <row r="50" customFormat="false" ht="30" hidden="false" customHeight="true" outlineLevel="0" collapsed="false">
      <c r="A50" s="14" t="s">
        <v>258</v>
      </c>
      <c r="B50" s="5" t="s">
        <v>215</v>
      </c>
      <c r="C50" s="5" t="s">
        <v>259</v>
      </c>
      <c r="D50" s="16" t="s">
        <v>75</v>
      </c>
      <c r="E50" s="5" t="s">
        <v>260</v>
      </c>
      <c r="F50" s="5" t="s">
        <v>261</v>
      </c>
      <c r="G50" s="5"/>
      <c r="H50" s="5"/>
      <c r="I50" s="5"/>
    </row>
  </sheetData>
  <sheetProtection sheet="true" formatColumns="false" formatRows="false" sort="false" autoFilter="false"/>
  <mergeCells count="2">
    <mergeCell ref="A2:I2"/>
    <mergeCell ref="A39:I39"/>
  </mergeCells>
  <dataValidations count="1">
    <dataValidation allowBlank="true" error="Bitte einen Wert aus der Liste wählen: Übernehmen, Ablehnen, Später" errorStyle="stop" errorTitle="Ungültige Eingabe" operator="between" prompt="Auswahl: Übernehmen, Ablehnen, Später" promptTitle="Entscheidung" showDropDown="false" showErrorMessage="true" showInputMessage="true" sqref="H28 H49" type="list">
      <formula1>"Übernehmen,Ablehnen,Später"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97.5" hidden="false" customHeight="true" outlineLevel="0" collapsed="false">
      <c r="A2" s="19" t="s">
        <v>274</v>
      </c>
      <c r="B2" s="19" t="s">
        <v>275</v>
      </c>
      <c r="C2" s="20"/>
      <c r="D2" s="20" t="s">
        <v>276</v>
      </c>
      <c r="E2" s="20"/>
      <c r="F2" s="20"/>
      <c r="G2" s="20"/>
      <c r="H2" s="20" t="s">
        <v>277</v>
      </c>
      <c r="I2" s="20" t="s">
        <v>278</v>
      </c>
      <c r="J2" s="18"/>
      <c r="K2" s="20"/>
      <c r="L2" s="20"/>
    </row>
    <row r="3" customFormat="false" ht="16.5" hidden="false" customHeight="true" outlineLevel="0" collapsed="false">
      <c r="A3" s="5" t="s">
        <v>279</v>
      </c>
      <c r="B3" s="5" t="s">
        <v>280</v>
      </c>
      <c r="C3" s="5" t="n">
        <v>100</v>
      </c>
      <c r="D3" s="5" t="s">
        <v>281</v>
      </c>
      <c r="E3" s="21" t="s">
        <v>128</v>
      </c>
      <c r="F3" s="5" t="s">
        <v>282</v>
      </c>
      <c r="G3" s="5" t="s">
        <v>283</v>
      </c>
      <c r="H3" s="5"/>
      <c r="I3" s="5" t="s">
        <v>284</v>
      </c>
      <c r="J3" s="18"/>
      <c r="K3" s="18"/>
      <c r="L3" s="5" t="str">
        <f aca="false">IF(J3&lt;&gt;"",J3,IF($J$2="Freigeben","Freigeben",""))</f>
        <v/>
      </c>
    </row>
    <row r="4" customFormat="false" ht="30" hidden="false" customHeight="true" outlineLevel="0" collapsed="false">
      <c r="A4" s="5" t="s">
        <v>279</v>
      </c>
      <c r="B4" s="5" t="s">
        <v>285</v>
      </c>
      <c r="C4" s="5" t="n">
        <v>100</v>
      </c>
      <c r="D4" s="5" t="s">
        <v>286</v>
      </c>
      <c r="E4" s="22" t="s">
        <v>194</v>
      </c>
      <c r="F4" s="5" t="s">
        <v>282</v>
      </c>
      <c r="G4" s="5" t="s">
        <v>287</v>
      </c>
      <c r="H4" s="5"/>
      <c r="I4" s="5" t="s">
        <v>284</v>
      </c>
      <c r="J4" s="18"/>
      <c r="K4" s="18"/>
      <c r="L4" s="5" t="str">
        <f aca="false">IF(J4&lt;&gt;"",J4,IF($J$2="Freigeben","Freigeben",""))</f>
        <v/>
      </c>
    </row>
    <row r="5" customFormat="false" ht="30" hidden="false" customHeight="true" outlineLevel="0" collapsed="false">
      <c r="A5" s="5" t="s">
        <v>279</v>
      </c>
      <c r="B5" s="5" t="s">
        <v>288</v>
      </c>
      <c r="C5" s="5" t="n">
        <v>100</v>
      </c>
      <c r="D5" s="5" t="s">
        <v>289</v>
      </c>
      <c r="E5" s="22" t="s">
        <v>194</v>
      </c>
      <c r="F5" s="5" t="s">
        <v>290</v>
      </c>
      <c r="G5" s="5" t="s">
        <v>291</v>
      </c>
      <c r="H5" s="5" t="s">
        <v>292</v>
      </c>
      <c r="I5" s="5" t="s">
        <v>284</v>
      </c>
      <c r="J5" s="18"/>
      <c r="K5" s="18"/>
      <c r="L5" s="5" t="str">
        <f aca="false">IF(J5&lt;&gt;"",J5,IF($J$2="Freigeben","Freigeben",""))</f>
        <v/>
      </c>
    </row>
    <row r="6" customFormat="false" ht="43.5" hidden="false" customHeight="true" outlineLevel="0" collapsed="false">
      <c r="A6" s="5" t="s">
        <v>279</v>
      </c>
      <c r="B6" s="5" t="s">
        <v>293</v>
      </c>
      <c r="C6" s="5" t="n">
        <v>1</v>
      </c>
      <c r="D6" s="5" t="s">
        <v>294</v>
      </c>
      <c r="E6" s="16" t="s">
        <v>295</v>
      </c>
      <c r="F6" s="5" t="s">
        <v>296</v>
      </c>
      <c r="G6" s="5"/>
      <c r="H6" s="5" t="s">
        <v>297</v>
      </c>
      <c r="I6" s="5" t="s">
        <v>298</v>
      </c>
      <c r="J6" s="18"/>
      <c r="K6" s="18"/>
      <c r="L6" s="5" t="str">
        <f aca="false">IF(J6&lt;&gt;"",J6,IF($J$2="Freigeben","Freigeben",""))</f>
        <v/>
      </c>
    </row>
    <row r="7" customFormat="false" ht="97.5" hidden="false" customHeight="true" outlineLevel="0" collapsed="false">
      <c r="A7" s="19" t="s">
        <v>274</v>
      </c>
      <c r="B7" s="19" t="s">
        <v>299</v>
      </c>
      <c r="C7" s="20"/>
      <c r="D7" s="20" t="s">
        <v>300</v>
      </c>
      <c r="E7" s="20"/>
      <c r="F7" s="20"/>
      <c r="G7" s="20"/>
      <c r="H7" s="20" t="s">
        <v>301</v>
      </c>
      <c r="I7" s="20" t="s">
        <v>278</v>
      </c>
      <c r="J7" s="18"/>
      <c r="K7" s="20"/>
      <c r="L7" s="20"/>
    </row>
    <row r="8" customFormat="false" ht="43.5" hidden="false" customHeight="true" outlineLevel="0" collapsed="false">
      <c r="A8" s="5" t="s">
        <v>279</v>
      </c>
      <c r="B8" s="23" t="s">
        <v>302</v>
      </c>
      <c r="C8" s="5" t="n">
        <v>100</v>
      </c>
      <c r="D8" s="5" t="s">
        <v>303</v>
      </c>
      <c r="E8" s="22" t="s">
        <v>194</v>
      </c>
      <c r="F8" s="5" t="s">
        <v>304</v>
      </c>
      <c r="G8" s="5" t="s">
        <v>305</v>
      </c>
      <c r="H8" s="5" t="s">
        <v>306</v>
      </c>
      <c r="I8" s="23" t="s">
        <v>307</v>
      </c>
      <c r="J8" s="18"/>
      <c r="K8" s="18"/>
      <c r="L8" s="5" t="str">
        <f aca="false">IF(J8&lt;&gt;"",J8,IF($J$7="Freigeben","Freigeben",""))</f>
        <v/>
      </c>
    </row>
    <row r="9" customFormat="false" ht="43.5" hidden="false" customHeight="true" outlineLevel="0" collapsed="false">
      <c r="A9" s="5" t="s">
        <v>279</v>
      </c>
      <c r="B9" s="5" t="s">
        <v>308</v>
      </c>
      <c r="C9" s="5" t="n">
        <v>100</v>
      </c>
      <c r="D9" s="5" t="s">
        <v>309</v>
      </c>
      <c r="E9" s="22" t="s">
        <v>194</v>
      </c>
      <c r="F9" s="5" t="s">
        <v>310</v>
      </c>
      <c r="G9" s="5" t="s">
        <v>311</v>
      </c>
      <c r="H9" s="5" t="s">
        <v>312</v>
      </c>
      <c r="I9" s="5" t="s">
        <v>284</v>
      </c>
      <c r="J9" s="18"/>
      <c r="K9" s="18"/>
      <c r="L9" s="5" t="str">
        <f aca="false">IF(J9&lt;&gt;"",J9,IF($J$7="Freigeben","Freigeben",""))</f>
        <v/>
      </c>
    </row>
    <row r="10" customFormat="false" ht="43.5" hidden="false" customHeight="true" outlineLevel="0" collapsed="false">
      <c r="A10" s="5" t="s">
        <v>279</v>
      </c>
      <c r="B10" s="5" t="s">
        <v>313</v>
      </c>
      <c r="C10" s="5" t="n">
        <v>100</v>
      </c>
      <c r="D10" s="5" t="s">
        <v>314</v>
      </c>
      <c r="E10" s="22" t="s">
        <v>194</v>
      </c>
      <c r="F10" s="5" t="s">
        <v>315</v>
      </c>
      <c r="G10" s="5" t="s">
        <v>316</v>
      </c>
      <c r="H10" s="5" t="s">
        <v>312</v>
      </c>
      <c r="I10" s="5" t="s">
        <v>284</v>
      </c>
      <c r="J10" s="18"/>
      <c r="K10" s="18"/>
      <c r="L10" s="5" t="str">
        <f aca="false">IF(J10&lt;&gt;"",J10,IF($J$7="Freigeben","Freigeben",""))</f>
        <v/>
      </c>
    </row>
    <row r="11" customFormat="false" ht="43.5" hidden="false" customHeight="true" outlineLevel="0" collapsed="false">
      <c r="A11" s="5" t="s">
        <v>279</v>
      </c>
      <c r="B11" s="5" t="s">
        <v>317</v>
      </c>
      <c r="C11" s="5" t="n">
        <v>1</v>
      </c>
      <c r="D11" s="5" t="s">
        <v>318</v>
      </c>
      <c r="E11" s="16" t="s">
        <v>295</v>
      </c>
      <c r="F11" s="5" t="s">
        <v>296</v>
      </c>
      <c r="G11" s="5"/>
      <c r="H11" s="5" t="s">
        <v>297</v>
      </c>
      <c r="I11" s="5" t="s">
        <v>298</v>
      </c>
      <c r="J11" s="18"/>
      <c r="K11" s="18"/>
      <c r="L11" s="5" t="str">
        <f aca="false">IF(J11&lt;&gt;"",J11,IF($J$7="Freigeben","Freigeben",""))</f>
        <v/>
      </c>
    </row>
    <row r="12" customFormat="false" ht="97.5" hidden="false" customHeight="true" outlineLevel="0" collapsed="false">
      <c r="A12" s="19" t="s">
        <v>274</v>
      </c>
      <c r="B12" s="19" t="s">
        <v>319</v>
      </c>
      <c r="C12" s="20"/>
      <c r="D12" s="20" t="s">
        <v>320</v>
      </c>
      <c r="E12" s="20"/>
      <c r="F12" s="20"/>
      <c r="G12" s="20"/>
      <c r="H12" s="20" t="s">
        <v>321</v>
      </c>
      <c r="I12" s="20" t="s">
        <v>322</v>
      </c>
      <c r="J12" s="18"/>
      <c r="K12" s="20"/>
      <c r="L12" s="20"/>
    </row>
    <row r="13" customFormat="false" ht="57" hidden="false" customHeight="true" outlineLevel="0" collapsed="false">
      <c r="A13" s="5" t="s">
        <v>279</v>
      </c>
      <c r="B13" s="23" t="s">
        <v>323</v>
      </c>
      <c r="C13" s="5" t="n">
        <v>100</v>
      </c>
      <c r="D13" s="5" t="s">
        <v>324</v>
      </c>
      <c r="E13" s="22" t="s">
        <v>194</v>
      </c>
      <c r="F13" s="5" t="s">
        <v>325</v>
      </c>
      <c r="G13" s="5" t="s">
        <v>326</v>
      </c>
      <c r="H13" s="5" t="s">
        <v>306</v>
      </c>
      <c r="I13" s="23" t="s">
        <v>307</v>
      </c>
      <c r="J13" s="18"/>
      <c r="K13" s="18"/>
      <c r="L13" s="5" t="str">
        <f aca="false">IF(J13&lt;&gt;"",J13,IF($J$12="Freigeben","Freigeben",""))</f>
        <v/>
      </c>
    </row>
    <row r="14" customFormat="false" ht="57" hidden="false" customHeight="true" outlineLevel="0" collapsed="false">
      <c r="A14" s="5" t="s">
        <v>279</v>
      </c>
      <c r="B14" s="23" t="s">
        <v>327</v>
      </c>
      <c r="C14" s="5" t="n">
        <v>100</v>
      </c>
      <c r="D14" s="5" t="s">
        <v>328</v>
      </c>
      <c r="E14" s="22" t="s">
        <v>194</v>
      </c>
      <c r="F14" s="5" t="s">
        <v>325</v>
      </c>
      <c r="G14" s="5" t="s">
        <v>329</v>
      </c>
      <c r="H14" s="5" t="s">
        <v>306</v>
      </c>
      <c r="I14" s="23" t="s">
        <v>307</v>
      </c>
      <c r="J14" s="18"/>
      <c r="K14" s="18"/>
      <c r="L14" s="5" t="str">
        <f aca="false">IF(J14&lt;&gt;"",J14,IF($J$12="Freigeben","Freigeben",""))</f>
        <v/>
      </c>
    </row>
    <row r="15" customFormat="false" ht="70.5" hidden="false" customHeight="true" outlineLevel="0" collapsed="false">
      <c r="A15" s="5" t="s">
        <v>279</v>
      </c>
      <c r="B15" s="23" t="s">
        <v>330</v>
      </c>
      <c r="C15" s="5" t="n">
        <v>100</v>
      </c>
      <c r="D15" s="5" t="s">
        <v>331</v>
      </c>
      <c r="E15" s="21" t="s">
        <v>128</v>
      </c>
      <c r="F15" s="5" t="s">
        <v>332</v>
      </c>
      <c r="G15" s="5" t="s">
        <v>333</v>
      </c>
      <c r="H15" s="5" t="s">
        <v>334</v>
      </c>
      <c r="I15" s="23" t="s">
        <v>335</v>
      </c>
      <c r="J15" s="18"/>
      <c r="K15" s="18"/>
      <c r="L15" s="5" t="str">
        <f aca="false">IF(J15&lt;&gt;"",J15,IF($J$12="Freigeben","Freigeben",""))</f>
        <v/>
      </c>
    </row>
    <row r="16" customFormat="false" ht="30" hidden="false" customHeight="true" outlineLevel="0" collapsed="false">
      <c r="A16" s="5" t="s">
        <v>279</v>
      </c>
      <c r="B16" s="5" t="s">
        <v>336</v>
      </c>
      <c r="C16" s="5" t="n">
        <v>100</v>
      </c>
      <c r="D16" s="5" t="s">
        <v>337</v>
      </c>
      <c r="E16" s="21" t="s">
        <v>128</v>
      </c>
      <c r="F16" s="5" t="s">
        <v>338</v>
      </c>
      <c r="G16" s="5" t="s">
        <v>339</v>
      </c>
      <c r="H16" s="5"/>
      <c r="I16" s="5" t="s">
        <v>284</v>
      </c>
      <c r="J16" s="18"/>
      <c r="K16" s="18"/>
      <c r="L16" s="5" t="str">
        <f aca="false">IF(J16&lt;&gt;"",J16,IF($J$12="Freigeben","Freigeben",""))</f>
        <v/>
      </c>
    </row>
    <row r="17" customFormat="false" ht="30" hidden="false" customHeight="true" outlineLevel="0" collapsed="false">
      <c r="A17" s="5" t="s">
        <v>279</v>
      </c>
      <c r="B17" s="5" t="s">
        <v>340</v>
      </c>
      <c r="C17" s="5" t="n">
        <v>100</v>
      </c>
      <c r="D17" s="5" t="s">
        <v>341</v>
      </c>
      <c r="E17" s="21" t="s">
        <v>128</v>
      </c>
      <c r="F17" s="5" t="s">
        <v>342</v>
      </c>
      <c r="G17" s="5" t="s">
        <v>343</v>
      </c>
      <c r="H17" s="5"/>
      <c r="I17" s="5" t="s">
        <v>284</v>
      </c>
      <c r="J17" s="18"/>
      <c r="K17" s="18"/>
      <c r="L17" s="5" t="str">
        <f aca="false">IF(J17&lt;&gt;"",J17,IF($J$12="Freigeben","Freigeben",""))</f>
        <v/>
      </c>
    </row>
    <row r="18" customFormat="false" ht="43.5" hidden="false" customHeight="true" outlineLevel="0" collapsed="false">
      <c r="A18" s="5" t="s">
        <v>279</v>
      </c>
      <c r="B18" s="5" t="s">
        <v>344</v>
      </c>
      <c r="C18" s="5" t="n">
        <v>1</v>
      </c>
      <c r="D18" s="5" t="s">
        <v>345</v>
      </c>
      <c r="E18" s="16" t="s">
        <v>295</v>
      </c>
      <c r="F18" s="5" t="s">
        <v>296</v>
      </c>
      <c r="G18" s="5"/>
      <c r="H18" s="5" t="s">
        <v>297</v>
      </c>
      <c r="I18" s="5" t="s">
        <v>298</v>
      </c>
      <c r="J18" s="18"/>
      <c r="K18" s="18"/>
      <c r="L18" s="5" t="str">
        <f aca="false">IF(J18&lt;&gt;"",J18,IF($J$12="Freigeben","Freigeben",""))</f>
        <v/>
      </c>
    </row>
    <row r="19" customFormat="false" ht="111" hidden="false" customHeight="true" outlineLevel="0" collapsed="false">
      <c r="A19" s="19" t="s">
        <v>274</v>
      </c>
      <c r="B19" s="19" t="s">
        <v>346</v>
      </c>
      <c r="C19" s="20"/>
      <c r="D19" s="20" t="s">
        <v>347</v>
      </c>
      <c r="E19" s="20"/>
      <c r="F19" s="20"/>
      <c r="G19" s="20"/>
      <c r="H19" s="20" t="s">
        <v>348</v>
      </c>
      <c r="I19" s="20" t="s">
        <v>278</v>
      </c>
      <c r="J19" s="18"/>
      <c r="K19" s="20"/>
      <c r="L19" s="20"/>
    </row>
    <row r="20" customFormat="false" ht="57" hidden="false" customHeight="true" outlineLevel="0" collapsed="false">
      <c r="A20" s="5" t="s">
        <v>279</v>
      </c>
      <c r="B20" s="5" t="s">
        <v>349</v>
      </c>
      <c r="C20" s="5" t="n">
        <v>100</v>
      </c>
      <c r="D20" s="5" t="s">
        <v>350</v>
      </c>
      <c r="E20" s="21" t="s">
        <v>128</v>
      </c>
      <c r="F20" s="5" t="s">
        <v>351</v>
      </c>
      <c r="G20" s="5" t="s">
        <v>352</v>
      </c>
      <c r="H20" s="5"/>
      <c r="I20" s="5" t="s">
        <v>284</v>
      </c>
      <c r="J20" s="18"/>
      <c r="K20" s="18"/>
      <c r="L20" s="5" t="str">
        <f aca="false">IF(J20&lt;&gt;"",J20,IF($J$19="Freigeben","Freigeben",""))</f>
        <v/>
      </c>
    </row>
    <row r="21" customFormat="false" ht="57" hidden="false" customHeight="true" outlineLevel="0" collapsed="false">
      <c r="A21" s="5" t="s">
        <v>279</v>
      </c>
      <c r="B21" s="23" t="s">
        <v>353</v>
      </c>
      <c r="C21" s="5" t="n">
        <v>100</v>
      </c>
      <c r="D21" s="5" t="s">
        <v>354</v>
      </c>
      <c r="E21" s="22" t="s">
        <v>194</v>
      </c>
      <c r="F21" s="5" t="s">
        <v>355</v>
      </c>
      <c r="G21" s="5" t="s">
        <v>356</v>
      </c>
      <c r="H21" s="5" t="s">
        <v>306</v>
      </c>
      <c r="I21" s="23" t="s">
        <v>335</v>
      </c>
      <c r="J21" s="18"/>
      <c r="K21" s="18"/>
      <c r="L21" s="5" t="str">
        <f aca="false">IF(J21&lt;&gt;"",J21,IF($J$19="Freigeben","Freigeben",""))</f>
        <v/>
      </c>
    </row>
    <row r="22" customFormat="false" ht="30" hidden="false" customHeight="true" outlineLevel="0" collapsed="false">
      <c r="A22" s="5" t="s">
        <v>279</v>
      </c>
      <c r="B22" s="5" t="s">
        <v>357</v>
      </c>
      <c r="C22" s="5" t="n">
        <v>100</v>
      </c>
      <c r="D22" s="5" t="s">
        <v>358</v>
      </c>
      <c r="E22" s="21" t="s">
        <v>128</v>
      </c>
      <c r="F22" s="5" t="s">
        <v>359</v>
      </c>
      <c r="G22" s="5" t="s">
        <v>360</v>
      </c>
      <c r="H22" s="5"/>
      <c r="I22" s="5" t="s">
        <v>284</v>
      </c>
      <c r="J22" s="18"/>
      <c r="K22" s="18"/>
      <c r="L22" s="5" t="str">
        <f aca="false">IF(J22&lt;&gt;"",J22,IF($J$19="Freigeben","Freigeben",""))</f>
        <v/>
      </c>
    </row>
    <row r="23" customFormat="false" ht="43.5" hidden="false" customHeight="true" outlineLevel="0" collapsed="false">
      <c r="A23" s="5" t="s">
        <v>279</v>
      </c>
      <c r="B23" s="5" t="s">
        <v>361</v>
      </c>
      <c r="C23" s="5" t="n">
        <v>1</v>
      </c>
      <c r="D23" s="5" t="s">
        <v>362</v>
      </c>
      <c r="E23" s="16" t="s">
        <v>295</v>
      </c>
      <c r="F23" s="5" t="s">
        <v>296</v>
      </c>
      <c r="G23" s="5"/>
      <c r="H23" s="5" t="s">
        <v>297</v>
      </c>
      <c r="I23" s="5" t="s">
        <v>298</v>
      </c>
      <c r="J23" s="18"/>
      <c r="K23" s="18"/>
      <c r="L23" s="5" t="str">
        <f aca="false">IF(J23&lt;&gt;"",J23,IF($J$19="Freigeben","Freigeben",""))</f>
        <v/>
      </c>
    </row>
    <row r="24" customFormat="false" ht="97.5" hidden="false" customHeight="true" outlineLevel="0" collapsed="false">
      <c r="A24" s="19" t="s">
        <v>274</v>
      </c>
      <c r="B24" s="19" t="s">
        <v>363</v>
      </c>
      <c r="C24" s="20"/>
      <c r="D24" s="20" t="s">
        <v>364</v>
      </c>
      <c r="E24" s="20"/>
      <c r="F24" s="20"/>
      <c r="G24" s="20"/>
      <c r="H24" s="20" t="s">
        <v>365</v>
      </c>
      <c r="I24" s="20" t="s">
        <v>366</v>
      </c>
      <c r="J24" s="18"/>
      <c r="K24" s="20"/>
      <c r="L24" s="20"/>
    </row>
    <row r="25" customFormat="false" ht="30" hidden="false" customHeight="true" outlineLevel="0" collapsed="false">
      <c r="A25" s="5" t="s">
        <v>279</v>
      </c>
      <c r="B25" s="5" t="s">
        <v>367</v>
      </c>
      <c r="C25" s="5" t="n">
        <v>100</v>
      </c>
      <c r="D25" s="5" t="s">
        <v>368</v>
      </c>
      <c r="E25" s="21" t="s">
        <v>128</v>
      </c>
      <c r="F25" s="5" t="s">
        <v>369</v>
      </c>
      <c r="G25" s="5" t="s">
        <v>370</v>
      </c>
      <c r="H25" s="5"/>
      <c r="I25" s="5" t="s">
        <v>284</v>
      </c>
      <c r="J25" s="18"/>
      <c r="K25" s="18"/>
      <c r="L25" s="5" t="str">
        <f aca="false">IF(J25&lt;&gt;"",J25,IF($J$24="Freigeben","Freigeben",""))</f>
        <v/>
      </c>
    </row>
    <row r="26" customFormat="false" ht="30" hidden="false" customHeight="true" outlineLevel="0" collapsed="false">
      <c r="A26" s="5" t="s">
        <v>279</v>
      </c>
      <c r="B26" s="5" t="s">
        <v>371</v>
      </c>
      <c r="C26" s="5" t="n">
        <v>100</v>
      </c>
      <c r="D26" s="5" t="s">
        <v>372</v>
      </c>
      <c r="E26" s="22" t="s">
        <v>194</v>
      </c>
      <c r="F26" s="5" t="s">
        <v>373</v>
      </c>
      <c r="G26" s="5" t="s">
        <v>374</v>
      </c>
      <c r="H26" s="5"/>
      <c r="I26" s="5" t="s">
        <v>284</v>
      </c>
      <c r="J26" s="18"/>
      <c r="K26" s="18"/>
      <c r="L26" s="5" t="str">
        <f aca="false">IF(J26&lt;&gt;"",J26,IF($J$24="Freigeben","Freigeben",""))</f>
        <v/>
      </c>
    </row>
    <row r="27" customFormat="false" ht="43.5" hidden="false" customHeight="true" outlineLevel="0" collapsed="false">
      <c r="A27" s="5" t="s">
        <v>279</v>
      </c>
      <c r="B27" s="5" t="s">
        <v>375</v>
      </c>
      <c r="C27" s="5" t="n">
        <v>1</v>
      </c>
      <c r="D27" s="5" t="s">
        <v>376</v>
      </c>
      <c r="E27" s="16" t="s">
        <v>295</v>
      </c>
      <c r="F27" s="5" t="s">
        <v>296</v>
      </c>
      <c r="G27" s="5"/>
      <c r="H27" s="5" t="s">
        <v>297</v>
      </c>
      <c r="I27" s="5" t="s">
        <v>298</v>
      </c>
      <c r="J27" s="18"/>
      <c r="K27" s="18"/>
      <c r="L27" s="5" t="str">
        <f aca="false">IF(J27&lt;&gt;"",J27,IF($J$24="Freigeben","Freigeben",""))</f>
        <v/>
      </c>
    </row>
    <row r="28" customFormat="false" ht="97.5" hidden="false" customHeight="true" outlineLevel="0" collapsed="false">
      <c r="A28" s="19" t="s">
        <v>274</v>
      </c>
      <c r="B28" s="19" t="s">
        <v>377</v>
      </c>
      <c r="C28" s="20"/>
      <c r="D28" s="20" t="s">
        <v>378</v>
      </c>
      <c r="E28" s="20"/>
      <c r="F28" s="20"/>
      <c r="G28" s="20"/>
      <c r="H28" s="20" t="s">
        <v>379</v>
      </c>
      <c r="I28" s="20" t="s">
        <v>278</v>
      </c>
      <c r="J28" s="18"/>
      <c r="K28" s="20"/>
      <c r="L28" s="20"/>
    </row>
    <row r="29" customFormat="false" ht="30" hidden="false" customHeight="true" outlineLevel="0" collapsed="false">
      <c r="A29" s="5" t="s">
        <v>279</v>
      </c>
      <c r="B29" s="5" t="s">
        <v>380</v>
      </c>
      <c r="C29" s="5" t="n">
        <v>100</v>
      </c>
      <c r="D29" s="5" t="s">
        <v>381</v>
      </c>
      <c r="E29" s="21" t="s">
        <v>128</v>
      </c>
      <c r="F29" s="5" t="s">
        <v>382</v>
      </c>
      <c r="G29" s="5" t="s">
        <v>383</v>
      </c>
      <c r="H29" s="5"/>
      <c r="I29" s="5" t="s">
        <v>284</v>
      </c>
      <c r="J29" s="18"/>
      <c r="K29" s="18"/>
      <c r="L29" s="5" t="str">
        <f aca="false">IF(J29&lt;&gt;"",J29,IF($J$28="Freigeben","Freigeben",""))</f>
        <v/>
      </c>
    </row>
    <row r="30" customFormat="false" ht="43.5" hidden="false" customHeight="true" outlineLevel="0" collapsed="false">
      <c r="A30" s="5" t="s">
        <v>279</v>
      </c>
      <c r="B30" s="23" t="s">
        <v>384</v>
      </c>
      <c r="C30" s="5" t="n">
        <v>100</v>
      </c>
      <c r="D30" s="5" t="s">
        <v>385</v>
      </c>
      <c r="E30" s="22" t="s">
        <v>194</v>
      </c>
      <c r="F30" s="5" t="s">
        <v>386</v>
      </c>
      <c r="G30" s="5" t="s">
        <v>387</v>
      </c>
      <c r="H30" s="5" t="s">
        <v>306</v>
      </c>
      <c r="I30" s="23" t="s">
        <v>335</v>
      </c>
      <c r="J30" s="18"/>
      <c r="K30" s="18"/>
      <c r="L30" s="5" t="str">
        <f aca="false">IF(J30&lt;&gt;"",J30,IF($J$28="Freigeben","Freigeben",""))</f>
        <v/>
      </c>
    </row>
    <row r="31" customFormat="false" ht="30" hidden="false" customHeight="true" outlineLevel="0" collapsed="false">
      <c r="A31" s="5" t="s">
        <v>279</v>
      </c>
      <c r="B31" s="5" t="s">
        <v>388</v>
      </c>
      <c r="C31" s="5" t="n">
        <v>100</v>
      </c>
      <c r="D31" s="5" t="s">
        <v>389</v>
      </c>
      <c r="E31" s="22" t="s">
        <v>194</v>
      </c>
      <c r="F31" s="5" t="s">
        <v>390</v>
      </c>
      <c r="G31" s="5" t="s">
        <v>391</v>
      </c>
      <c r="H31" s="5"/>
      <c r="I31" s="5" t="s">
        <v>284</v>
      </c>
      <c r="J31" s="18"/>
      <c r="K31" s="18"/>
      <c r="L31" s="5" t="str">
        <f aca="false">IF(J31&lt;&gt;"",J31,IF($J$28="Freigeben","Freigeben",""))</f>
        <v/>
      </c>
    </row>
    <row r="32" customFormat="false" ht="43.5" hidden="false" customHeight="true" outlineLevel="0" collapsed="false">
      <c r="A32" s="5" t="s">
        <v>279</v>
      </c>
      <c r="B32" s="5" t="s">
        <v>392</v>
      </c>
      <c r="C32" s="5" t="n">
        <v>1</v>
      </c>
      <c r="D32" s="5" t="s">
        <v>393</v>
      </c>
      <c r="E32" s="16" t="s">
        <v>295</v>
      </c>
      <c r="F32" s="5" t="s">
        <v>296</v>
      </c>
      <c r="G32" s="5"/>
      <c r="H32" s="5" t="s">
        <v>297</v>
      </c>
      <c r="I32" s="5" t="s">
        <v>298</v>
      </c>
      <c r="J32" s="18"/>
      <c r="K32" s="18"/>
      <c r="L32" s="5" t="str">
        <f aca="false">IF(J32&lt;&gt;"",J32,IF($J$28="Freigeben","Freigeben",""))</f>
        <v/>
      </c>
    </row>
    <row r="33" customFormat="false" ht="124.5" hidden="false" customHeight="true" outlineLevel="0" collapsed="false">
      <c r="A33" s="19" t="s">
        <v>274</v>
      </c>
      <c r="B33" s="19" t="s">
        <v>394</v>
      </c>
      <c r="C33" s="20"/>
      <c r="D33" s="20" t="s">
        <v>395</v>
      </c>
      <c r="E33" s="20"/>
      <c r="F33" s="20"/>
      <c r="G33" s="20"/>
      <c r="H33" s="20" t="s">
        <v>396</v>
      </c>
      <c r="I33" s="20" t="s">
        <v>322</v>
      </c>
      <c r="J33" s="18"/>
      <c r="K33" s="20"/>
      <c r="L33" s="20"/>
    </row>
    <row r="34" customFormat="false" ht="30" hidden="false" customHeight="true" outlineLevel="0" collapsed="false">
      <c r="A34" s="5" t="s">
        <v>279</v>
      </c>
      <c r="B34" s="5" t="s">
        <v>397</v>
      </c>
      <c r="C34" s="5" t="n">
        <v>100</v>
      </c>
      <c r="D34" s="5" t="s">
        <v>398</v>
      </c>
      <c r="E34" s="21" t="s">
        <v>128</v>
      </c>
      <c r="F34" s="5" t="s">
        <v>399</v>
      </c>
      <c r="G34" s="5" t="s">
        <v>400</v>
      </c>
      <c r="H34" s="5"/>
      <c r="I34" s="5" t="s">
        <v>284</v>
      </c>
      <c r="J34" s="18"/>
      <c r="K34" s="18"/>
      <c r="L34" s="5" t="str">
        <f aca="false">IF(J34&lt;&gt;"",J34,IF($J$33="Freigeben","Freigeben",""))</f>
        <v/>
      </c>
    </row>
    <row r="35" customFormat="false" ht="30" hidden="false" customHeight="true" outlineLevel="0" collapsed="false">
      <c r="A35" s="5" t="s">
        <v>279</v>
      </c>
      <c r="B35" s="5" t="s">
        <v>401</v>
      </c>
      <c r="C35" s="5" t="n">
        <v>100</v>
      </c>
      <c r="D35" s="5" t="s">
        <v>402</v>
      </c>
      <c r="E35" s="21" t="s">
        <v>128</v>
      </c>
      <c r="F35" s="5" t="s">
        <v>399</v>
      </c>
      <c r="G35" s="5" t="s">
        <v>400</v>
      </c>
      <c r="H35" s="5"/>
      <c r="I35" s="5" t="s">
        <v>284</v>
      </c>
      <c r="J35" s="18"/>
      <c r="K35" s="18"/>
      <c r="L35" s="5" t="str">
        <f aca="false">IF(J35&lt;&gt;"",J35,IF($J$33="Freigeben","Freigeben",""))</f>
        <v/>
      </c>
    </row>
    <row r="36" customFormat="false" ht="16.5" hidden="false" customHeight="true" outlineLevel="0" collapsed="false">
      <c r="A36" s="5" t="s">
        <v>279</v>
      </c>
      <c r="B36" s="5" t="s">
        <v>403</v>
      </c>
      <c r="C36" s="5" t="n">
        <v>100</v>
      </c>
      <c r="D36" s="5" t="s">
        <v>404</v>
      </c>
      <c r="E36" s="22" t="s">
        <v>194</v>
      </c>
      <c r="F36" s="5" t="s">
        <v>405</v>
      </c>
      <c r="G36" s="5" t="s">
        <v>406</v>
      </c>
      <c r="H36" s="5"/>
      <c r="I36" s="5" t="s">
        <v>284</v>
      </c>
      <c r="J36" s="18"/>
      <c r="K36" s="18"/>
      <c r="L36" s="5" t="str">
        <f aca="false">IF(J36&lt;&gt;"",J36,IF($J$33="Freigeben","Freigeben",""))</f>
        <v/>
      </c>
    </row>
    <row r="37" customFormat="false" ht="30" hidden="false" customHeight="true" outlineLevel="0" collapsed="false">
      <c r="A37" s="5" t="s">
        <v>279</v>
      </c>
      <c r="B37" s="5" t="s">
        <v>407</v>
      </c>
      <c r="C37" s="5" t="n">
        <v>100</v>
      </c>
      <c r="D37" s="5" t="s">
        <v>408</v>
      </c>
      <c r="E37" s="22" t="s">
        <v>194</v>
      </c>
      <c r="F37" s="5" t="s">
        <v>409</v>
      </c>
      <c r="G37" s="5" t="s">
        <v>410</v>
      </c>
      <c r="H37" s="5"/>
      <c r="I37" s="5" t="s">
        <v>284</v>
      </c>
      <c r="J37" s="18"/>
      <c r="K37" s="18"/>
      <c r="L37" s="5" t="str">
        <f aca="false">IF(J37&lt;&gt;"",J37,IF($J$33="Freigeben","Freigeben",""))</f>
        <v/>
      </c>
    </row>
    <row r="38" customFormat="false" ht="70.5" hidden="false" customHeight="true" outlineLevel="0" collapsed="false">
      <c r="A38" s="5" t="s">
        <v>279</v>
      </c>
      <c r="B38" s="5" t="s">
        <v>411</v>
      </c>
      <c r="C38" s="5" t="n">
        <v>100</v>
      </c>
      <c r="D38" s="5" t="s">
        <v>412</v>
      </c>
      <c r="E38" s="21" t="s">
        <v>128</v>
      </c>
      <c r="F38" s="5" t="s">
        <v>413</v>
      </c>
      <c r="G38" s="5" t="s">
        <v>414</v>
      </c>
      <c r="H38" s="5" t="s">
        <v>415</v>
      </c>
      <c r="I38" s="5" t="s">
        <v>284</v>
      </c>
      <c r="J38" s="18"/>
      <c r="K38" s="18"/>
      <c r="L38" s="5" t="str">
        <f aca="false">IF(J38&lt;&gt;"",J38,IF($J$33="Freigeben","Freigeben",""))</f>
        <v/>
      </c>
    </row>
    <row r="39" customFormat="false" ht="43.5" hidden="false" customHeight="true" outlineLevel="0" collapsed="false">
      <c r="A39" s="5" t="s">
        <v>279</v>
      </c>
      <c r="B39" s="5" t="s">
        <v>416</v>
      </c>
      <c r="C39" s="5" t="n">
        <v>1</v>
      </c>
      <c r="D39" s="5" t="s">
        <v>417</v>
      </c>
      <c r="E39" s="16" t="s">
        <v>295</v>
      </c>
      <c r="F39" s="5" t="s">
        <v>296</v>
      </c>
      <c r="G39" s="5"/>
      <c r="H39" s="5" t="s">
        <v>297</v>
      </c>
      <c r="I39" s="5" t="s">
        <v>298</v>
      </c>
      <c r="J39" s="18"/>
      <c r="K39" s="18"/>
      <c r="L39" s="5" t="str">
        <f aca="false">IF(J39&lt;&gt;"",J39,IF($J$33="Freigeben","Freigeben",""))</f>
        <v/>
      </c>
    </row>
    <row r="40" customFormat="false" ht="111" hidden="false" customHeight="true" outlineLevel="0" collapsed="false">
      <c r="A40" s="19" t="s">
        <v>274</v>
      </c>
      <c r="B40" s="19" t="s">
        <v>418</v>
      </c>
      <c r="C40" s="20"/>
      <c r="D40" s="20" t="s">
        <v>419</v>
      </c>
      <c r="E40" s="20"/>
      <c r="F40" s="20"/>
      <c r="G40" s="20"/>
      <c r="H40" s="20" t="s">
        <v>420</v>
      </c>
      <c r="I40" s="20" t="s">
        <v>421</v>
      </c>
      <c r="J40" s="18"/>
      <c r="K40" s="20"/>
      <c r="L40" s="20"/>
    </row>
    <row r="41" customFormat="false" ht="43.5" hidden="false" customHeight="true" outlineLevel="0" collapsed="false">
      <c r="A41" s="24" t="s">
        <v>279</v>
      </c>
      <c r="B41" s="24" t="s">
        <v>422</v>
      </c>
      <c r="C41" s="24" t="n">
        <v>100</v>
      </c>
      <c r="D41" s="24" t="s">
        <v>423</v>
      </c>
      <c r="E41" s="24" t="s">
        <v>215</v>
      </c>
      <c r="F41" s="24" t="s">
        <v>424</v>
      </c>
      <c r="G41" s="24" t="s">
        <v>425</v>
      </c>
      <c r="H41" s="24" t="s">
        <v>426</v>
      </c>
      <c r="I41" s="24" t="s">
        <v>427</v>
      </c>
      <c r="J41" s="24"/>
      <c r="K41" s="24"/>
      <c r="L41" s="24"/>
    </row>
    <row r="42" customFormat="false" ht="30" hidden="false" customHeight="true" outlineLevel="0" collapsed="false">
      <c r="A42" s="24" t="s">
        <v>279</v>
      </c>
      <c r="B42" s="24" t="s">
        <v>428</v>
      </c>
      <c r="C42" s="24" t="n">
        <v>100</v>
      </c>
      <c r="D42" s="24" t="s">
        <v>429</v>
      </c>
      <c r="E42" s="24" t="s">
        <v>215</v>
      </c>
      <c r="F42" s="24" t="s">
        <v>430</v>
      </c>
      <c r="G42" s="24" t="s">
        <v>431</v>
      </c>
      <c r="H42" s="24" t="s">
        <v>432</v>
      </c>
      <c r="I42" s="24" t="s">
        <v>427</v>
      </c>
      <c r="J42" s="24"/>
      <c r="K42" s="24"/>
      <c r="L42" s="24"/>
    </row>
    <row r="43" customFormat="false" ht="30" hidden="false" customHeight="true" outlineLevel="0" collapsed="false">
      <c r="A43" s="24" t="s">
        <v>279</v>
      </c>
      <c r="B43" s="24" t="s">
        <v>433</v>
      </c>
      <c r="C43" s="24" t="n">
        <v>100</v>
      </c>
      <c r="D43" s="24" t="s">
        <v>434</v>
      </c>
      <c r="E43" s="24" t="s">
        <v>215</v>
      </c>
      <c r="F43" s="24" t="s">
        <v>435</v>
      </c>
      <c r="G43" s="24" t="s">
        <v>436</v>
      </c>
      <c r="H43" s="24" t="s">
        <v>432</v>
      </c>
      <c r="I43" s="24" t="s">
        <v>427</v>
      </c>
      <c r="J43" s="24"/>
      <c r="K43" s="24"/>
      <c r="L43" s="24"/>
    </row>
    <row r="44" customFormat="false" ht="43.5" hidden="false" customHeight="true" outlineLevel="0" collapsed="false">
      <c r="A44" s="5" t="s">
        <v>279</v>
      </c>
      <c r="B44" s="5" t="s">
        <v>437</v>
      </c>
      <c r="C44" s="5" t="n">
        <v>1</v>
      </c>
      <c r="D44" s="5" t="s">
        <v>438</v>
      </c>
      <c r="E44" s="16" t="s">
        <v>295</v>
      </c>
      <c r="F44" s="5" t="s">
        <v>296</v>
      </c>
      <c r="G44" s="5"/>
      <c r="H44" s="5" t="s">
        <v>297</v>
      </c>
      <c r="I44" s="5" t="s">
        <v>298</v>
      </c>
      <c r="J44" s="18"/>
      <c r="K44" s="18"/>
      <c r="L44" s="5" t="str">
        <f aca="false">IF(J44&lt;&gt;"",J44,IF($J$40="Freigeben","Freigeben",""))</f>
        <v/>
      </c>
    </row>
    <row r="45" customFormat="false" ht="97.5" hidden="false" customHeight="true" outlineLevel="0" collapsed="false">
      <c r="A45" s="19" t="s">
        <v>274</v>
      </c>
      <c r="B45" s="19" t="s">
        <v>439</v>
      </c>
      <c r="C45" s="20"/>
      <c r="D45" s="20" t="s">
        <v>440</v>
      </c>
      <c r="E45" s="20"/>
      <c r="F45" s="20"/>
      <c r="G45" s="20"/>
      <c r="H45" s="20" t="s">
        <v>441</v>
      </c>
      <c r="I45" s="20" t="s">
        <v>442</v>
      </c>
      <c r="J45" s="18"/>
      <c r="K45" s="20"/>
      <c r="L45" s="20"/>
    </row>
    <row r="46" customFormat="false" ht="30" hidden="false" customHeight="true" outlineLevel="0" collapsed="false">
      <c r="A46" s="5" t="s">
        <v>279</v>
      </c>
      <c r="B46" s="5" t="s">
        <v>443</v>
      </c>
      <c r="C46" s="5" t="n">
        <v>100</v>
      </c>
      <c r="D46" s="5" t="s">
        <v>444</v>
      </c>
      <c r="E46" s="21" t="s">
        <v>128</v>
      </c>
      <c r="F46" s="5" t="s">
        <v>445</v>
      </c>
      <c r="G46" s="5" t="s">
        <v>446</v>
      </c>
      <c r="H46" s="5"/>
      <c r="I46" s="5" t="s">
        <v>284</v>
      </c>
      <c r="J46" s="18"/>
      <c r="K46" s="18"/>
      <c r="L46" s="5" t="str">
        <f aca="false">IF(J46&lt;&gt;"",J46,IF($J$45="Freigeben","Freigeben",""))</f>
        <v/>
      </c>
    </row>
    <row r="47" customFormat="false" ht="43.5" hidden="false" customHeight="true" outlineLevel="0" collapsed="false">
      <c r="A47" s="5" t="s">
        <v>279</v>
      </c>
      <c r="B47" s="23" t="s">
        <v>447</v>
      </c>
      <c r="C47" s="5" t="n">
        <v>100</v>
      </c>
      <c r="D47" s="5" t="s">
        <v>448</v>
      </c>
      <c r="E47" s="22" t="s">
        <v>194</v>
      </c>
      <c r="F47" s="5" t="s">
        <v>449</v>
      </c>
      <c r="G47" s="5" t="s">
        <v>450</v>
      </c>
      <c r="H47" s="5" t="s">
        <v>451</v>
      </c>
      <c r="I47" s="23" t="s">
        <v>335</v>
      </c>
      <c r="J47" s="18"/>
      <c r="K47" s="18"/>
      <c r="L47" s="5" t="str">
        <f aca="false">IF(J47&lt;&gt;"",J47,IF($J$45="Freigeben","Freigeben",""))</f>
        <v/>
      </c>
    </row>
    <row r="48" customFormat="false" ht="30" hidden="false" customHeight="true" outlineLevel="0" collapsed="false">
      <c r="A48" s="24" t="s">
        <v>279</v>
      </c>
      <c r="B48" s="24" t="s">
        <v>452</v>
      </c>
      <c r="C48" s="24" t="n">
        <v>100</v>
      </c>
      <c r="D48" s="24" t="s">
        <v>453</v>
      </c>
      <c r="E48" s="24" t="s">
        <v>295</v>
      </c>
      <c r="F48" s="24"/>
      <c r="G48" s="24"/>
      <c r="H48" s="24" t="s">
        <v>454</v>
      </c>
      <c r="I48" s="24" t="s">
        <v>427</v>
      </c>
      <c r="J48" s="24"/>
      <c r="K48" s="24"/>
      <c r="L48" s="24"/>
    </row>
    <row r="49" customFormat="false" ht="43.5" hidden="false" customHeight="true" outlineLevel="0" collapsed="false">
      <c r="A49" s="5" t="s">
        <v>279</v>
      </c>
      <c r="B49" s="5" t="s">
        <v>455</v>
      </c>
      <c r="C49" s="5" t="n">
        <v>1</v>
      </c>
      <c r="D49" s="5" t="s">
        <v>456</v>
      </c>
      <c r="E49" s="16" t="s">
        <v>295</v>
      </c>
      <c r="F49" s="5" t="s">
        <v>296</v>
      </c>
      <c r="G49" s="5"/>
      <c r="H49" s="5" t="s">
        <v>297</v>
      </c>
      <c r="I49" s="5" t="s">
        <v>298</v>
      </c>
      <c r="J49" s="18"/>
      <c r="K49" s="18"/>
      <c r="L49" s="5" t="str">
        <f aca="false">IF(J49&lt;&gt;"",J49,IF($J$45="Freigeben","Freigeben",""))</f>
        <v/>
      </c>
    </row>
  </sheetData>
  <sheetProtection sheet="true" formatColumns="false" formatRows="false" sort="false" autoFilter="false"/>
  <autoFilter ref="A1:L49"/>
  <conditionalFormatting sqref="K2:K49">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7 J12 J19 J24 J28 J33 J40 J45"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6 J8:J11 J13:J18 J20:J23 J25:J27 J29:J32 J34:J39 J44 J46:J47 J49"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111" hidden="false" customHeight="true" outlineLevel="0" collapsed="false">
      <c r="A2" s="19" t="s">
        <v>274</v>
      </c>
      <c r="B2" s="19" t="s">
        <v>457</v>
      </c>
      <c r="C2" s="20"/>
      <c r="D2" s="20" t="s">
        <v>458</v>
      </c>
      <c r="E2" s="20"/>
      <c r="F2" s="20"/>
      <c r="G2" s="20"/>
      <c r="H2" s="20" t="s">
        <v>459</v>
      </c>
      <c r="I2" s="20" t="s">
        <v>460</v>
      </c>
      <c r="J2" s="18"/>
      <c r="K2" s="20"/>
      <c r="L2" s="20"/>
    </row>
    <row r="3" customFormat="false" ht="16.5" hidden="false" customHeight="true" outlineLevel="0" collapsed="false">
      <c r="A3" s="5" t="s">
        <v>279</v>
      </c>
      <c r="B3" s="5" t="s">
        <v>461</v>
      </c>
      <c r="C3" s="5" t="n">
        <v>100</v>
      </c>
      <c r="D3" s="5" t="s">
        <v>462</v>
      </c>
      <c r="E3" s="21" t="s">
        <v>128</v>
      </c>
      <c r="F3" s="5" t="s">
        <v>282</v>
      </c>
      <c r="G3" s="5" t="s">
        <v>283</v>
      </c>
      <c r="H3" s="5"/>
      <c r="I3" s="5" t="s">
        <v>284</v>
      </c>
      <c r="J3" s="18"/>
      <c r="K3" s="18"/>
      <c r="L3" s="5" t="str">
        <f aca="false">IF(J3&lt;&gt;"",J3,IF($J$2="Freigeben","Freigeben",""))</f>
        <v/>
      </c>
    </row>
    <row r="4" customFormat="false" ht="30" hidden="false" customHeight="true" outlineLevel="0" collapsed="false">
      <c r="A4" s="5" t="s">
        <v>279</v>
      </c>
      <c r="B4" s="5" t="s">
        <v>463</v>
      </c>
      <c r="C4" s="5" t="n">
        <v>100</v>
      </c>
      <c r="D4" s="5" t="s">
        <v>464</v>
      </c>
      <c r="E4" s="22" t="s">
        <v>194</v>
      </c>
      <c r="F4" s="5" t="s">
        <v>282</v>
      </c>
      <c r="G4" s="5" t="s">
        <v>283</v>
      </c>
      <c r="H4" s="5"/>
      <c r="I4" s="5" t="s">
        <v>284</v>
      </c>
      <c r="J4" s="18"/>
      <c r="K4" s="18"/>
      <c r="L4" s="5" t="str">
        <f aca="false">IF(J4&lt;&gt;"",J4,IF($J$2="Freigeben","Freigeben",""))</f>
        <v/>
      </c>
    </row>
    <row r="5" customFormat="false" ht="16.5" hidden="false" customHeight="true" outlineLevel="0" collapsed="false">
      <c r="A5" s="5" t="s">
        <v>279</v>
      </c>
      <c r="B5" s="5" t="s">
        <v>465</v>
      </c>
      <c r="C5" s="5" t="n">
        <v>100</v>
      </c>
      <c r="D5" s="5" t="s">
        <v>466</v>
      </c>
      <c r="E5" s="22" t="s">
        <v>194</v>
      </c>
      <c r="F5" s="5" t="s">
        <v>282</v>
      </c>
      <c r="G5" s="5" t="s">
        <v>287</v>
      </c>
      <c r="H5" s="5"/>
      <c r="I5" s="5" t="s">
        <v>284</v>
      </c>
      <c r="J5" s="18"/>
      <c r="K5" s="18"/>
      <c r="L5" s="5" t="str">
        <f aca="false">IF(J5&lt;&gt;"",J5,IF($J$2="Freigeben","Freigeben",""))</f>
        <v/>
      </c>
    </row>
    <row r="6" customFormat="false" ht="30" hidden="false" customHeight="true" outlineLevel="0" collapsed="false">
      <c r="A6" s="5" t="s">
        <v>279</v>
      </c>
      <c r="B6" s="23" t="s">
        <v>467</v>
      </c>
      <c r="C6" s="5" t="n">
        <v>100</v>
      </c>
      <c r="D6" s="5" t="s">
        <v>468</v>
      </c>
      <c r="E6" s="22" t="s">
        <v>194</v>
      </c>
      <c r="F6" s="5" t="s">
        <v>469</v>
      </c>
      <c r="G6" s="5" t="s">
        <v>470</v>
      </c>
      <c r="H6" s="5" t="s">
        <v>451</v>
      </c>
      <c r="I6" s="23" t="s">
        <v>335</v>
      </c>
      <c r="J6" s="18"/>
      <c r="K6" s="18"/>
      <c r="L6" s="5" t="str">
        <f aca="false">IF(J6&lt;&gt;"",J6,IF($J$2="Freigeben","Freigeben",""))</f>
        <v/>
      </c>
    </row>
    <row r="7" customFormat="false" ht="43.5" hidden="false" customHeight="true" outlineLevel="0" collapsed="false">
      <c r="A7" s="5" t="s">
        <v>279</v>
      </c>
      <c r="B7" s="5" t="s">
        <v>471</v>
      </c>
      <c r="C7" s="5" t="n">
        <v>1</v>
      </c>
      <c r="D7" s="5" t="s">
        <v>472</v>
      </c>
      <c r="E7" s="16" t="s">
        <v>295</v>
      </c>
      <c r="F7" s="5" t="s">
        <v>296</v>
      </c>
      <c r="G7" s="5"/>
      <c r="H7" s="5" t="s">
        <v>297</v>
      </c>
      <c r="I7" s="5" t="s">
        <v>298</v>
      </c>
      <c r="J7" s="18"/>
      <c r="K7" s="18"/>
      <c r="L7" s="5" t="str">
        <f aca="false">IF(J7&lt;&gt;"",J7,IF($J$2="Freigeben","Freigeben",""))</f>
        <v/>
      </c>
    </row>
    <row r="8" customFormat="false" ht="124.5" hidden="false" customHeight="true" outlineLevel="0" collapsed="false">
      <c r="A8" s="19" t="s">
        <v>274</v>
      </c>
      <c r="B8" s="19" t="s">
        <v>473</v>
      </c>
      <c r="C8" s="20"/>
      <c r="D8" s="20" t="s">
        <v>474</v>
      </c>
      <c r="E8" s="20"/>
      <c r="F8" s="20"/>
      <c r="G8" s="20"/>
      <c r="H8" s="20" t="s">
        <v>475</v>
      </c>
      <c r="I8" s="20" t="s">
        <v>476</v>
      </c>
      <c r="J8" s="18"/>
      <c r="K8" s="20"/>
      <c r="L8" s="20"/>
    </row>
    <row r="9" customFormat="false" ht="30" hidden="false" customHeight="true" outlineLevel="0" collapsed="false">
      <c r="A9" s="5" t="s">
        <v>279</v>
      </c>
      <c r="B9" s="5" t="s">
        <v>477</v>
      </c>
      <c r="C9" s="5" t="n">
        <v>100</v>
      </c>
      <c r="D9" s="5" t="s">
        <v>478</v>
      </c>
      <c r="E9" s="21" t="s">
        <v>128</v>
      </c>
      <c r="F9" s="5" t="s">
        <v>479</v>
      </c>
      <c r="G9" s="5" t="s">
        <v>480</v>
      </c>
      <c r="H9" s="5"/>
      <c r="I9" s="5" t="s">
        <v>284</v>
      </c>
      <c r="J9" s="18"/>
      <c r="K9" s="18"/>
      <c r="L9" s="5" t="str">
        <f aca="false">IF(J9&lt;&gt;"",J9,IF($J$8="Freigeben","Freigeben",""))</f>
        <v/>
      </c>
    </row>
    <row r="10" customFormat="false" ht="30" hidden="false" customHeight="true" outlineLevel="0" collapsed="false">
      <c r="A10" s="5" t="s">
        <v>279</v>
      </c>
      <c r="B10" s="5" t="s">
        <v>481</v>
      </c>
      <c r="C10" s="5" t="n">
        <v>100</v>
      </c>
      <c r="D10" s="5" t="s">
        <v>482</v>
      </c>
      <c r="E10" s="21" t="s">
        <v>128</v>
      </c>
      <c r="F10" s="5" t="s">
        <v>479</v>
      </c>
      <c r="G10" s="5" t="s">
        <v>483</v>
      </c>
      <c r="H10" s="5"/>
      <c r="I10" s="5" t="s">
        <v>284</v>
      </c>
      <c r="J10" s="18"/>
      <c r="K10" s="18"/>
      <c r="L10" s="5" t="str">
        <f aca="false">IF(J10&lt;&gt;"",J10,IF($J$8="Freigeben","Freigeben",""))</f>
        <v/>
      </c>
    </row>
    <row r="11" customFormat="false" ht="30" hidden="false" customHeight="true" outlineLevel="0" collapsed="false">
      <c r="A11" s="5" t="s">
        <v>279</v>
      </c>
      <c r="B11" s="5" t="s">
        <v>484</v>
      </c>
      <c r="C11" s="5" t="n">
        <v>100</v>
      </c>
      <c r="D11" s="5" t="s">
        <v>485</v>
      </c>
      <c r="E11" s="22" t="s">
        <v>194</v>
      </c>
      <c r="F11" s="5" t="s">
        <v>486</v>
      </c>
      <c r="G11" s="5" t="s">
        <v>487</v>
      </c>
      <c r="H11" s="5"/>
      <c r="I11" s="5" t="s">
        <v>284</v>
      </c>
      <c r="J11" s="18"/>
      <c r="K11" s="18"/>
      <c r="L11" s="5" t="str">
        <f aca="false">IF(J11&lt;&gt;"",J11,IF($J$8="Freigeben","Freigeben",""))</f>
        <v/>
      </c>
    </row>
    <row r="12" customFormat="false" ht="30" hidden="false" customHeight="true" outlineLevel="0" collapsed="false">
      <c r="A12" s="5" t="s">
        <v>279</v>
      </c>
      <c r="B12" s="5" t="s">
        <v>488</v>
      </c>
      <c r="C12" s="5" t="n">
        <v>100</v>
      </c>
      <c r="D12" s="5" t="s">
        <v>489</v>
      </c>
      <c r="E12" s="22" t="s">
        <v>194</v>
      </c>
      <c r="F12" s="5" t="s">
        <v>490</v>
      </c>
      <c r="G12" s="5" t="s">
        <v>487</v>
      </c>
      <c r="H12" s="5"/>
      <c r="I12" s="5" t="s">
        <v>284</v>
      </c>
      <c r="J12" s="18"/>
      <c r="K12" s="18"/>
      <c r="L12" s="5" t="str">
        <f aca="false">IF(J12&lt;&gt;"",J12,IF($J$8="Freigeben","Freigeben",""))</f>
        <v/>
      </c>
    </row>
    <row r="13" customFormat="false" ht="57" hidden="false" customHeight="true" outlineLevel="0" collapsed="false">
      <c r="A13" s="5" t="s">
        <v>279</v>
      </c>
      <c r="B13" s="23" t="s">
        <v>491</v>
      </c>
      <c r="C13" s="5" t="n">
        <v>100</v>
      </c>
      <c r="D13" s="5" t="s">
        <v>492</v>
      </c>
      <c r="E13" s="22" t="s">
        <v>194</v>
      </c>
      <c r="F13" s="5" t="s">
        <v>493</v>
      </c>
      <c r="G13" s="5" t="s">
        <v>494</v>
      </c>
      <c r="H13" s="5" t="s">
        <v>495</v>
      </c>
      <c r="I13" s="23" t="s">
        <v>307</v>
      </c>
      <c r="J13" s="18"/>
      <c r="K13" s="18"/>
      <c r="L13" s="5" t="str">
        <f aca="false">IF(J13&lt;&gt;"",J13,IF($J$8="Freigeben","Freigeben",""))</f>
        <v/>
      </c>
    </row>
    <row r="14" customFormat="false" ht="70.5" hidden="false" customHeight="true" outlineLevel="0" collapsed="false">
      <c r="A14" s="5" t="s">
        <v>279</v>
      </c>
      <c r="B14" s="5" t="s">
        <v>496</v>
      </c>
      <c r="C14" s="5" t="n">
        <v>100</v>
      </c>
      <c r="D14" s="5" t="s">
        <v>497</v>
      </c>
      <c r="E14" s="15" t="s">
        <v>215</v>
      </c>
      <c r="F14" s="5" t="s">
        <v>498</v>
      </c>
      <c r="G14" s="5" t="s">
        <v>499</v>
      </c>
      <c r="H14" s="5" t="s">
        <v>500</v>
      </c>
      <c r="I14" s="5" t="s">
        <v>284</v>
      </c>
      <c r="J14" s="18"/>
      <c r="K14" s="18"/>
      <c r="L14" s="5" t="str">
        <f aca="false">IF(J14&lt;&gt;"",J14,IF($J$8="Freigeben","Freigeben",""))</f>
        <v/>
      </c>
    </row>
    <row r="15" customFormat="false" ht="43.5" hidden="false" customHeight="true" outlineLevel="0" collapsed="false">
      <c r="A15" s="5" t="s">
        <v>279</v>
      </c>
      <c r="B15" s="5" t="s">
        <v>501</v>
      </c>
      <c r="C15" s="5" t="n">
        <v>1</v>
      </c>
      <c r="D15" s="5" t="s">
        <v>502</v>
      </c>
      <c r="E15" s="16" t="s">
        <v>295</v>
      </c>
      <c r="F15" s="5" t="s">
        <v>296</v>
      </c>
      <c r="G15" s="5"/>
      <c r="H15" s="5" t="s">
        <v>297</v>
      </c>
      <c r="I15" s="5" t="s">
        <v>298</v>
      </c>
      <c r="J15" s="18"/>
      <c r="K15" s="18"/>
      <c r="L15" s="5" t="str">
        <f aca="false">IF(J15&lt;&gt;"",J15,IF($J$8="Freigeben","Freigeben",""))</f>
        <v/>
      </c>
    </row>
    <row r="16" customFormat="false" ht="124.5" hidden="false" customHeight="true" outlineLevel="0" collapsed="false">
      <c r="A16" s="19" t="s">
        <v>274</v>
      </c>
      <c r="B16" s="19" t="s">
        <v>503</v>
      </c>
      <c r="C16" s="20"/>
      <c r="D16" s="20" t="s">
        <v>504</v>
      </c>
      <c r="E16" s="20"/>
      <c r="F16" s="20"/>
      <c r="G16" s="20"/>
      <c r="H16" s="20" t="s">
        <v>505</v>
      </c>
      <c r="I16" s="20" t="s">
        <v>460</v>
      </c>
      <c r="J16" s="18"/>
      <c r="K16" s="20"/>
      <c r="L16" s="20"/>
    </row>
    <row r="17" customFormat="false" ht="30" hidden="false" customHeight="true" outlineLevel="0" collapsed="false">
      <c r="A17" s="5" t="s">
        <v>279</v>
      </c>
      <c r="B17" s="5" t="s">
        <v>506</v>
      </c>
      <c r="C17" s="5" t="n">
        <v>100</v>
      </c>
      <c r="D17" s="5" t="s">
        <v>507</v>
      </c>
      <c r="E17" s="21" t="s">
        <v>128</v>
      </c>
      <c r="F17" s="5" t="s">
        <v>479</v>
      </c>
      <c r="G17" s="5" t="s">
        <v>508</v>
      </c>
      <c r="H17" s="5"/>
      <c r="I17" s="5" t="s">
        <v>284</v>
      </c>
      <c r="J17" s="18"/>
      <c r="K17" s="18"/>
      <c r="L17" s="5" t="str">
        <f aca="false">IF(J17&lt;&gt;"",J17,IF($J$16="Freigeben","Freigeben",""))</f>
        <v/>
      </c>
    </row>
    <row r="18" customFormat="false" ht="30" hidden="false" customHeight="true" outlineLevel="0" collapsed="false">
      <c r="A18" s="5" t="s">
        <v>279</v>
      </c>
      <c r="B18" s="5" t="s">
        <v>509</v>
      </c>
      <c r="C18" s="5" t="n">
        <v>100</v>
      </c>
      <c r="D18" s="5" t="s">
        <v>510</v>
      </c>
      <c r="E18" s="21" t="s">
        <v>128</v>
      </c>
      <c r="F18" s="5" t="s">
        <v>479</v>
      </c>
      <c r="G18" s="5" t="s">
        <v>508</v>
      </c>
      <c r="H18" s="5"/>
      <c r="I18" s="5" t="s">
        <v>284</v>
      </c>
      <c r="J18" s="18"/>
      <c r="K18" s="18"/>
      <c r="L18" s="5" t="str">
        <f aca="false">IF(J18&lt;&gt;"",J18,IF($J$16="Freigeben","Freigeben",""))</f>
        <v/>
      </c>
    </row>
    <row r="19" customFormat="false" ht="30" hidden="false" customHeight="true" outlineLevel="0" collapsed="false">
      <c r="A19" s="5" t="s">
        <v>279</v>
      </c>
      <c r="B19" s="5" t="s">
        <v>511</v>
      </c>
      <c r="C19" s="5" t="n">
        <v>100</v>
      </c>
      <c r="D19" s="5" t="s">
        <v>512</v>
      </c>
      <c r="E19" s="22" t="s">
        <v>194</v>
      </c>
      <c r="F19" s="5" t="s">
        <v>479</v>
      </c>
      <c r="G19" s="5" t="s">
        <v>508</v>
      </c>
      <c r="H19" s="5"/>
      <c r="I19" s="5" t="s">
        <v>284</v>
      </c>
      <c r="J19" s="18"/>
      <c r="K19" s="18"/>
      <c r="L19" s="5" t="str">
        <f aca="false">IF(J19&lt;&gt;"",J19,IF($J$16="Freigeben","Freigeben",""))</f>
        <v/>
      </c>
    </row>
    <row r="20" customFormat="false" ht="30" hidden="false" customHeight="true" outlineLevel="0" collapsed="false">
      <c r="A20" s="5" t="s">
        <v>279</v>
      </c>
      <c r="B20" s="5" t="s">
        <v>513</v>
      </c>
      <c r="C20" s="5" t="n">
        <v>100</v>
      </c>
      <c r="D20" s="5" t="s">
        <v>514</v>
      </c>
      <c r="E20" s="22" t="s">
        <v>194</v>
      </c>
      <c r="F20" s="5" t="s">
        <v>515</v>
      </c>
      <c r="G20" s="5" t="s">
        <v>516</v>
      </c>
      <c r="H20" s="5"/>
      <c r="I20" s="5" t="s">
        <v>284</v>
      </c>
      <c r="J20" s="18"/>
      <c r="K20" s="18"/>
      <c r="L20" s="5" t="str">
        <f aca="false">IF(J20&lt;&gt;"",J20,IF($J$16="Freigeben","Freigeben",""))</f>
        <v/>
      </c>
    </row>
    <row r="21" customFormat="false" ht="43.5" hidden="false" customHeight="true" outlineLevel="0" collapsed="false">
      <c r="A21" s="5" t="s">
        <v>279</v>
      </c>
      <c r="B21" s="5" t="s">
        <v>517</v>
      </c>
      <c r="C21" s="5" t="n">
        <v>1</v>
      </c>
      <c r="D21" s="5" t="s">
        <v>518</v>
      </c>
      <c r="E21" s="16" t="s">
        <v>295</v>
      </c>
      <c r="F21" s="5" t="s">
        <v>296</v>
      </c>
      <c r="G21" s="5"/>
      <c r="H21" s="5" t="s">
        <v>297</v>
      </c>
      <c r="I21" s="5" t="s">
        <v>298</v>
      </c>
      <c r="J21" s="18"/>
      <c r="K21" s="18"/>
      <c r="L21" s="5" t="str">
        <f aca="false">IF(J21&lt;&gt;"",J21,IF($J$16="Freigeben","Freigeben",""))</f>
        <v/>
      </c>
    </row>
    <row r="22" customFormat="false" ht="97.5" hidden="false" customHeight="true" outlineLevel="0" collapsed="false">
      <c r="A22" s="19" t="s">
        <v>274</v>
      </c>
      <c r="B22" s="19" t="s">
        <v>519</v>
      </c>
      <c r="C22" s="20"/>
      <c r="D22" s="20" t="s">
        <v>520</v>
      </c>
      <c r="E22" s="20"/>
      <c r="F22" s="20"/>
      <c r="G22" s="20"/>
      <c r="H22" s="20" t="s">
        <v>521</v>
      </c>
      <c r="I22" s="20" t="s">
        <v>278</v>
      </c>
      <c r="J22" s="18"/>
      <c r="K22" s="20"/>
      <c r="L22" s="20"/>
    </row>
    <row r="23" customFormat="false" ht="30" hidden="false" customHeight="true" outlineLevel="0" collapsed="false">
      <c r="A23" s="5" t="s">
        <v>279</v>
      </c>
      <c r="B23" s="5" t="s">
        <v>522</v>
      </c>
      <c r="C23" s="5" t="n">
        <v>100</v>
      </c>
      <c r="D23" s="5" t="s">
        <v>523</v>
      </c>
      <c r="E23" s="21" t="s">
        <v>128</v>
      </c>
      <c r="F23" s="5" t="s">
        <v>524</v>
      </c>
      <c r="G23" s="5" t="s">
        <v>525</v>
      </c>
      <c r="H23" s="5"/>
      <c r="I23" s="5" t="s">
        <v>284</v>
      </c>
      <c r="J23" s="18"/>
      <c r="K23" s="18"/>
      <c r="L23" s="5" t="str">
        <f aca="false">IF(J23&lt;&gt;"",J23,IF($J$22="Freigeben","Freigeben",""))</f>
        <v/>
      </c>
    </row>
    <row r="24" customFormat="false" ht="43.5" hidden="false" customHeight="true" outlineLevel="0" collapsed="false">
      <c r="A24" s="5" t="s">
        <v>279</v>
      </c>
      <c r="B24" s="5" t="s">
        <v>526</v>
      </c>
      <c r="C24" s="5" t="n">
        <v>100</v>
      </c>
      <c r="D24" s="5" t="s">
        <v>527</v>
      </c>
      <c r="E24" s="22" t="s">
        <v>194</v>
      </c>
      <c r="F24" s="5" t="s">
        <v>528</v>
      </c>
      <c r="G24" s="5" t="s">
        <v>529</v>
      </c>
      <c r="H24" s="5"/>
      <c r="I24" s="5" t="s">
        <v>284</v>
      </c>
      <c r="J24" s="18"/>
      <c r="K24" s="18"/>
      <c r="L24" s="5" t="str">
        <f aca="false">IF(J24&lt;&gt;"",J24,IF($J$22="Freigeben","Freigeben",""))</f>
        <v/>
      </c>
    </row>
    <row r="25" customFormat="false" ht="30" hidden="false" customHeight="true" outlineLevel="0" collapsed="false">
      <c r="A25" s="5" t="s">
        <v>279</v>
      </c>
      <c r="B25" s="5" t="s">
        <v>530</v>
      </c>
      <c r="C25" s="5" t="n">
        <v>100</v>
      </c>
      <c r="D25" s="5" t="s">
        <v>531</v>
      </c>
      <c r="E25" s="22" t="s">
        <v>194</v>
      </c>
      <c r="F25" s="5" t="s">
        <v>532</v>
      </c>
      <c r="G25" s="5" t="s">
        <v>533</v>
      </c>
      <c r="H25" s="5"/>
      <c r="I25" s="5" t="s">
        <v>284</v>
      </c>
      <c r="J25" s="18"/>
      <c r="K25" s="18"/>
      <c r="L25" s="5" t="str">
        <f aca="false">IF(J25&lt;&gt;"",J25,IF($J$22="Freigeben","Freigeben",""))</f>
        <v/>
      </c>
    </row>
    <row r="26" customFormat="false" ht="43.5" hidden="false" customHeight="true" outlineLevel="0" collapsed="false">
      <c r="A26" s="5" t="s">
        <v>279</v>
      </c>
      <c r="B26" s="5" t="s">
        <v>534</v>
      </c>
      <c r="C26" s="5" t="n">
        <v>1</v>
      </c>
      <c r="D26" s="5" t="s">
        <v>535</v>
      </c>
      <c r="E26" s="16" t="s">
        <v>295</v>
      </c>
      <c r="F26" s="5" t="s">
        <v>296</v>
      </c>
      <c r="G26" s="5"/>
      <c r="H26" s="5" t="s">
        <v>297</v>
      </c>
      <c r="I26" s="5" t="s">
        <v>298</v>
      </c>
      <c r="J26" s="18"/>
      <c r="K26" s="18"/>
      <c r="L26" s="5" t="str">
        <f aca="false">IF(J26&lt;&gt;"",J26,IF($J$22="Freigeben","Freigeben",""))</f>
        <v/>
      </c>
    </row>
    <row r="27" customFormat="false" ht="97.5" hidden="false" customHeight="true" outlineLevel="0" collapsed="false">
      <c r="A27" s="19" t="s">
        <v>274</v>
      </c>
      <c r="B27" s="19" t="s">
        <v>536</v>
      </c>
      <c r="C27" s="20"/>
      <c r="D27" s="20" t="s">
        <v>537</v>
      </c>
      <c r="E27" s="20"/>
      <c r="F27" s="20"/>
      <c r="G27" s="20"/>
      <c r="H27" s="20" t="s">
        <v>538</v>
      </c>
      <c r="I27" s="20" t="s">
        <v>278</v>
      </c>
      <c r="J27" s="18"/>
      <c r="K27" s="20"/>
      <c r="L27" s="20"/>
    </row>
    <row r="28" customFormat="false" ht="30" hidden="false" customHeight="true" outlineLevel="0" collapsed="false">
      <c r="A28" s="5" t="s">
        <v>279</v>
      </c>
      <c r="B28" s="5" t="s">
        <v>539</v>
      </c>
      <c r="C28" s="5" t="n">
        <v>100</v>
      </c>
      <c r="D28" s="5" t="s">
        <v>540</v>
      </c>
      <c r="E28" s="22" t="s">
        <v>194</v>
      </c>
      <c r="F28" s="5" t="s">
        <v>541</v>
      </c>
      <c r="G28" s="5" t="s">
        <v>542</v>
      </c>
      <c r="H28" s="5"/>
      <c r="I28" s="5" t="s">
        <v>284</v>
      </c>
      <c r="J28" s="18"/>
      <c r="K28" s="18"/>
      <c r="L28" s="5" t="str">
        <f aca="false">IF(J28&lt;&gt;"",J28,IF($J$27="Freigeben","Freigeben",""))</f>
        <v/>
      </c>
    </row>
    <row r="29" customFormat="false" ht="30" hidden="false" customHeight="true" outlineLevel="0" collapsed="false">
      <c r="A29" s="5" t="s">
        <v>279</v>
      </c>
      <c r="B29" s="5" t="s">
        <v>543</v>
      </c>
      <c r="C29" s="5" t="n">
        <v>100</v>
      </c>
      <c r="D29" s="5" t="s">
        <v>544</v>
      </c>
      <c r="E29" s="21" t="s">
        <v>128</v>
      </c>
      <c r="F29" s="5" t="s">
        <v>545</v>
      </c>
      <c r="G29" s="5" t="s">
        <v>546</v>
      </c>
      <c r="H29" s="5"/>
      <c r="I29" s="5" t="s">
        <v>284</v>
      </c>
      <c r="J29" s="18"/>
      <c r="K29" s="18"/>
      <c r="L29" s="5" t="str">
        <f aca="false">IF(J29&lt;&gt;"",J29,IF($J$27="Freigeben","Freigeben",""))</f>
        <v/>
      </c>
    </row>
    <row r="30" customFormat="false" ht="30" hidden="false" customHeight="true" outlineLevel="0" collapsed="false">
      <c r="A30" s="5" t="s">
        <v>279</v>
      </c>
      <c r="B30" s="5" t="s">
        <v>547</v>
      </c>
      <c r="C30" s="5" t="n">
        <v>100</v>
      </c>
      <c r="D30" s="5" t="s">
        <v>548</v>
      </c>
      <c r="E30" s="21" t="s">
        <v>128</v>
      </c>
      <c r="F30" s="5" t="s">
        <v>549</v>
      </c>
      <c r="G30" s="5" t="s">
        <v>550</v>
      </c>
      <c r="H30" s="5"/>
      <c r="I30" s="5" t="s">
        <v>284</v>
      </c>
      <c r="J30" s="18"/>
      <c r="K30" s="18"/>
      <c r="L30" s="5" t="str">
        <f aca="false">IF(J30&lt;&gt;"",J30,IF($J$27="Freigeben","Freigeben",""))</f>
        <v/>
      </c>
    </row>
    <row r="31" customFormat="false" ht="43.5" hidden="false" customHeight="true" outlineLevel="0" collapsed="false">
      <c r="A31" s="5" t="s">
        <v>279</v>
      </c>
      <c r="B31" s="5" t="s">
        <v>551</v>
      </c>
      <c r="C31" s="5" t="n">
        <v>1</v>
      </c>
      <c r="D31" s="5" t="s">
        <v>552</v>
      </c>
      <c r="E31" s="16" t="s">
        <v>295</v>
      </c>
      <c r="F31" s="5" t="s">
        <v>296</v>
      </c>
      <c r="G31" s="5"/>
      <c r="H31" s="5" t="s">
        <v>297</v>
      </c>
      <c r="I31" s="5" t="s">
        <v>298</v>
      </c>
      <c r="J31" s="18"/>
      <c r="K31" s="18"/>
      <c r="L31" s="5" t="str">
        <f aca="false">IF(J31&lt;&gt;"",J31,IF($J$27="Freigeben","Freigeben",""))</f>
        <v/>
      </c>
    </row>
    <row r="32" customFormat="false" ht="97.5" hidden="false" customHeight="true" outlineLevel="0" collapsed="false">
      <c r="A32" s="19" t="s">
        <v>274</v>
      </c>
      <c r="B32" s="19" t="s">
        <v>553</v>
      </c>
      <c r="C32" s="20"/>
      <c r="D32" s="20" t="s">
        <v>554</v>
      </c>
      <c r="E32" s="20"/>
      <c r="F32" s="20"/>
      <c r="G32" s="20"/>
      <c r="H32" s="20" t="s">
        <v>555</v>
      </c>
      <c r="I32" s="20" t="s">
        <v>278</v>
      </c>
      <c r="J32" s="18"/>
      <c r="K32" s="20"/>
      <c r="L32" s="20"/>
    </row>
    <row r="33" customFormat="false" ht="43.5" hidden="false" customHeight="true" outlineLevel="0" collapsed="false">
      <c r="A33" s="5" t="s">
        <v>279</v>
      </c>
      <c r="B33" s="5" t="s">
        <v>556</v>
      </c>
      <c r="C33" s="5" t="n">
        <v>100</v>
      </c>
      <c r="D33" s="5" t="s">
        <v>557</v>
      </c>
      <c r="E33" s="21" t="s">
        <v>128</v>
      </c>
      <c r="F33" s="5" t="s">
        <v>558</v>
      </c>
      <c r="G33" s="5" t="s">
        <v>559</v>
      </c>
      <c r="H33" s="5"/>
      <c r="I33" s="5" t="s">
        <v>284</v>
      </c>
      <c r="J33" s="18"/>
      <c r="K33" s="18"/>
      <c r="L33" s="5" t="str">
        <f aca="false">IF(J33&lt;&gt;"",J33,IF($J$32="Freigeben","Freigeben",""))</f>
        <v/>
      </c>
    </row>
    <row r="34" customFormat="false" ht="30" hidden="false" customHeight="true" outlineLevel="0" collapsed="false">
      <c r="A34" s="5" t="s">
        <v>279</v>
      </c>
      <c r="B34" s="5" t="s">
        <v>560</v>
      </c>
      <c r="C34" s="5" t="n">
        <v>100</v>
      </c>
      <c r="D34" s="5" t="s">
        <v>561</v>
      </c>
      <c r="E34" s="22" t="s">
        <v>194</v>
      </c>
      <c r="F34" s="5" t="s">
        <v>562</v>
      </c>
      <c r="G34" s="5" t="s">
        <v>563</v>
      </c>
      <c r="H34" s="5"/>
      <c r="I34" s="5" t="s">
        <v>284</v>
      </c>
      <c r="J34" s="18"/>
      <c r="K34" s="18"/>
      <c r="L34" s="5" t="str">
        <f aca="false">IF(J34&lt;&gt;"",J34,IF($J$32="Freigeben","Freigeben",""))</f>
        <v/>
      </c>
    </row>
    <row r="35" customFormat="false" ht="30" hidden="false" customHeight="true" outlineLevel="0" collapsed="false">
      <c r="A35" s="5" t="s">
        <v>279</v>
      </c>
      <c r="B35" s="5" t="s">
        <v>564</v>
      </c>
      <c r="C35" s="5" t="n">
        <v>100</v>
      </c>
      <c r="D35" s="5" t="s">
        <v>565</v>
      </c>
      <c r="E35" s="22" t="s">
        <v>194</v>
      </c>
      <c r="F35" s="5" t="s">
        <v>566</v>
      </c>
      <c r="G35" s="5" t="s">
        <v>567</v>
      </c>
      <c r="H35" s="5"/>
      <c r="I35" s="5" t="s">
        <v>284</v>
      </c>
      <c r="J35" s="18"/>
      <c r="K35" s="18"/>
      <c r="L35" s="5" t="str">
        <f aca="false">IF(J35&lt;&gt;"",J35,IF($J$32="Freigeben","Freigeben",""))</f>
        <v/>
      </c>
    </row>
    <row r="36" customFormat="false" ht="43.5" hidden="false" customHeight="true" outlineLevel="0" collapsed="false">
      <c r="A36" s="5" t="s">
        <v>279</v>
      </c>
      <c r="B36" s="5" t="s">
        <v>568</v>
      </c>
      <c r="C36" s="5" t="n">
        <v>1</v>
      </c>
      <c r="D36" s="5" t="s">
        <v>569</v>
      </c>
      <c r="E36" s="16" t="s">
        <v>295</v>
      </c>
      <c r="F36" s="5" t="s">
        <v>296</v>
      </c>
      <c r="G36" s="5"/>
      <c r="H36" s="5" t="s">
        <v>297</v>
      </c>
      <c r="I36" s="5" t="s">
        <v>298</v>
      </c>
      <c r="J36" s="18"/>
      <c r="K36" s="18"/>
      <c r="L36" s="5" t="str">
        <f aca="false">IF(J36&lt;&gt;"",J36,IF($J$32="Freigeben","Freigeben",""))</f>
        <v/>
      </c>
    </row>
    <row r="37" customFormat="false" ht="97.5" hidden="false" customHeight="true" outlineLevel="0" collapsed="false">
      <c r="A37" s="19" t="s">
        <v>274</v>
      </c>
      <c r="B37" s="19" t="s">
        <v>570</v>
      </c>
      <c r="C37" s="20"/>
      <c r="D37" s="20" t="s">
        <v>571</v>
      </c>
      <c r="E37" s="20"/>
      <c r="F37" s="20"/>
      <c r="G37" s="20"/>
      <c r="H37" s="20" t="s">
        <v>572</v>
      </c>
      <c r="I37" s="20" t="s">
        <v>442</v>
      </c>
      <c r="J37" s="18"/>
      <c r="K37" s="20"/>
      <c r="L37" s="20"/>
    </row>
    <row r="38" customFormat="false" ht="30" hidden="false" customHeight="true" outlineLevel="0" collapsed="false">
      <c r="A38" s="5" t="s">
        <v>279</v>
      </c>
      <c r="B38" s="5" t="s">
        <v>573</v>
      </c>
      <c r="C38" s="5" t="n">
        <v>100</v>
      </c>
      <c r="D38" s="5" t="s">
        <v>574</v>
      </c>
      <c r="E38" s="21" t="s">
        <v>128</v>
      </c>
      <c r="F38" s="5" t="s">
        <v>575</v>
      </c>
      <c r="G38" s="5" t="s">
        <v>576</v>
      </c>
      <c r="H38" s="5"/>
      <c r="I38" s="5" t="s">
        <v>284</v>
      </c>
      <c r="J38" s="18"/>
      <c r="K38" s="18"/>
      <c r="L38" s="5" t="str">
        <f aca="false">IF(J38&lt;&gt;"",J38,IF($J$37="Freigeben","Freigeben",""))</f>
        <v/>
      </c>
    </row>
    <row r="39" customFormat="false" ht="30" hidden="false" customHeight="true" outlineLevel="0" collapsed="false">
      <c r="A39" s="24" t="s">
        <v>279</v>
      </c>
      <c r="B39" s="24" t="s">
        <v>577</v>
      </c>
      <c r="C39" s="24" t="n">
        <v>100</v>
      </c>
      <c r="D39" s="24" t="s">
        <v>578</v>
      </c>
      <c r="E39" s="24" t="s">
        <v>128</v>
      </c>
      <c r="F39" s="24" t="s">
        <v>579</v>
      </c>
      <c r="G39" s="24" t="s">
        <v>580</v>
      </c>
      <c r="H39" s="24" t="s">
        <v>581</v>
      </c>
      <c r="I39" s="24" t="s">
        <v>427</v>
      </c>
      <c r="J39" s="24"/>
      <c r="K39" s="24"/>
      <c r="L39" s="24"/>
    </row>
    <row r="40" customFormat="false" ht="16.5" hidden="false" customHeight="true" outlineLevel="0" collapsed="false">
      <c r="A40" s="5" t="s">
        <v>279</v>
      </c>
      <c r="B40" s="5" t="s">
        <v>582</v>
      </c>
      <c r="C40" s="5" t="n">
        <v>100</v>
      </c>
      <c r="D40" s="5" t="s">
        <v>583</v>
      </c>
      <c r="E40" s="22" t="s">
        <v>194</v>
      </c>
      <c r="F40" s="5" t="s">
        <v>430</v>
      </c>
      <c r="G40" s="5" t="s">
        <v>584</v>
      </c>
      <c r="H40" s="5"/>
      <c r="I40" s="5" t="s">
        <v>284</v>
      </c>
      <c r="J40" s="18"/>
      <c r="K40" s="18"/>
      <c r="L40" s="5" t="str">
        <f aca="false">IF(J40&lt;&gt;"",J40,IF($J$37="Freigeben","Freigeben",""))</f>
        <v/>
      </c>
    </row>
    <row r="41" customFormat="false" ht="43.5" hidden="false" customHeight="true" outlineLevel="0" collapsed="false">
      <c r="A41" s="5" t="s">
        <v>279</v>
      </c>
      <c r="B41" s="5" t="s">
        <v>585</v>
      </c>
      <c r="C41" s="5" t="n">
        <v>1</v>
      </c>
      <c r="D41" s="5" t="s">
        <v>586</v>
      </c>
      <c r="E41" s="16" t="s">
        <v>295</v>
      </c>
      <c r="F41" s="5" t="s">
        <v>296</v>
      </c>
      <c r="G41" s="5"/>
      <c r="H41" s="5" t="s">
        <v>297</v>
      </c>
      <c r="I41" s="5" t="s">
        <v>298</v>
      </c>
      <c r="J41" s="18"/>
      <c r="K41" s="18"/>
      <c r="L41" s="5" t="str">
        <f aca="false">IF(J41&lt;&gt;"",J41,IF($J$37="Freigeben","Freigeben",""))</f>
        <v/>
      </c>
    </row>
    <row r="42" customFormat="false" ht="111" hidden="false" customHeight="true" outlineLevel="0" collapsed="false">
      <c r="A42" s="19" t="s">
        <v>274</v>
      </c>
      <c r="B42" s="19" t="s">
        <v>587</v>
      </c>
      <c r="C42" s="20"/>
      <c r="D42" s="20" t="s">
        <v>588</v>
      </c>
      <c r="E42" s="20"/>
      <c r="F42" s="20"/>
      <c r="G42" s="20"/>
      <c r="H42" s="20" t="s">
        <v>589</v>
      </c>
      <c r="I42" s="20" t="s">
        <v>366</v>
      </c>
      <c r="J42" s="18"/>
      <c r="K42" s="20"/>
      <c r="L42" s="20"/>
    </row>
    <row r="43" customFormat="false" ht="30" hidden="false" customHeight="true" outlineLevel="0" collapsed="false">
      <c r="A43" s="5" t="s">
        <v>279</v>
      </c>
      <c r="B43" s="5" t="s">
        <v>590</v>
      </c>
      <c r="C43" s="5" t="n">
        <v>100</v>
      </c>
      <c r="D43" s="5" t="s">
        <v>591</v>
      </c>
      <c r="E43" s="21" t="s">
        <v>128</v>
      </c>
      <c r="F43" s="5" t="s">
        <v>592</v>
      </c>
      <c r="G43" s="5" t="s">
        <v>593</v>
      </c>
      <c r="H43" s="5"/>
      <c r="I43" s="5" t="s">
        <v>284</v>
      </c>
      <c r="J43" s="18"/>
      <c r="K43" s="18"/>
      <c r="L43" s="5" t="str">
        <f aca="false">IF(J43&lt;&gt;"",J43,IF($J$42="Freigeben","Freigeben",""))</f>
        <v/>
      </c>
    </row>
    <row r="44" customFormat="false" ht="57" hidden="false" customHeight="true" outlineLevel="0" collapsed="false">
      <c r="A44" s="5" t="s">
        <v>279</v>
      </c>
      <c r="B44" s="23" t="s">
        <v>594</v>
      </c>
      <c r="C44" s="5" t="n">
        <v>100</v>
      </c>
      <c r="D44" s="5" t="s">
        <v>595</v>
      </c>
      <c r="E44" s="22" t="s">
        <v>194</v>
      </c>
      <c r="F44" s="5" t="s">
        <v>596</v>
      </c>
      <c r="G44" s="5" t="s">
        <v>597</v>
      </c>
      <c r="H44" s="5" t="s">
        <v>598</v>
      </c>
      <c r="I44" s="23" t="s">
        <v>335</v>
      </c>
      <c r="J44" s="18"/>
      <c r="K44" s="18"/>
      <c r="L44" s="5" t="str">
        <f aca="false">IF(J44&lt;&gt;"",J44,IF($J$42="Freigeben","Freigeben",""))</f>
        <v/>
      </c>
    </row>
    <row r="45" customFormat="false" ht="43.5" hidden="false" customHeight="true" outlineLevel="0" collapsed="false">
      <c r="A45" s="5" t="s">
        <v>279</v>
      </c>
      <c r="B45" s="5" t="s">
        <v>599</v>
      </c>
      <c r="C45" s="5" t="n">
        <v>1</v>
      </c>
      <c r="D45" s="5" t="s">
        <v>600</v>
      </c>
      <c r="E45" s="16" t="s">
        <v>295</v>
      </c>
      <c r="F45" s="5" t="s">
        <v>296</v>
      </c>
      <c r="G45" s="5"/>
      <c r="H45" s="5" t="s">
        <v>297</v>
      </c>
      <c r="I45" s="5" t="s">
        <v>298</v>
      </c>
      <c r="J45" s="18"/>
      <c r="K45" s="18"/>
      <c r="L45" s="5" t="str">
        <f aca="false">IF(J45&lt;&gt;"",J45,IF($J$42="Freigeben","Freigeben",""))</f>
        <v/>
      </c>
    </row>
    <row r="46" customFormat="false" ht="97.5" hidden="false" customHeight="true" outlineLevel="0" collapsed="false">
      <c r="A46" s="19" t="s">
        <v>274</v>
      </c>
      <c r="B46" s="19" t="s">
        <v>601</v>
      </c>
      <c r="C46" s="20"/>
      <c r="D46" s="20" t="s">
        <v>602</v>
      </c>
      <c r="E46" s="20"/>
      <c r="F46" s="20"/>
      <c r="G46" s="20"/>
      <c r="H46" s="20" t="s">
        <v>603</v>
      </c>
      <c r="I46" s="20" t="s">
        <v>604</v>
      </c>
      <c r="J46" s="18"/>
      <c r="K46" s="20"/>
      <c r="L46" s="20"/>
    </row>
    <row r="47" customFormat="false" ht="30" hidden="false" customHeight="true" outlineLevel="0" collapsed="false">
      <c r="A47" s="24" t="s">
        <v>279</v>
      </c>
      <c r="B47" s="24" t="s">
        <v>605</v>
      </c>
      <c r="C47" s="24" t="n">
        <v>100</v>
      </c>
      <c r="D47" s="24" t="s">
        <v>606</v>
      </c>
      <c r="E47" s="24" t="s">
        <v>194</v>
      </c>
      <c r="F47" s="24" t="s">
        <v>607</v>
      </c>
      <c r="G47" s="24" t="s">
        <v>608</v>
      </c>
      <c r="H47" s="24" t="s">
        <v>609</v>
      </c>
      <c r="I47" s="24" t="s">
        <v>427</v>
      </c>
      <c r="J47" s="24"/>
      <c r="K47" s="24"/>
      <c r="L47" s="24"/>
    </row>
    <row r="48" customFormat="false" ht="43.5" hidden="false" customHeight="true" outlineLevel="0" collapsed="false">
      <c r="A48" s="5" t="s">
        <v>279</v>
      </c>
      <c r="B48" s="5" t="s">
        <v>610</v>
      </c>
      <c r="C48" s="5" t="n">
        <v>1</v>
      </c>
      <c r="D48" s="5" t="s">
        <v>611</v>
      </c>
      <c r="E48" s="16" t="s">
        <v>295</v>
      </c>
      <c r="F48" s="5" t="s">
        <v>296</v>
      </c>
      <c r="G48" s="5"/>
      <c r="H48" s="5" t="s">
        <v>297</v>
      </c>
      <c r="I48" s="5" t="s">
        <v>298</v>
      </c>
      <c r="J48" s="18"/>
      <c r="K48" s="18"/>
      <c r="L48" s="5" t="str">
        <f aca="false">IF(J48&lt;&gt;"",J48,IF($J$46="Freigeben","Freigeben",""))</f>
        <v/>
      </c>
    </row>
    <row r="49" customFormat="false" ht="111" hidden="false" customHeight="true" outlineLevel="0" collapsed="false">
      <c r="A49" s="19" t="s">
        <v>274</v>
      </c>
      <c r="B49" s="19" t="s">
        <v>612</v>
      </c>
      <c r="C49" s="20"/>
      <c r="D49" s="20" t="s">
        <v>613</v>
      </c>
      <c r="E49" s="20"/>
      <c r="F49" s="20"/>
      <c r="G49" s="20"/>
      <c r="H49" s="20" t="s">
        <v>614</v>
      </c>
      <c r="I49" s="20" t="s">
        <v>366</v>
      </c>
      <c r="J49" s="18"/>
      <c r="K49" s="20"/>
      <c r="L49" s="20"/>
    </row>
    <row r="50" customFormat="false" ht="84" hidden="false" customHeight="true" outlineLevel="0" collapsed="false">
      <c r="A50" s="5" t="s">
        <v>279</v>
      </c>
      <c r="B50" s="23" t="s">
        <v>615</v>
      </c>
      <c r="C50" s="5" t="n">
        <v>200</v>
      </c>
      <c r="D50" s="5" t="s">
        <v>616</v>
      </c>
      <c r="E50" s="16" t="s">
        <v>295</v>
      </c>
      <c r="F50" s="5"/>
      <c r="G50" s="5"/>
      <c r="H50" s="5" t="s">
        <v>617</v>
      </c>
      <c r="I50" s="23" t="s">
        <v>335</v>
      </c>
      <c r="J50" s="18"/>
      <c r="K50" s="18"/>
      <c r="L50" s="5" t="str">
        <f aca="false">IF(J50&lt;&gt;"",J50,IF($J$49="Freigeben","Freigeben",""))</f>
        <v/>
      </c>
    </row>
    <row r="51" customFormat="false" ht="57" hidden="false" customHeight="true" outlineLevel="0" collapsed="false">
      <c r="A51" s="5" t="s">
        <v>279</v>
      </c>
      <c r="B51" s="23" t="s">
        <v>618</v>
      </c>
      <c r="C51" s="5" t="n">
        <v>100</v>
      </c>
      <c r="D51" s="5" t="s">
        <v>619</v>
      </c>
      <c r="E51" s="21" t="s">
        <v>128</v>
      </c>
      <c r="F51" s="5" t="s">
        <v>620</v>
      </c>
      <c r="G51" s="5" t="s">
        <v>621</v>
      </c>
      <c r="H51" s="5" t="s">
        <v>622</v>
      </c>
      <c r="I51" s="23" t="s">
        <v>307</v>
      </c>
      <c r="J51" s="18"/>
      <c r="K51" s="18"/>
      <c r="L51" s="5" t="str">
        <f aca="false">IF(J51&lt;&gt;"",J51,IF($J$49="Freigeben","Freigeben",""))</f>
        <v/>
      </c>
    </row>
    <row r="52" customFormat="false" ht="43.5" hidden="false" customHeight="true" outlineLevel="0" collapsed="false">
      <c r="A52" s="5" t="s">
        <v>279</v>
      </c>
      <c r="B52" s="5" t="s">
        <v>623</v>
      </c>
      <c r="C52" s="5" t="n">
        <v>1</v>
      </c>
      <c r="D52" s="5" t="s">
        <v>624</v>
      </c>
      <c r="E52" s="16" t="s">
        <v>295</v>
      </c>
      <c r="F52" s="5" t="s">
        <v>296</v>
      </c>
      <c r="G52" s="5"/>
      <c r="H52" s="5" t="s">
        <v>297</v>
      </c>
      <c r="I52" s="5" t="s">
        <v>298</v>
      </c>
      <c r="J52" s="18"/>
      <c r="K52" s="18"/>
      <c r="L52" s="5" t="str">
        <f aca="false">IF(J52&lt;&gt;"",J52,IF($J$49="Freigeben","Freigeben",""))</f>
        <v/>
      </c>
    </row>
    <row r="53" customFormat="false" ht="97.5" hidden="false" customHeight="true" outlineLevel="0" collapsed="false">
      <c r="A53" s="19" t="s">
        <v>274</v>
      </c>
      <c r="B53" s="19" t="s">
        <v>625</v>
      </c>
      <c r="C53" s="20"/>
      <c r="D53" s="20" t="s">
        <v>626</v>
      </c>
      <c r="E53" s="20"/>
      <c r="F53" s="20"/>
      <c r="G53" s="20"/>
      <c r="H53" s="20" t="s">
        <v>627</v>
      </c>
      <c r="I53" s="20" t="s">
        <v>628</v>
      </c>
      <c r="J53" s="18"/>
      <c r="K53" s="20"/>
      <c r="L53" s="20"/>
    </row>
    <row r="54" customFormat="false" ht="30" hidden="false" customHeight="true" outlineLevel="0" collapsed="false">
      <c r="A54" s="5" t="s">
        <v>279</v>
      </c>
      <c r="B54" s="5" t="s">
        <v>629</v>
      </c>
      <c r="C54" s="5" t="n">
        <v>100</v>
      </c>
      <c r="D54" s="5" t="s">
        <v>630</v>
      </c>
      <c r="E54" s="22" t="s">
        <v>194</v>
      </c>
      <c r="F54" s="5" t="s">
        <v>631</v>
      </c>
      <c r="G54" s="5" t="s">
        <v>632</v>
      </c>
      <c r="H54" s="5"/>
      <c r="I54" s="5" t="s">
        <v>284</v>
      </c>
      <c r="J54" s="18"/>
      <c r="K54" s="18"/>
      <c r="L54" s="5" t="str">
        <f aca="false">IF(J54&lt;&gt;"",J54,IF($J$53="Freigeben","Freigeben",""))</f>
        <v/>
      </c>
    </row>
    <row r="55" customFormat="false" ht="43.5" hidden="false" customHeight="true" outlineLevel="0" collapsed="false">
      <c r="A55" s="5" t="s">
        <v>279</v>
      </c>
      <c r="B55" s="5" t="s">
        <v>633</v>
      </c>
      <c r="C55" s="5" t="n">
        <v>1</v>
      </c>
      <c r="D55" s="5" t="s">
        <v>634</v>
      </c>
      <c r="E55" s="16" t="s">
        <v>295</v>
      </c>
      <c r="F55" s="5" t="s">
        <v>296</v>
      </c>
      <c r="G55" s="5"/>
      <c r="H55" s="5" t="s">
        <v>297</v>
      </c>
      <c r="I55" s="5" t="s">
        <v>298</v>
      </c>
      <c r="J55" s="18"/>
      <c r="K55" s="18"/>
      <c r="L55" s="5" t="str">
        <f aca="false">IF(J55&lt;&gt;"",J55,IF($J$53="Freigeben","Freigeben",""))</f>
        <v/>
      </c>
    </row>
    <row r="56" customFormat="false" ht="111" hidden="false" customHeight="true" outlineLevel="0" collapsed="false">
      <c r="A56" s="19" t="s">
        <v>274</v>
      </c>
      <c r="B56" s="19" t="s">
        <v>635</v>
      </c>
      <c r="C56" s="20"/>
      <c r="D56" s="20" t="s">
        <v>636</v>
      </c>
      <c r="E56" s="20"/>
      <c r="F56" s="20"/>
      <c r="G56" s="20"/>
      <c r="H56" s="20" t="s">
        <v>637</v>
      </c>
      <c r="I56" s="20" t="s">
        <v>604</v>
      </c>
      <c r="J56" s="18"/>
      <c r="K56" s="20"/>
      <c r="L56" s="20"/>
    </row>
    <row r="57" customFormat="false" ht="30" hidden="false" customHeight="true" outlineLevel="0" collapsed="false">
      <c r="A57" s="24" t="s">
        <v>279</v>
      </c>
      <c r="B57" s="24" t="s">
        <v>638</v>
      </c>
      <c r="C57" s="24" t="n">
        <v>100</v>
      </c>
      <c r="D57" s="24" t="s">
        <v>639</v>
      </c>
      <c r="E57" s="24" t="s">
        <v>194</v>
      </c>
      <c r="F57" s="24" t="s">
        <v>640</v>
      </c>
      <c r="G57" s="24" t="s">
        <v>641</v>
      </c>
      <c r="H57" s="24" t="s">
        <v>642</v>
      </c>
      <c r="I57" s="24" t="s">
        <v>427</v>
      </c>
      <c r="J57" s="24"/>
      <c r="K57" s="24"/>
      <c r="L57" s="24"/>
    </row>
    <row r="58" customFormat="false" ht="43.5" hidden="false" customHeight="true" outlineLevel="0" collapsed="false">
      <c r="A58" s="5" t="s">
        <v>279</v>
      </c>
      <c r="B58" s="5" t="s">
        <v>643</v>
      </c>
      <c r="C58" s="5" t="n">
        <v>1</v>
      </c>
      <c r="D58" s="5" t="s">
        <v>644</v>
      </c>
      <c r="E58" s="16" t="s">
        <v>295</v>
      </c>
      <c r="F58" s="5" t="s">
        <v>296</v>
      </c>
      <c r="G58" s="5"/>
      <c r="H58" s="5" t="s">
        <v>297</v>
      </c>
      <c r="I58" s="5" t="s">
        <v>298</v>
      </c>
      <c r="J58" s="18"/>
      <c r="K58" s="18"/>
      <c r="L58" s="5" t="str">
        <f aca="false">IF(J58&lt;&gt;"",J58,IF($J$56="Freigeben","Freigeben",""))</f>
        <v/>
      </c>
    </row>
    <row r="59" customFormat="false" ht="111" hidden="false" customHeight="true" outlineLevel="0" collapsed="false">
      <c r="A59" s="19" t="s">
        <v>274</v>
      </c>
      <c r="B59" s="19" t="s">
        <v>116</v>
      </c>
      <c r="C59" s="20"/>
      <c r="D59" s="20" t="s">
        <v>645</v>
      </c>
      <c r="E59" s="20"/>
      <c r="F59" s="20"/>
      <c r="G59" s="20"/>
      <c r="H59" s="20" t="s">
        <v>646</v>
      </c>
      <c r="I59" s="20" t="s">
        <v>476</v>
      </c>
      <c r="J59" s="18"/>
      <c r="K59" s="20"/>
      <c r="L59" s="20"/>
    </row>
    <row r="60" customFormat="false" ht="30" hidden="false" customHeight="true" outlineLevel="0" collapsed="false">
      <c r="A60" s="5" t="s">
        <v>279</v>
      </c>
      <c r="B60" s="5" t="s">
        <v>647</v>
      </c>
      <c r="C60" s="5" t="n">
        <v>100</v>
      </c>
      <c r="D60" s="5" t="s">
        <v>648</v>
      </c>
      <c r="E60" s="21" t="s">
        <v>128</v>
      </c>
      <c r="F60" s="5" t="s">
        <v>649</v>
      </c>
      <c r="G60" s="5" t="s">
        <v>650</v>
      </c>
      <c r="H60" s="5"/>
      <c r="I60" s="5" t="s">
        <v>284</v>
      </c>
      <c r="J60" s="18"/>
      <c r="K60" s="18"/>
      <c r="L60" s="5" t="str">
        <f aca="false">IF(J60&lt;&gt;"",J60,IF($J$59="Freigeben","Freigeben",""))</f>
        <v/>
      </c>
    </row>
    <row r="61" customFormat="false" ht="43.5" hidden="false" customHeight="true" outlineLevel="0" collapsed="false">
      <c r="A61" s="5" t="s">
        <v>279</v>
      </c>
      <c r="B61" s="5" t="s">
        <v>651</v>
      </c>
      <c r="C61" s="5" t="n">
        <v>100</v>
      </c>
      <c r="D61" s="5" t="s">
        <v>652</v>
      </c>
      <c r="E61" s="21" t="s">
        <v>128</v>
      </c>
      <c r="F61" s="5" t="s">
        <v>653</v>
      </c>
      <c r="G61" s="5" t="s">
        <v>654</v>
      </c>
      <c r="H61" s="5"/>
      <c r="I61" s="5" t="s">
        <v>284</v>
      </c>
      <c r="J61" s="18"/>
      <c r="K61" s="18"/>
      <c r="L61" s="5" t="str">
        <f aca="false">IF(J61&lt;&gt;"",J61,IF($J$59="Freigeben","Freigeben",""))</f>
        <v/>
      </c>
    </row>
    <row r="62" customFormat="false" ht="70.5" hidden="false" customHeight="true" outlineLevel="0" collapsed="false">
      <c r="A62" s="5" t="s">
        <v>279</v>
      </c>
      <c r="B62" s="5" t="s">
        <v>655</v>
      </c>
      <c r="C62" s="5" t="n">
        <v>100</v>
      </c>
      <c r="D62" s="5" t="s">
        <v>656</v>
      </c>
      <c r="E62" s="22" t="s">
        <v>194</v>
      </c>
      <c r="F62" s="5" t="s">
        <v>657</v>
      </c>
      <c r="G62" s="5" t="s">
        <v>658</v>
      </c>
      <c r="H62" s="5" t="s">
        <v>659</v>
      </c>
      <c r="I62" s="5" t="s">
        <v>284</v>
      </c>
      <c r="J62" s="18"/>
      <c r="K62" s="18"/>
      <c r="L62" s="5" t="str">
        <f aca="false">IF(J62&lt;&gt;"",J62,IF($J$59="Freigeben","Freigeben",""))</f>
        <v/>
      </c>
    </row>
    <row r="63" customFormat="false" ht="43.5" hidden="false" customHeight="true" outlineLevel="0" collapsed="false">
      <c r="A63" s="5" t="s">
        <v>279</v>
      </c>
      <c r="B63" s="23" t="s">
        <v>660</v>
      </c>
      <c r="C63" s="5" t="n">
        <v>100</v>
      </c>
      <c r="D63" s="5" t="s">
        <v>661</v>
      </c>
      <c r="E63" s="22" t="s">
        <v>194</v>
      </c>
      <c r="F63" s="5" t="s">
        <v>662</v>
      </c>
      <c r="G63" s="5" t="s">
        <v>663</v>
      </c>
      <c r="H63" s="5" t="s">
        <v>306</v>
      </c>
      <c r="I63" s="23" t="s">
        <v>335</v>
      </c>
      <c r="J63" s="18"/>
      <c r="K63" s="18"/>
      <c r="L63" s="5" t="str">
        <f aca="false">IF(J63&lt;&gt;"",J63,IF($J$59="Freigeben","Freigeben",""))</f>
        <v/>
      </c>
    </row>
    <row r="64" customFormat="false" ht="43.5" hidden="false" customHeight="true" outlineLevel="0" collapsed="false">
      <c r="A64" s="5" t="s">
        <v>279</v>
      </c>
      <c r="B64" s="23" t="s">
        <v>664</v>
      </c>
      <c r="C64" s="5" t="n">
        <v>100</v>
      </c>
      <c r="D64" s="5" t="s">
        <v>665</v>
      </c>
      <c r="E64" s="22" t="s">
        <v>194</v>
      </c>
      <c r="F64" s="5" t="s">
        <v>666</v>
      </c>
      <c r="G64" s="5" t="s">
        <v>667</v>
      </c>
      <c r="H64" s="5" t="s">
        <v>668</v>
      </c>
      <c r="I64" s="23" t="s">
        <v>335</v>
      </c>
      <c r="J64" s="18"/>
      <c r="K64" s="18"/>
      <c r="L64" s="5" t="str">
        <f aca="false">IF(J64&lt;&gt;"",J64,IF($J$59="Freigeben","Freigeben",""))</f>
        <v/>
      </c>
    </row>
    <row r="65" customFormat="false" ht="30" hidden="false" customHeight="true" outlineLevel="0" collapsed="false">
      <c r="A65" s="5" t="s">
        <v>279</v>
      </c>
      <c r="B65" s="5" t="s">
        <v>669</v>
      </c>
      <c r="C65" s="5" t="n">
        <v>100</v>
      </c>
      <c r="D65" s="5" t="s">
        <v>670</v>
      </c>
      <c r="E65" s="22" t="s">
        <v>194</v>
      </c>
      <c r="F65" s="5" t="s">
        <v>671</v>
      </c>
      <c r="G65" s="5" t="s">
        <v>672</v>
      </c>
      <c r="H65" s="5"/>
      <c r="I65" s="5" t="s">
        <v>284</v>
      </c>
      <c r="J65" s="18"/>
      <c r="K65" s="18"/>
      <c r="L65" s="5" t="str">
        <f aca="false">IF(J65&lt;&gt;"",J65,IF($J$59="Freigeben","Freigeben",""))</f>
        <v/>
      </c>
    </row>
    <row r="66" customFormat="false" ht="43.5" hidden="false" customHeight="true" outlineLevel="0" collapsed="false">
      <c r="A66" s="5" t="s">
        <v>279</v>
      </c>
      <c r="B66" s="5" t="s">
        <v>673</v>
      </c>
      <c r="C66" s="5" t="n">
        <v>1</v>
      </c>
      <c r="D66" s="5" t="s">
        <v>674</v>
      </c>
      <c r="E66" s="16" t="s">
        <v>295</v>
      </c>
      <c r="F66" s="5" t="s">
        <v>296</v>
      </c>
      <c r="G66" s="5"/>
      <c r="H66" s="5" t="s">
        <v>297</v>
      </c>
      <c r="I66" s="5" t="s">
        <v>298</v>
      </c>
      <c r="J66" s="18"/>
      <c r="K66" s="18"/>
      <c r="L66" s="5" t="str">
        <f aca="false">IF(J66&lt;&gt;"",J66,IF($J$59="Freigeben","Freigeben",""))</f>
        <v/>
      </c>
    </row>
    <row r="67" customFormat="false" ht="97.5" hidden="false" customHeight="true" outlineLevel="0" collapsed="false">
      <c r="A67" s="19" t="s">
        <v>274</v>
      </c>
      <c r="B67" s="19" t="s">
        <v>675</v>
      </c>
      <c r="C67" s="20"/>
      <c r="D67" s="20" t="s">
        <v>676</v>
      </c>
      <c r="E67" s="20"/>
      <c r="F67" s="20"/>
      <c r="G67" s="20"/>
      <c r="H67" s="20" t="s">
        <v>677</v>
      </c>
      <c r="I67" s="20" t="s">
        <v>278</v>
      </c>
      <c r="J67" s="18"/>
      <c r="K67" s="20"/>
      <c r="L67" s="20"/>
    </row>
    <row r="68" customFormat="false" ht="30" hidden="false" customHeight="true" outlineLevel="0" collapsed="false">
      <c r="A68" s="5" t="s">
        <v>279</v>
      </c>
      <c r="B68" s="5" t="s">
        <v>678</v>
      </c>
      <c r="C68" s="5" t="n">
        <v>100</v>
      </c>
      <c r="D68" s="5" t="s">
        <v>679</v>
      </c>
      <c r="E68" s="21" t="s">
        <v>128</v>
      </c>
      <c r="F68" s="5" t="s">
        <v>680</v>
      </c>
      <c r="G68" s="5" t="s">
        <v>681</v>
      </c>
      <c r="H68" s="5"/>
      <c r="I68" s="5" t="s">
        <v>284</v>
      </c>
      <c r="J68" s="18"/>
      <c r="K68" s="18"/>
      <c r="L68" s="5" t="str">
        <f aca="false">IF(J68&lt;&gt;"",J68,IF($J$67="Freigeben","Freigeben",""))</f>
        <v/>
      </c>
    </row>
    <row r="69" customFormat="false" ht="30" hidden="false" customHeight="true" outlineLevel="0" collapsed="false">
      <c r="A69" s="5" t="s">
        <v>279</v>
      </c>
      <c r="B69" s="5" t="s">
        <v>682</v>
      </c>
      <c r="C69" s="5" t="n">
        <v>100</v>
      </c>
      <c r="D69" s="5" t="s">
        <v>683</v>
      </c>
      <c r="E69" s="22" t="s">
        <v>194</v>
      </c>
      <c r="F69" s="5" t="s">
        <v>684</v>
      </c>
      <c r="G69" s="5" t="s">
        <v>685</v>
      </c>
      <c r="H69" s="5"/>
      <c r="I69" s="5" t="s">
        <v>284</v>
      </c>
      <c r="J69" s="18"/>
      <c r="K69" s="18"/>
      <c r="L69" s="5" t="str">
        <f aca="false">IF(J69&lt;&gt;"",J69,IF($J$67="Freigeben","Freigeben",""))</f>
        <v/>
      </c>
    </row>
    <row r="70" customFormat="false" ht="30" hidden="false" customHeight="true" outlineLevel="0" collapsed="false">
      <c r="A70" s="5" t="s">
        <v>279</v>
      </c>
      <c r="B70" s="5" t="s">
        <v>686</v>
      </c>
      <c r="C70" s="5" t="n">
        <v>100</v>
      </c>
      <c r="D70" s="5" t="s">
        <v>687</v>
      </c>
      <c r="E70" s="22" t="s">
        <v>194</v>
      </c>
      <c r="F70" s="5" t="s">
        <v>688</v>
      </c>
      <c r="G70" s="5" t="s">
        <v>689</v>
      </c>
      <c r="H70" s="5"/>
      <c r="I70" s="5" t="s">
        <v>284</v>
      </c>
      <c r="J70" s="18"/>
      <c r="K70" s="18"/>
      <c r="L70" s="5" t="str">
        <f aca="false">IF(J70&lt;&gt;"",J70,IF($J$67="Freigeben","Freigeben",""))</f>
        <v/>
      </c>
    </row>
    <row r="71" customFormat="false" ht="43.5" hidden="false" customHeight="true" outlineLevel="0" collapsed="false">
      <c r="A71" s="5" t="s">
        <v>279</v>
      </c>
      <c r="B71" s="5" t="s">
        <v>690</v>
      </c>
      <c r="C71" s="5" t="n">
        <v>1</v>
      </c>
      <c r="D71" s="5" t="s">
        <v>691</v>
      </c>
      <c r="E71" s="16" t="s">
        <v>295</v>
      </c>
      <c r="F71" s="5" t="s">
        <v>296</v>
      </c>
      <c r="G71" s="5"/>
      <c r="H71" s="5" t="s">
        <v>297</v>
      </c>
      <c r="I71" s="5" t="s">
        <v>298</v>
      </c>
      <c r="J71" s="18"/>
      <c r="K71" s="18"/>
      <c r="L71" s="5" t="str">
        <f aca="false">IF(J71&lt;&gt;"",J71,IF($J$67="Freigeben","Freigeben",""))</f>
        <v/>
      </c>
    </row>
    <row r="72" customFormat="false" ht="97.5" hidden="false" customHeight="true" outlineLevel="0" collapsed="false">
      <c r="A72" s="19" t="s">
        <v>274</v>
      </c>
      <c r="B72" s="19" t="s">
        <v>692</v>
      </c>
      <c r="C72" s="20"/>
      <c r="D72" s="20" t="s">
        <v>693</v>
      </c>
      <c r="E72" s="20"/>
      <c r="F72" s="20"/>
      <c r="G72" s="20"/>
      <c r="H72" s="20" t="s">
        <v>694</v>
      </c>
      <c r="I72" s="20" t="s">
        <v>278</v>
      </c>
      <c r="J72" s="18"/>
      <c r="K72" s="20"/>
      <c r="L72" s="20"/>
    </row>
    <row r="73" customFormat="false" ht="43.5" hidden="false" customHeight="true" outlineLevel="0" collapsed="false">
      <c r="A73" s="5" t="s">
        <v>279</v>
      </c>
      <c r="B73" s="5" t="s">
        <v>695</v>
      </c>
      <c r="C73" s="5" t="n">
        <v>100</v>
      </c>
      <c r="D73" s="5" t="s">
        <v>696</v>
      </c>
      <c r="E73" s="21" t="s">
        <v>128</v>
      </c>
      <c r="F73" s="5" t="s">
        <v>697</v>
      </c>
      <c r="G73" s="5" t="s">
        <v>698</v>
      </c>
      <c r="H73" s="5"/>
      <c r="I73" s="5" t="s">
        <v>284</v>
      </c>
      <c r="J73" s="18"/>
      <c r="K73" s="18"/>
      <c r="L73" s="5" t="str">
        <f aca="false">IF(J73&lt;&gt;"",J73,IF($J$72="Freigeben","Freigeben",""))</f>
        <v/>
      </c>
    </row>
    <row r="74" customFormat="false" ht="30" hidden="false" customHeight="true" outlineLevel="0" collapsed="false">
      <c r="A74" s="5" t="s">
        <v>279</v>
      </c>
      <c r="B74" s="5" t="s">
        <v>699</v>
      </c>
      <c r="C74" s="5" t="n">
        <v>100</v>
      </c>
      <c r="D74" s="5" t="s">
        <v>700</v>
      </c>
      <c r="E74" s="22" t="s">
        <v>194</v>
      </c>
      <c r="F74" s="5" t="s">
        <v>430</v>
      </c>
      <c r="G74" s="5" t="s">
        <v>701</v>
      </c>
      <c r="H74" s="5"/>
      <c r="I74" s="5" t="s">
        <v>284</v>
      </c>
      <c r="J74" s="18"/>
      <c r="K74" s="18"/>
      <c r="L74" s="5" t="str">
        <f aca="false">IF(J74&lt;&gt;"",J74,IF($J$72="Freigeben","Freigeben",""))</f>
        <v/>
      </c>
    </row>
    <row r="75" customFormat="false" ht="43.5" hidden="false" customHeight="true" outlineLevel="0" collapsed="false">
      <c r="A75" s="5" t="s">
        <v>279</v>
      </c>
      <c r="B75" s="5" t="s">
        <v>702</v>
      </c>
      <c r="C75" s="5" t="n">
        <v>100</v>
      </c>
      <c r="D75" s="5" t="s">
        <v>703</v>
      </c>
      <c r="E75" s="22" t="s">
        <v>194</v>
      </c>
      <c r="F75" s="5" t="s">
        <v>704</v>
      </c>
      <c r="G75" s="5" t="s">
        <v>705</v>
      </c>
      <c r="H75" s="5" t="s">
        <v>292</v>
      </c>
      <c r="I75" s="5" t="s">
        <v>284</v>
      </c>
      <c r="J75" s="18"/>
      <c r="K75" s="18"/>
      <c r="L75" s="5" t="str">
        <f aca="false">IF(J75&lt;&gt;"",J75,IF($J$72="Freigeben","Freigeben",""))</f>
        <v/>
      </c>
    </row>
    <row r="76" customFormat="false" ht="43.5" hidden="false" customHeight="true" outlineLevel="0" collapsed="false">
      <c r="A76" s="5" t="s">
        <v>279</v>
      </c>
      <c r="B76" s="5" t="s">
        <v>706</v>
      </c>
      <c r="C76" s="5" t="n">
        <v>1</v>
      </c>
      <c r="D76" s="5" t="s">
        <v>707</v>
      </c>
      <c r="E76" s="16" t="s">
        <v>295</v>
      </c>
      <c r="F76" s="5" t="s">
        <v>296</v>
      </c>
      <c r="G76" s="5"/>
      <c r="H76" s="5" t="s">
        <v>297</v>
      </c>
      <c r="I76" s="5" t="s">
        <v>298</v>
      </c>
      <c r="J76" s="18"/>
      <c r="K76" s="18"/>
      <c r="L76" s="5" t="str">
        <f aca="false">IF(J76&lt;&gt;"",J76,IF($J$72="Freigeben","Freigeben",""))</f>
        <v/>
      </c>
    </row>
    <row r="77" customFormat="false" ht="97.5" hidden="false" customHeight="true" outlineLevel="0" collapsed="false">
      <c r="A77" s="19" t="s">
        <v>274</v>
      </c>
      <c r="B77" s="19" t="s">
        <v>708</v>
      </c>
      <c r="C77" s="20"/>
      <c r="D77" s="20" t="s">
        <v>709</v>
      </c>
      <c r="E77" s="20"/>
      <c r="F77" s="20"/>
      <c r="G77" s="20"/>
      <c r="H77" s="20" t="s">
        <v>710</v>
      </c>
      <c r="I77" s="20" t="s">
        <v>278</v>
      </c>
      <c r="J77" s="18"/>
      <c r="K77" s="20"/>
      <c r="L77" s="20"/>
    </row>
    <row r="78" customFormat="false" ht="57" hidden="false" customHeight="true" outlineLevel="0" collapsed="false">
      <c r="A78" s="5" t="s">
        <v>279</v>
      </c>
      <c r="B78" s="23" t="s">
        <v>711</v>
      </c>
      <c r="C78" s="5" t="n">
        <v>100</v>
      </c>
      <c r="D78" s="5" t="s">
        <v>712</v>
      </c>
      <c r="E78" s="22" t="s">
        <v>194</v>
      </c>
      <c r="F78" s="5" t="s">
        <v>713</v>
      </c>
      <c r="G78" s="5" t="s">
        <v>714</v>
      </c>
      <c r="H78" s="5" t="s">
        <v>715</v>
      </c>
      <c r="I78" s="23" t="s">
        <v>335</v>
      </c>
      <c r="J78" s="18"/>
      <c r="K78" s="18"/>
      <c r="L78" s="5" t="str">
        <f aca="false">IF(J78&lt;&gt;"",J78,IF($J$77="Freigeben","Freigeben",""))</f>
        <v/>
      </c>
    </row>
    <row r="79" customFormat="false" ht="30" hidden="false" customHeight="true" outlineLevel="0" collapsed="false">
      <c r="A79" s="5" t="s">
        <v>279</v>
      </c>
      <c r="B79" s="5" t="s">
        <v>716</v>
      </c>
      <c r="C79" s="5" t="n">
        <v>100</v>
      </c>
      <c r="D79" s="5" t="s">
        <v>717</v>
      </c>
      <c r="E79" s="21" t="s">
        <v>128</v>
      </c>
      <c r="F79" s="5" t="s">
        <v>718</v>
      </c>
      <c r="G79" s="5" t="s">
        <v>719</v>
      </c>
      <c r="H79" s="5"/>
      <c r="I79" s="5" t="s">
        <v>284</v>
      </c>
      <c r="J79" s="18"/>
      <c r="K79" s="18"/>
      <c r="L79" s="5" t="str">
        <f aca="false">IF(J79&lt;&gt;"",J79,IF($J$77="Freigeben","Freigeben",""))</f>
        <v/>
      </c>
    </row>
    <row r="80" customFormat="false" ht="57" hidden="false" customHeight="true" outlineLevel="0" collapsed="false">
      <c r="A80" s="5" t="s">
        <v>279</v>
      </c>
      <c r="B80" s="5" t="s">
        <v>720</v>
      </c>
      <c r="C80" s="5" t="n">
        <v>100</v>
      </c>
      <c r="D80" s="5" t="s">
        <v>721</v>
      </c>
      <c r="E80" s="22" t="s">
        <v>194</v>
      </c>
      <c r="F80" s="5" t="s">
        <v>722</v>
      </c>
      <c r="G80" s="5" t="s">
        <v>723</v>
      </c>
      <c r="H80" s="5" t="s">
        <v>724</v>
      </c>
      <c r="I80" s="5" t="s">
        <v>284</v>
      </c>
      <c r="J80" s="18"/>
      <c r="K80" s="18"/>
      <c r="L80" s="5" t="str">
        <f aca="false">IF(J80&lt;&gt;"",J80,IF($J$77="Freigeben","Freigeben",""))</f>
        <v/>
      </c>
    </row>
    <row r="81" customFormat="false" ht="43.5" hidden="false" customHeight="true" outlineLevel="0" collapsed="false">
      <c r="A81" s="5" t="s">
        <v>279</v>
      </c>
      <c r="B81" s="5" t="s">
        <v>725</v>
      </c>
      <c r="C81" s="5" t="n">
        <v>1</v>
      </c>
      <c r="D81" s="5" t="s">
        <v>726</v>
      </c>
      <c r="E81" s="16" t="s">
        <v>295</v>
      </c>
      <c r="F81" s="5" t="s">
        <v>296</v>
      </c>
      <c r="G81" s="5"/>
      <c r="H81" s="5" t="s">
        <v>297</v>
      </c>
      <c r="I81" s="5" t="s">
        <v>298</v>
      </c>
      <c r="J81" s="18"/>
      <c r="K81" s="18"/>
      <c r="L81" s="5" t="str">
        <f aca="false">IF(J81&lt;&gt;"",J81,IF($J$77="Freigeben","Freigeben",""))</f>
        <v/>
      </c>
    </row>
    <row r="82" customFormat="false" ht="124.5" hidden="false" customHeight="true" outlineLevel="0" collapsed="false">
      <c r="A82" s="19" t="s">
        <v>274</v>
      </c>
      <c r="B82" s="19" t="s">
        <v>727</v>
      </c>
      <c r="C82" s="20"/>
      <c r="D82" s="20" t="s">
        <v>728</v>
      </c>
      <c r="E82" s="20"/>
      <c r="F82" s="20"/>
      <c r="G82" s="20"/>
      <c r="H82" s="20" t="s">
        <v>729</v>
      </c>
      <c r="I82" s="20" t="s">
        <v>322</v>
      </c>
      <c r="J82" s="18"/>
      <c r="K82" s="20"/>
      <c r="L82" s="20"/>
    </row>
    <row r="83" customFormat="false" ht="43.5" hidden="false" customHeight="true" outlineLevel="0" collapsed="false">
      <c r="A83" s="5" t="s">
        <v>279</v>
      </c>
      <c r="B83" s="5" t="s">
        <v>730</v>
      </c>
      <c r="C83" s="5" t="n">
        <v>100</v>
      </c>
      <c r="D83" s="5" t="s">
        <v>731</v>
      </c>
      <c r="E83" s="21" t="s">
        <v>128</v>
      </c>
      <c r="F83" s="5" t="s">
        <v>732</v>
      </c>
      <c r="G83" s="5" t="s">
        <v>733</v>
      </c>
      <c r="H83" s="5"/>
      <c r="I83" s="5" t="s">
        <v>284</v>
      </c>
      <c r="J83" s="18"/>
      <c r="K83" s="18"/>
      <c r="L83" s="5" t="str">
        <f aca="false">IF(J83&lt;&gt;"",J83,IF($J$82="Freigeben","Freigeben",""))</f>
        <v/>
      </c>
    </row>
    <row r="84" customFormat="false" ht="30" hidden="false" customHeight="true" outlineLevel="0" collapsed="false">
      <c r="A84" s="5" t="s">
        <v>279</v>
      </c>
      <c r="B84" s="5" t="s">
        <v>734</v>
      </c>
      <c r="C84" s="5" t="n">
        <v>100</v>
      </c>
      <c r="D84" s="5" t="s">
        <v>735</v>
      </c>
      <c r="E84" s="22" t="s">
        <v>194</v>
      </c>
      <c r="F84" s="5" t="s">
        <v>736</v>
      </c>
      <c r="G84" s="5" t="s">
        <v>737</v>
      </c>
      <c r="H84" s="5"/>
      <c r="I84" s="5" t="s">
        <v>284</v>
      </c>
      <c r="J84" s="18"/>
      <c r="K84" s="18"/>
      <c r="L84" s="5" t="str">
        <f aca="false">IF(J84&lt;&gt;"",J84,IF($J$82="Freigeben","Freigeben",""))</f>
        <v/>
      </c>
    </row>
    <row r="85" customFormat="false" ht="30" hidden="false" customHeight="true" outlineLevel="0" collapsed="false">
      <c r="A85" s="5" t="s">
        <v>279</v>
      </c>
      <c r="B85" s="5" t="s">
        <v>738</v>
      </c>
      <c r="C85" s="5" t="n">
        <v>100</v>
      </c>
      <c r="D85" s="5" t="s">
        <v>739</v>
      </c>
      <c r="E85" s="22" t="s">
        <v>194</v>
      </c>
      <c r="F85" s="5" t="s">
        <v>732</v>
      </c>
      <c r="G85" s="5" t="s">
        <v>733</v>
      </c>
      <c r="H85" s="5"/>
      <c r="I85" s="5" t="s">
        <v>284</v>
      </c>
      <c r="J85" s="18"/>
      <c r="K85" s="18"/>
      <c r="L85" s="5" t="str">
        <f aca="false">IF(J85&lt;&gt;"",J85,IF($J$82="Freigeben","Freigeben",""))</f>
        <v/>
      </c>
    </row>
    <row r="86" customFormat="false" ht="30" hidden="false" customHeight="true" outlineLevel="0" collapsed="false">
      <c r="A86" s="5" t="s">
        <v>279</v>
      </c>
      <c r="B86" s="5" t="s">
        <v>740</v>
      </c>
      <c r="C86" s="5" t="n">
        <v>100</v>
      </c>
      <c r="D86" s="5" t="s">
        <v>741</v>
      </c>
      <c r="E86" s="22" t="s">
        <v>194</v>
      </c>
      <c r="F86" s="5" t="s">
        <v>430</v>
      </c>
      <c r="G86" s="5" t="s">
        <v>742</v>
      </c>
      <c r="H86" s="5"/>
      <c r="I86" s="5" t="s">
        <v>284</v>
      </c>
      <c r="J86" s="18"/>
      <c r="K86" s="18"/>
      <c r="L86" s="5" t="str">
        <f aca="false">IF(J86&lt;&gt;"",J86,IF($J$82="Freigeben","Freigeben",""))</f>
        <v/>
      </c>
    </row>
    <row r="87" customFormat="false" ht="30" hidden="false" customHeight="true" outlineLevel="0" collapsed="false">
      <c r="A87" s="5" t="s">
        <v>279</v>
      </c>
      <c r="B87" s="5" t="s">
        <v>743</v>
      </c>
      <c r="C87" s="5" t="n">
        <v>100</v>
      </c>
      <c r="D87" s="5" t="s">
        <v>744</v>
      </c>
      <c r="E87" s="22" t="s">
        <v>194</v>
      </c>
      <c r="F87" s="5" t="s">
        <v>745</v>
      </c>
      <c r="G87" s="5" t="s">
        <v>746</v>
      </c>
      <c r="H87" s="5"/>
      <c r="I87" s="5" t="s">
        <v>284</v>
      </c>
      <c r="J87" s="18"/>
      <c r="K87" s="18"/>
      <c r="L87" s="5" t="str">
        <f aca="false">IF(J87&lt;&gt;"",J87,IF($J$82="Freigeben","Freigeben",""))</f>
        <v/>
      </c>
    </row>
    <row r="88" customFormat="false" ht="43.5" hidden="false" customHeight="true" outlineLevel="0" collapsed="false">
      <c r="A88" s="5" t="s">
        <v>279</v>
      </c>
      <c r="B88" s="5" t="s">
        <v>747</v>
      </c>
      <c r="C88" s="5" t="n">
        <v>1</v>
      </c>
      <c r="D88" s="5" t="s">
        <v>748</v>
      </c>
      <c r="E88" s="16" t="s">
        <v>295</v>
      </c>
      <c r="F88" s="5" t="s">
        <v>296</v>
      </c>
      <c r="G88" s="5"/>
      <c r="H88" s="5" t="s">
        <v>297</v>
      </c>
      <c r="I88" s="5" t="s">
        <v>298</v>
      </c>
      <c r="J88" s="18"/>
      <c r="K88" s="18"/>
      <c r="L88" s="5" t="str">
        <f aca="false">IF(J88&lt;&gt;"",J88,IF($J$82="Freigeben","Freigeben",""))</f>
        <v/>
      </c>
    </row>
    <row r="89" customFormat="false" ht="111" hidden="false" customHeight="true" outlineLevel="0" collapsed="false">
      <c r="A89" s="19" t="s">
        <v>274</v>
      </c>
      <c r="B89" s="19" t="s">
        <v>749</v>
      </c>
      <c r="C89" s="20"/>
      <c r="D89" s="20" t="s">
        <v>750</v>
      </c>
      <c r="E89" s="20"/>
      <c r="F89" s="20"/>
      <c r="G89" s="20"/>
      <c r="H89" s="20" t="s">
        <v>751</v>
      </c>
      <c r="I89" s="20" t="s">
        <v>366</v>
      </c>
      <c r="J89" s="18"/>
      <c r="K89" s="20"/>
      <c r="L89" s="20"/>
    </row>
    <row r="90" customFormat="false" ht="30" hidden="false" customHeight="true" outlineLevel="0" collapsed="false">
      <c r="A90" s="5" t="s">
        <v>279</v>
      </c>
      <c r="B90" s="5" t="s">
        <v>752</v>
      </c>
      <c r="C90" s="5" t="n">
        <v>100</v>
      </c>
      <c r="D90" s="5" t="s">
        <v>753</v>
      </c>
      <c r="E90" s="21" t="s">
        <v>128</v>
      </c>
      <c r="F90" s="5" t="s">
        <v>754</v>
      </c>
      <c r="G90" s="5" t="s">
        <v>755</v>
      </c>
      <c r="H90" s="5"/>
      <c r="I90" s="5" t="s">
        <v>284</v>
      </c>
      <c r="J90" s="18"/>
      <c r="K90" s="18"/>
      <c r="L90" s="5" t="str">
        <f aca="false">IF(J90&lt;&gt;"",J90,IF($J$89="Freigeben","Freigeben",""))</f>
        <v/>
      </c>
    </row>
    <row r="91" customFormat="false" ht="30" hidden="false" customHeight="true" outlineLevel="0" collapsed="false">
      <c r="A91" s="5" t="s">
        <v>279</v>
      </c>
      <c r="B91" s="5" t="s">
        <v>756</v>
      </c>
      <c r="C91" s="5" t="n">
        <v>100</v>
      </c>
      <c r="D91" s="5" t="s">
        <v>757</v>
      </c>
      <c r="E91" s="22" t="s">
        <v>194</v>
      </c>
      <c r="F91" s="5" t="s">
        <v>758</v>
      </c>
      <c r="G91" s="5" t="s">
        <v>759</v>
      </c>
      <c r="H91" s="5"/>
      <c r="I91" s="5" t="s">
        <v>284</v>
      </c>
      <c r="J91" s="18"/>
      <c r="K91" s="18"/>
      <c r="L91" s="5" t="str">
        <f aca="false">IF(J91&lt;&gt;"",J91,IF($J$89="Freigeben","Freigeben",""))</f>
        <v/>
      </c>
    </row>
    <row r="92" customFormat="false" ht="43.5" hidden="false" customHeight="true" outlineLevel="0" collapsed="false">
      <c r="A92" s="5" t="s">
        <v>279</v>
      </c>
      <c r="B92" s="5" t="s">
        <v>760</v>
      </c>
      <c r="C92" s="5" t="n">
        <v>1</v>
      </c>
      <c r="D92" s="5" t="s">
        <v>761</v>
      </c>
      <c r="E92" s="16" t="s">
        <v>295</v>
      </c>
      <c r="F92" s="5" t="s">
        <v>296</v>
      </c>
      <c r="G92" s="5"/>
      <c r="H92" s="5" t="s">
        <v>297</v>
      </c>
      <c r="I92" s="5" t="s">
        <v>298</v>
      </c>
      <c r="J92" s="18"/>
      <c r="K92" s="18"/>
      <c r="L92" s="5" t="str">
        <f aca="false">IF(J92&lt;&gt;"",J92,IF($J$89="Freigeben","Freigeben",""))</f>
        <v/>
      </c>
    </row>
    <row r="93" customFormat="false" ht="97.5" hidden="false" customHeight="true" outlineLevel="0" collapsed="false">
      <c r="A93" s="19" t="s">
        <v>274</v>
      </c>
      <c r="B93" s="19" t="s">
        <v>762</v>
      </c>
      <c r="C93" s="20"/>
      <c r="D93" s="20" t="s">
        <v>763</v>
      </c>
      <c r="E93" s="20"/>
      <c r="F93" s="20"/>
      <c r="G93" s="20"/>
      <c r="H93" s="20" t="s">
        <v>764</v>
      </c>
      <c r="I93" s="20" t="s">
        <v>628</v>
      </c>
      <c r="J93" s="18"/>
      <c r="K93" s="20"/>
      <c r="L93" s="20"/>
    </row>
    <row r="94" customFormat="false" ht="30" hidden="false" customHeight="true" outlineLevel="0" collapsed="false">
      <c r="A94" s="5" t="s">
        <v>279</v>
      </c>
      <c r="B94" s="5" t="s">
        <v>765</v>
      </c>
      <c r="C94" s="5" t="n">
        <v>100</v>
      </c>
      <c r="D94" s="5" t="s">
        <v>766</v>
      </c>
      <c r="E94" s="22" t="s">
        <v>194</v>
      </c>
      <c r="F94" s="5" t="s">
        <v>767</v>
      </c>
      <c r="G94" s="5" t="s">
        <v>768</v>
      </c>
      <c r="H94" s="5" t="s">
        <v>292</v>
      </c>
      <c r="I94" s="5" t="s">
        <v>284</v>
      </c>
      <c r="J94" s="18"/>
      <c r="K94" s="18"/>
      <c r="L94" s="5" t="str">
        <f aca="false">IF(J94&lt;&gt;"",J94,IF($J$93="Freigeben","Freigeben",""))</f>
        <v/>
      </c>
    </row>
    <row r="95" customFormat="false" ht="43.5" hidden="false" customHeight="true" outlineLevel="0" collapsed="false">
      <c r="A95" s="5" t="s">
        <v>279</v>
      </c>
      <c r="B95" s="5" t="s">
        <v>769</v>
      </c>
      <c r="C95" s="5" t="n">
        <v>1</v>
      </c>
      <c r="D95" s="5" t="s">
        <v>770</v>
      </c>
      <c r="E95" s="16" t="s">
        <v>295</v>
      </c>
      <c r="F95" s="5" t="s">
        <v>296</v>
      </c>
      <c r="G95" s="5"/>
      <c r="H95" s="5" t="s">
        <v>297</v>
      </c>
      <c r="I95" s="5" t="s">
        <v>298</v>
      </c>
      <c r="J95" s="18"/>
      <c r="K95" s="18"/>
      <c r="L95" s="5" t="str">
        <f aca="false">IF(J95&lt;&gt;"",J95,IF($J$93="Freigeben","Freigeben",""))</f>
        <v/>
      </c>
    </row>
    <row r="96" customFormat="false" ht="97.5" hidden="false" customHeight="true" outlineLevel="0" collapsed="false">
      <c r="A96" s="19" t="s">
        <v>274</v>
      </c>
      <c r="B96" s="19" t="s">
        <v>120</v>
      </c>
      <c r="C96" s="20"/>
      <c r="D96" s="20" t="s">
        <v>771</v>
      </c>
      <c r="E96" s="20"/>
      <c r="F96" s="20"/>
      <c r="G96" s="20"/>
      <c r="H96" s="20" t="s">
        <v>772</v>
      </c>
      <c r="I96" s="20" t="s">
        <v>628</v>
      </c>
      <c r="J96" s="18"/>
      <c r="K96" s="20"/>
      <c r="L96" s="20"/>
    </row>
    <row r="97" customFormat="false" ht="57" hidden="false" customHeight="true" outlineLevel="0" collapsed="false">
      <c r="A97" s="5" t="s">
        <v>279</v>
      </c>
      <c r="B97" s="23" t="s">
        <v>773</v>
      </c>
      <c r="C97" s="5" t="n">
        <v>100</v>
      </c>
      <c r="D97" s="5" t="s">
        <v>774</v>
      </c>
      <c r="E97" s="21" t="s">
        <v>128</v>
      </c>
      <c r="F97" s="5" t="s">
        <v>775</v>
      </c>
      <c r="G97" s="5" t="s">
        <v>776</v>
      </c>
      <c r="H97" s="5" t="s">
        <v>777</v>
      </c>
      <c r="I97" s="23" t="s">
        <v>335</v>
      </c>
      <c r="J97" s="18"/>
      <c r="K97" s="18"/>
      <c r="L97" s="5" t="str">
        <f aca="false">IF(J97&lt;&gt;"",J97,IF($J$96="Freigeben","Freigeben",""))</f>
        <v/>
      </c>
    </row>
    <row r="98" customFormat="false" ht="43.5" hidden="false" customHeight="true" outlineLevel="0" collapsed="false">
      <c r="A98" s="5" t="s">
        <v>279</v>
      </c>
      <c r="B98" s="5" t="s">
        <v>778</v>
      </c>
      <c r="C98" s="5" t="n">
        <v>1</v>
      </c>
      <c r="D98" s="5" t="s">
        <v>779</v>
      </c>
      <c r="E98" s="16" t="s">
        <v>295</v>
      </c>
      <c r="F98" s="5" t="s">
        <v>296</v>
      </c>
      <c r="G98" s="5"/>
      <c r="H98" s="5" t="s">
        <v>297</v>
      </c>
      <c r="I98" s="5" t="s">
        <v>298</v>
      </c>
      <c r="J98" s="18"/>
      <c r="K98" s="18"/>
      <c r="L98" s="5" t="str">
        <f aca="false">IF(J98&lt;&gt;"",J98,IF($J$96="Freigeben","Freigeben",""))</f>
        <v/>
      </c>
    </row>
  </sheetData>
  <sheetProtection sheet="true" formatColumns="false" formatRows="false" sort="false" autoFilter="false"/>
  <autoFilter ref="A1:L98"/>
  <conditionalFormatting sqref="K2:K98">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8 J16 J22 J27 J32 J37 J42 J46 J49 J53 J56 J59 J67 J72 J77 J82 J89 J93 J96"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7 J9:J15 J17:J21 J23:J26 J28:J31 J33:J36 J38 J40:J41 J43:J45 J48 J50:J52 J54:J55 J58 J60:J66 J68:J71 J73:J76 J78:J81 J83:J88 J90:J92 J94:J95 J97:J98"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97.5" hidden="false" customHeight="true" outlineLevel="0" collapsed="false">
      <c r="A2" s="19" t="s">
        <v>274</v>
      </c>
      <c r="B2" s="19" t="s">
        <v>780</v>
      </c>
      <c r="C2" s="20"/>
      <c r="D2" s="20" t="s">
        <v>781</v>
      </c>
      <c r="E2" s="20"/>
      <c r="F2" s="20"/>
      <c r="G2" s="20"/>
      <c r="H2" s="20" t="s">
        <v>782</v>
      </c>
      <c r="I2" s="20" t="s">
        <v>366</v>
      </c>
      <c r="J2" s="18"/>
      <c r="K2" s="20"/>
      <c r="L2" s="20"/>
    </row>
    <row r="3" customFormat="false" ht="30" hidden="false" customHeight="true" outlineLevel="0" collapsed="false">
      <c r="A3" s="5" t="s">
        <v>279</v>
      </c>
      <c r="B3" s="5" t="s">
        <v>783</v>
      </c>
      <c r="C3" s="5" t="n">
        <v>100</v>
      </c>
      <c r="D3" s="5" t="s">
        <v>784</v>
      </c>
      <c r="E3" s="21" t="s">
        <v>128</v>
      </c>
      <c r="F3" s="5" t="s">
        <v>785</v>
      </c>
      <c r="G3" s="5" t="s">
        <v>786</v>
      </c>
      <c r="H3" s="5"/>
      <c r="I3" s="5" t="s">
        <v>284</v>
      </c>
      <c r="J3" s="18"/>
      <c r="K3" s="18"/>
      <c r="L3" s="5" t="str">
        <f aca="false">IF(J3&lt;&gt;"",J3,IF($J$2="Freigeben","Freigeben",""))</f>
        <v/>
      </c>
    </row>
    <row r="4" customFormat="false" ht="43.5" hidden="false" customHeight="true" outlineLevel="0" collapsed="false">
      <c r="A4" s="5" t="s">
        <v>279</v>
      </c>
      <c r="B4" s="23" t="s">
        <v>787</v>
      </c>
      <c r="C4" s="5" t="n">
        <v>100</v>
      </c>
      <c r="D4" s="5" t="s">
        <v>788</v>
      </c>
      <c r="E4" s="22" t="s">
        <v>194</v>
      </c>
      <c r="F4" s="5" t="s">
        <v>789</v>
      </c>
      <c r="G4" s="5" t="s">
        <v>790</v>
      </c>
      <c r="H4" s="5" t="s">
        <v>451</v>
      </c>
      <c r="I4" s="23" t="s">
        <v>335</v>
      </c>
      <c r="J4" s="18"/>
      <c r="K4" s="18"/>
      <c r="L4" s="5" t="str">
        <f aca="false">IF(J4&lt;&gt;"",J4,IF($J$2="Freigeben","Freigeben",""))</f>
        <v/>
      </c>
    </row>
    <row r="5" customFormat="false" ht="43.5" hidden="false" customHeight="true" outlineLevel="0" collapsed="false">
      <c r="A5" s="5" t="s">
        <v>279</v>
      </c>
      <c r="B5" s="5" t="s">
        <v>791</v>
      </c>
      <c r="C5" s="5" t="n">
        <v>1</v>
      </c>
      <c r="D5" s="5" t="s">
        <v>792</v>
      </c>
      <c r="E5" s="16" t="s">
        <v>295</v>
      </c>
      <c r="F5" s="5" t="s">
        <v>296</v>
      </c>
      <c r="G5" s="5"/>
      <c r="H5" s="5" t="s">
        <v>297</v>
      </c>
      <c r="I5" s="5" t="s">
        <v>298</v>
      </c>
      <c r="J5" s="18"/>
      <c r="K5" s="18"/>
      <c r="L5" s="5" t="str">
        <f aca="false">IF(J5&lt;&gt;"",J5,IF($J$2="Freigeben","Freigeben",""))</f>
        <v/>
      </c>
    </row>
    <row r="6" customFormat="false" ht="97.5" hidden="false" customHeight="true" outlineLevel="0" collapsed="false">
      <c r="A6" s="19" t="s">
        <v>274</v>
      </c>
      <c r="B6" s="19" t="s">
        <v>793</v>
      </c>
      <c r="C6" s="20"/>
      <c r="D6" s="20" t="s">
        <v>794</v>
      </c>
      <c r="E6" s="20"/>
      <c r="F6" s="20"/>
      <c r="G6" s="20"/>
      <c r="H6" s="20" t="s">
        <v>795</v>
      </c>
      <c r="I6" s="20" t="s">
        <v>278</v>
      </c>
      <c r="J6" s="18"/>
      <c r="K6" s="20"/>
      <c r="L6" s="20"/>
    </row>
    <row r="7" customFormat="false" ht="43.5" hidden="false" customHeight="true" outlineLevel="0" collapsed="false">
      <c r="A7" s="5" t="s">
        <v>279</v>
      </c>
      <c r="B7" s="5" t="s">
        <v>796</v>
      </c>
      <c r="C7" s="5" t="n">
        <v>100</v>
      </c>
      <c r="D7" s="5" t="s">
        <v>797</v>
      </c>
      <c r="E7" s="21" t="s">
        <v>128</v>
      </c>
      <c r="F7" s="5" t="s">
        <v>798</v>
      </c>
      <c r="G7" s="5" t="s">
        <v>799</v>
      </c>
      <c r="H7" s="5" t="s">
        <v>292</v>
      </c>
      <c r="I7" s="5" t="s">
        <v>284</v>
      </c>
      <c r="J7" s="18"/>
      <c r="K7" s="18"/>
      <c r="L7" s="5" t="str">
        <f aca="false">IF(J7&lt;&gt;"",J7,IF($J$6="Freigeben","Freigeben",""))</f>
        <v/>
      </c>
    </row>
    <row r="8" customFormat="false" ht="57" hidden="false" customHeight="true" outlineLevel="0" collapsed="false">
      <c r="A8" s="5" t="s">
        <v>279</v>
      </c>
      <c r="B8" s="23" t="s">
        <v>800</v>
      </c>
      <c r="C8" s="5" t="n">
        <v>100</v>
      </c>
      <c r="D8" s="5" t="s">
        <v>801</v>
      </c>
      <c r="E8" s="21" t="s">
        <v>128</v>
      </c>
      <c r="F8" s="5" t="s">
        <v>802</v>
      </c>
      <c r="G8" s="5" t="s">
        <v>803</v>
      </c>
      <c r="H8" s="5" t="s">
        <v>804</v>
      </c>
      <c r="I8" s="23" t="s">
        <v>335</v>
      </c>
      <c r="J8" s="18"/>
      <c r="K8" s="18"/>
      <c r="L8" s="5" t="str">
        <f aca="false">IF(J8&lt;&gt;"",J8,IF($J$6="Freigeben","Freigeben",""))</f>
        <v/>
      </c>
    </row>
    <row r="9" customFormat="false" ht="43.5" hidden="false" customHeight="true" outlineLevel="0" collapsed="false">
      <c r="A9" s="5" t="s">
        <v>279</v>
      </c>
      <c r="B9" s="5" t="s">
        <v>805</v>
      </c>
      <c r="C9" s="5" t="n">
        <v>100</v>
      </c>
      <c r="D9" s="5" t="s">
        <v>806</v>
      </c>
      <c r="E9" s="22" t="s">
        <v>194</v>
      </c>
      <c r="F9" s="5" t="s">
        <v>807</v>
      </c>
      <c r="G9" s="5" t="s">
        <v>808</v>
      </c>
      <c r="H9" s="5" t="s">
        <v>292</v>
      </c>
      <c r="I9" s="5" t="s">
        <v>284</v>
      </c>
      <c r="J9" s="18"/>
      <c r="K9" s="18"/>
      <c r="L9" s="5" t="str">
        <f aca="false">IF(J9&lt;&gt;"",J9,IF($J$6="Freigeben","Freigeben",""))</f>
        <v/>
      </c>
    </row>
    <row r="10" customFormat="false" ht="43.5" hidden="false" customHeight="true" outlineLevel="0" collapsed="false">
      <c r="A10" s="5" t="s">
        <v>279</v>
      </c>
      <c r="B10" s="5" t="s">
        <v>809</v>
      </c>
      <c r="C10" s="5" t="n">
        <v>1</v>
      </c>
      <c r="D10" s="5" t="s">
        <v>810</v>
      </c>
      <c r="E10" s="16" t="s">
        <v>295</v>
      </c>
      <c r="F10" s="5" t="s">
        <v>296</v>
      </c>
      <c r="G10" s="5"/>
      <c r="H10" s="5" t="s">
        <v>297</v>
      </c>
      <c r="I10" s="5" t="s">
        <v>298</v>
      </c>
      <c r="J10" s="18"/>
      <c r="K10" s="18"/>
      <c r="L10" s="5" t="str">
        <f aca="false">IF(J10&lt;&gt;"",J10,IF($J$6="Freigeben","Freigeben",""))</f>
        <v/>
      </c>
    </row>
    <row r="11" customFormat="false" ht="97.5" hidden="false" customHeight="true" outlineLevel="0" collapsed="false">
      <c r="A11" s="19" t="s">
        <v>274</v>
      </c>
      <c r="B11" s="19" t="s">
        <v>811</v>
      </c>
      <c r="C11" s="20"/>
      <c r="D11" s="20" t="s">
        <v>812</v>
      </c>
      <c r="E11" s="20"/>
      <c r="F11" s="20"/>
      <c r="G11" s="20"/>
      <c r="H11" s="20" t="s">
        <v>813</v>
      </c>
      <c r="I11" s="20" t="s">
        <v>366</v>
      </c>
      <c r="J11" s="18"/>
      <c r="K11" s="20"/>
      <c r="L11" s="20"/>
    </row>
    <row r="12" customFormat="false" ht="57" hidden="false" customHeight="true" outlineLevel="0" collapsed="false">
      <c r="A12" s="5" t="s">
        <v>279</v>
      </c>
      <c r="B12" s="23" t="s">
        <v>814</v>
      </c>
      <c r="C12" s="5" t="n">
        <v>100</v>
      </c>
      <c r="D12" s="5" t="s">
        <v>815</v>
      </c>
      <c r="E12" s="21" t="s">
        <v>128</v>
      </c>
      <c r="F12" s="5" t="s">
        <v>816</v>
      </c>
      <c r="G12" s="5" t="s">
        <v>817</v>
      </c>
      <c r="H12" s="5" t="s">
        <v>451</v>
      </c>
      <c r="I12" s="23" t="s">
        <v>335</v>
      </c>
      <c r="J12" s="18"/>
      <c r="K12" s="18"/>
      <c r="L12" s="5" t="str">
        <f aca="false">IF(J12&lt;&gt;"",J12,IF($J$11="Freigeben","Freigeben",""))</f>
        <v/>
      </c>
    </row>
    <row r="13" customFormat="false" ht="57" hidden="false" customHeight="true" outlineLevel="0" collapsed="false">
      <c r="A13" s="5" t="s">
        <v>279</v>
      </c>
      <c r="B13" s="23" t="s">
        <v>818</v>
      </c>
      <c r="C13" s="5" t="n">
        <v>100</v>
      </c>
      <c r="D13" s="5" t="s">
        <v>819</v>
      </c>
      <c r="E13" s="22" t="s">
        <v>194</v>
      </c>
      <c r="F13" s="5" t="s">
        <v>820</v>
      </c>
      <c r="G13" s="5" t="s">
        <v>821</v>
      </c>
      <c r="H13" s="5" t="s">
        <v>306</v>
      </c>
      <c r="I13" s="23" t="s">
        <v>335</v>
      </c>
      <c r="J13" s="18"/>
      <c r="K13" s="18"/>
      <c r="L13" s="5" t="str">
        <f aca="false">IF(J13&lt;&gt;"",J13,IF($J$11="Freigeben","Freigeben",""))</f>
        <v/>
      </c>
    </row>
    <row r="14" customFormat="false" ht="43.5" hidden="false" customHeight="true" outlineLevel="0" collapsed="false">
      <c r="A14" s="5" t="s">
        <v>279</v>
      </c>
      <c r="B14" s="5" t="s">
        <v>822</v>
      </c>
      <c r="C14" s="5" t="n">
        <v>1</v>
      </c>
      <c r="D14" s="5" t="s">
        <v>823</v>
      </c>
      <c r="E14" s="16" t="s">
        <v>295</v>
      </c>
      <c r="F14" s="5" t="s">
        <v>296</v>
      </c>
      <c r="G14" s="5"/>
      <c r="H14" s="5" t="s">
        <v>297</v>
      </c>
      <c r="I14" s="5" t="s">
        <v>298</v>
      </c>
      <c r="J14" s="18"/>
      <c r="K14" s="18"/>
      <c r="L14" s="5" t="str">
        <f aca="false">IF(J14&lt;&gt;"",J14,IF($J$11="Freigeben","Freigeben",""))</f>
        <v/>
      </c>
    </row>
    <row r="15" customFormat="false" ht="192" hidden="false" customHeight="true" outlineLevel="0" collapsed="false">
      <c r="A15" s="19" t="s">
        <v>274</v>
      </c>
      <c r="B15" s="19" t="s">
        <v>91</v>
      </c>
      <c r="C15" s="20"/>
      <c r="D15" s="20" t="s">
        <v>824</v>
      </c>
      <c r="E15" s="20"/>
      <c r="F15" s="20"/>
      <c r="G15" s="20"/>
      <c r="H15" s="20" t="s">
        <v>825</v>
      </c>
      <c r="I15" s="20" t="s">
        <v>460</v>
      </c>
      <c r="J15" s="18"/>
      <c r="K15" s="20"/>
      <c r="L15" s="20"/>
    </row>
    <row r="16" customFormat="false" ht="43.5" hidden="false" customHeight="true" outlineLevel="0" collapsed="false">
      <c r="A16" s="5" t="s">
        <v>279</v>
      </c>
      <c r="B16" s="23" t="s">
        <v>826</v>
      </c>
      <c r="C16" s="5" t="n">
        <v>100</v>
      </c>
      <c r="D16" s="5" t="s">
        <v>827</v>
      </c>
      <c r="E16" s="21" t="s">
        <v>128</v>
      </c>
      <c r="F16" s="5" t="s">
        <v>828</v>
      </c>
      <c r="G16" s="5" t="s">
        <v>829</v>
      </c>
      <c r="H16" s="5" t="s">
        <v>830</v>
      </c>
      <c r="I16" s="23" t="s">
        <v>335</v>
      </c>
      <c r="J16" s="18"/>
      <c r="K16" s="18"/>
      <c r="L16" s="5" t="str">
        <f aca="false">IF(J16&lt;&gt;"",J16,IF($J$15="Freigeben","Freigeben",""))</f>
        <v/>
      </c>
    </row>
    <row r="17" customFormat="false" ht="43.5" hidden="false" customHeight="true" outlineLevel="0" collapsed="false">
      <c r="A17" s="5" t="s">
        <v>279</v>
      </c>
      <c r="B17" s="23" t="s">
        <v>831</v>
      </c>
      <c r="C17" s="5" t="n">
        <v>100</v>
      </c>
      <c r="D17" s="5" t="s">
        <v>832</v>
      </c>
      <c r="E17" s="21" t="s">
        <v>128</v>
      </c>
      <c r="F17" s="5" t="s">
        <v>828</v>
      </c>
      <c r="G17" s="5" t="s">
        <v>829</v>
      </c>
      <c r="H17" s="5" t="s">
        <v>833</v>
      </c>
      <c r="I17" s="23" t="s">
        <v>335</v>
      </c>
      <c r="J17" s="18"/>
      <c r="K17" s="18"/>
      <c r="L17" s="5" t="str">
        <f aca="false">IF(J17&lt;&gt;"",J17,IF($J$15="Freigeben","Freigeben",""))</f>
        <v/>
      </c>
    </row>
    <row r="18" customFormat="false" ht="43.5" hidden="false" customHeight="true" outlineLevel="0" collapsed="false">
      <c r="A18" s="5" t="s">
        <v>279</v>
      </c>
      <c r="B18" s="23" t="s">
        <v>834</v>
      </c>
      <c r="C18" s="5" t="n">
        <v>100</v>
      </c>
      <c r="D18" s="5" t="s">
        <v>835</v>
      </c>
      <c r="E18" s="21" t="s">
        <v>128</v>
      </c>
      <c r="F18" s="5" t="s">
        <v>836</v>
      </c>
      <c r="G18" s="5" t="s">
        <v>837</v>
      </c>
      <c r="H18" s="5" t="s">
        <v>838</v>
      </c>
      <c r="I18" s="23" t="s">
        <v>335</v>
      </c>
      <c r="J18" s="18"/>
      <c r="K18" s="18"/>
      <c r="L18" s="5" t="str">
        <f aca="false">IF(J18&lt;&gt;"",J18,IF($J$15="Freigeben","Freigeben",""))</f>
        <v/>
      </c>
    </row>
    <row r="19" customFormat="false" ht="84" hidden="false" customHeight="true" outlineLevel="0" collapsed="false">
      <c r="A19" s="5" t="s">
        <v>279</v>
      </c>
      <c r="B19" s="23" t="s">
        <v>839</v>
      </c>
      <c r="C19" s="5" t="n">
        <v>100</v>
      </c>
      <c r="D19" s="5" t="s">
        <v>840</v>
      </c>
      <c r="E19" s="15" t="s">
        <v>215</v>
      </c>
      <c r="F19" s="5" t="s">
        <v>841</v>
      </c>
      <c r="G19" s="5" t="s">
        <v>829</v>
      </c>
      <c r="H19" s="5" t="s">
        <v>842</v>
      </c>
      <c r="I19" s="23" t="s">
        <v>307</v>
      </c>
      <c r="J19" s="18"/>
      <c r="K19" s="18"/>
      <c r="L19" s="5" t="str">
        <f aca="false">IF(J19&lt;&gt;"",J19,IF($J$15="Freigeben","Freigeben",""))</f>
        <v/>
      </c>
    </row>
    <row r="20" customFormat="false" ht="43.5" hidden="false" customHeight="true" outlineLevel="0" collapsed="false">
      <c r="A20" s="5" t="s">
        <v>279</v>
      </c>
      <c r="B20" s="5" t="s">
        <v>843</v>
      </c>
      <c r="C20" s="5" t="n">
        <v>1</v>
      </c>
      <c r="D20" s="5" t="s">
        <v>844</v>
      </c>
      <c r="E20" s="16" t="s">
        <v>295</v>
      </c>
      <c r="F20" s="5" t="s">
        <v>296</v>
      </c>
      <c r="G20" s="5"/>
      <c r="H20" s="5" t="s">
        <v>297</v>
      </c>
      <c r="I20" s="5" t="s">
        <v>298</v>
      </c>
      <c r="J20" s="18"/>
      <c r="K20" s="18"/>
      <c r="L20" s="5" t="str">
        <f aca="false">IF(J20&lt;&gt;"",J20,IF($J$15="Freigeben","Freigeben",""))</f>
        <v/>
      </c>
    </row>
    <row r="21" customFormat="false" ht="111" hidden="false" customHeight="true" outlineLevel="0" collapsed="false">
      <c r="A21" s="19" t="s">
        <v>274</v>
      </c>
      <c r="B21" s="19" t="s">
        <v>845</v>
      </c>
      <c r="C21" s="20"/>
      <c r="D21" s="20" t="s">
        <v>846</v>
      </c>
      <c r="E21" s="20"/>
      <c r="F21" s="20"/>
      <c r="G21" s="20"/>
      <c r="H21" s="20" t="s">
        <v>847</v>
      </c>
      <c r="I21" s="20" t="s">
        <v>848</v>
      </c>
      <c r="J21" s="18"/>
      <c r="K21" s="20"/>
      <c r="L21" s="20"/>
    </row>
    <row r="22" customFormat="false" ht="30" hidden="false" customHeight="true" outlineLevel="0" collapsed="false">
      <c r="A22" s="5" t="s">
        <v>279</v>
      </c>
      <c r="B22" s="5" t="s">
        <v>849</v>
      </c>
      <c r="C22" s="5" t="n">
        <v>100</v>
      </c>
      <c r="D22" s="5" t="s">
        <v>850</v>
      </c>
      <c r="E22" s="22" t="s">
        <v>194</v>
      </c>
      <c r="F22" s="5" t="s">
        <v>851</v>
      </c>
      <c r="G22" s="5" t="s">
        <v>852</v>
      </c>
      <c r="H22" s="5" t="s">
        <v>292</v>
      </c>
      <c r="I22" s="5" t="s">
        <v>284</v>
      </c>
      <c r="J22" s="18"/>
      <c r="K22" s="18"/>
      <c r="L22" s="5" t="str">
        <f aca="false">IF(J22&lt;&gt;"",J22,IF($J$21="Freigeben","Freigeben",""))</f>
        <v/>
      </c>
    </row>
    <row r="23" customFormat="false" ht="30" hidden="false" customHeight="true" outlineLevel="0" collapsed="false">
      <c r="A23" s="24" t="s">
        <v>279</v>
      </c>
      <c r="B23" s="24" t="s">
        <v>853</v>
      </c>
      <c r="C23" s="24" t="n">
        <v>100</v>
      </c>
      <c r="D23" s="24" t="s">
        <v>854</v>
      </c>
      <c r="E23" s="24" t="s">
        <v>194</v>
      </c>
      <c r="F23" s="24" t="s">
        <v>855</v>
      </c>
      <c r="G23" s="24" t="s">
        <v>856</v>
      </c>
      <c r="H23" s="24" t="s">
        <v>857</v>
      </c>
      <c r="I23" s="24" t="s">
        <v>427</v>
      </c>
      <c r="J23" s="24"/>
      <c r="K23" s="24"/>
      <c r="L23" s="24"/>
    </row>
    <row r="24" customFormat="false" ht="43.5" hidden="false" customHeight="true" outlineLevel="0" collapsed="false">
      <c r="A24" s="5" t="s">
        <v>279</v>
      </c>
      <c r="B24" s="5" t="s">
        <v>858</v>
      </c>
      <c r="C24" s="5" t="n">
        <v>1</v>
      </c>
      <c r="D24" s="5" t="s">
        <v>859</v>
      </c>
      <c r="E24" s="16" t="s">
        <v>295</v>
      </c>
      <c r="F24" s="5" t="s">
        <v>296</v>
      </c>
      <c r="G24" s="5"/>
      <c r="H24" s="5" t="s">
        <v>297</v>
      </c>
      <c r="I24" s="5" t="s">
        <v>298</v>
      </c>
      <c r="J24" s="18"/>
      <c r="K24" s="18"/>
      <c r="L24" s="5" t="str">
        <f aca="false">IF(J24&lt;&gt;"",J24,IF($J$21="Freigeben","Freigeben",""))</f>
        <v/>
      </c>
    </row>
    <row r="25" customFormat="false" ht="138" hidden="false" customHeight="true" outlineLevel="0" collapsed="false">
      <c r="A25" s="19" t="s">
        <v>274</v>
      </c>
      <c r="B25" s="19" t="s">
        <v>95</v>
      </c>
      <c r="C25" s="20"/>
      <c r="D25" s="20" t="s">
        <v>860</v>
      </c>
      <c r="E25" s="20"/>
      <c r="F25" s="20"/>
      <c r="G25" s="20"/>
      <c r="H25" s="20" t="s">
        <v>861</v>
      </c>
      <c r="I25" s="20" t="s">
        <v>862</v>
      </c>
      <c r="J25" s="18"/>
      <c r="K25" s="20"/>
      <c r="L25" s="20"/>
    </row>
    <row r="26" customFormat="false" ht="57" hidden="false" customHeight="true" outlineLevel="0" collapsed="false">
      <c r="A26" s="5" t="s">
        <v>279</v>
      </c>
      <c r="B26" s="23" t="s">
        <v>863</v>
      </c>
      <c r="C26" s="5" t="n">
        <v>300</v>
      </c>
      <c r="D26" s="5" t="s">
        <v>864</v>
      </c>
      <c r="E26" s="21" t="s">
        <v>128</v>
      </c>
      <c r="F26" s="5" t="s">
        <v>865</v>
      </c>
      <c r="G26" s="5" t="s">
        <v>866</v>
      </c>
      <c r="H26" s="5" t="s">
        <v>867</v>
      </c>
      <c r="I26" s="23" t="s">
        <v>307</v>
      </c>
      <c r="J26" s="18"/>
      <c r="K26" s="18"/>
      <c r="L26" s="5" t="str">
        <f aca="false">IF(J26&lt;&gt;"",J26,IF($J$25="Freigeben","Freigeben",""))</f>
        <v/>
      </c>
    </row>
    <row r="27" customFormat="false" ht="70.5" hidden="false" customHeight="true" outlineLevel="0" collapsed="false">
      <c r="A27" s="5" t="s">
        <v>279</v>
      </c>
      <c r="B27" s="23" t="s">
        <v>868</v>
      </c>
      <c r="C27" s="5" t="n">
        <v>250</v>
      </c>
      <c r="D27" s="5" t="s">
        <v>869</v>
      </c>
      <c r="E27" s="21" t="s">
        <v>128</v>
      </c>
      <c r="F27" s="5" t="s">
        <v>870</v>
      </c>
      <c r="G27" s="5" t="s">
        <v>871</v>
      </c>
      <c r="H27" s="5" t="s">
        <v>872</v>
      </c>
      <c r="I27" s="23" t="s">
        <v>307</v>
      </c>
      <c r="J27" s="18"/>
      <c r="K27" s="18"/>
      <c r="L27" s="5" t="str">
        <f aca="false">IF(J27&lt;&gt;"",J27,IF($J$25="Freigeben","Freigeben",""))</f>
        <v/>
      </c>
    </row>
    <row r="28" customFormat="false" ht="124.5" hidden="false" customHeight="true" outlineLevel="0" collapsed="false">
      <c r="A28" s="5" t="s">
        <v>279</v>
      </c>
      <c r="B28" s="23" t="s">
        <v>873</v>
      </c>
      <c r="C28" s="5" t="n">
        <v>220</v>
      </c>
      <c r="D28" s="5" t="s">
        <v>874</v>
      </c>
      <c r="E28" s="21" t="s">
        <v>128</v>
      </c>
      <c r="F28" s="5" t="s">
        <v>836</v>
      </c>
      <c r="G28" s="5" t="s">
        <v>875</v>
      </c>
      <c r="H28" s="5" t="s">
        <v>876</v>
      </c>
      <c r="I28" s="23" t="s">
        <v>877</v>
      </c>
      <c r="J28" s="18"/>
      <c r="K28" s="18"/>
      <c r="L28" s="5" t="str">
        <f aca="false">IF(J28&lt;&gt;"",J28,IF($J$25="Freigeben","Freigeben",""))</f>
        <v/>
      </c>
    </row>
    <row r="29" customFormat="false" ht="84" hidden="false" customHeight="true" outlineLevel="0" collapsed="false">
      <c r="A29" s="24" t="s">
        <v>279</v>
      </c>
      <c r="B29" s="24" t="s">
        <v>878</v>
      </c>
      <c r="C29" s="24" t="n">
        <v>210</v>
      </c>
      <c r="D29" s="24" t="s">
        <v>879</v>
      </c>
      <c r="E29" s="24" t="s">
        <v>128</v>
      </c>
      <c r="F29" s="24" t="s">
        <v>836</v>
      </c>
      <c r="G29" s="24" t="s">
        <v>875</v>
      </c>
      <c r="H29" s="24" t="s">
        <v>880</v>
      </c>
      <c r="I29" s="24" t="s">
        <v>427</v>
      </c>
      <c r="J29" s="24"/>
      <c r="K29" s="24"/>
      <c r="L29" s="24"/>
    </row>
    <row r="30" customFormat="false" ht="84" hidden="false" customHeight="true" outlineLevel="0" collapsed="false">
      <c r="A30" s="5" t="s">
        <v>279</v>
      </c>
      <c r="B30" s="23" t="s">
        <v>881</v>
      </c>
      <c r="C30" s="5" t="n">
        <v>200</v>
      </c>
      <c r="D30" s="5" t="s">
        <v>882</v>
      </c>
      <c r="E30" s="22" t="s">
        <v>194</v>
      </c>
      <c r="F30" s="5" t="s">
        <v>883</v>
      </c>
      <c r="G30" s="5" t="s">
        <v>871</v>
      </c>
      <c r="H30" s="5" t="s">
        <v>884</v>
      </c>
      <c r="I30" s="23" t="s">
        <v>335</v>
      </c>
      <c r="J30" s="18"/>
      <c r="K30" s="18"/>
      <c r="L30" s="5" t="str">
        <f aca="false">IF(J30&lt;&gt;"",J30,IF($J$25="Freigeben","Freigeben",""))</f>
        <v/>
      </c>
    </row>
    <row r="31" customFormat="false" ht="84" hidden="false" customHeight="true" outlineLevel="0" collapsed="false">
      <c r="A31" s="5" t="s">
        <v>279</v>
      </c>
      <c r="B31" s="23" t="s">
        <v>885</v>
      </c>
      <c r="C31" s="5" t="n">
        <v>200</v>
      </c>
      <c r="D31" s="5" t="s">
        <v>886</v>
      </c>
      <c r="E31" s="22" t="s">
        <v>194</v>
      </c>
      <c r="F31" s="5" t="s">
        <v>883</v>
      </c>
      <c r="G31" s="5" t="s">
        <v>871</v>
      </c>
      <c r="H31" s="5" t="s">
        <v>887</v>
      </c>
      <c r="I31" s="23" t="s">
        <v>335</v>
      </c>
      <c r="J31" s="18"/>
      <c r="K31" s="18"/>
      <c r="L31" s="5" t="str">
        <f aca="false">IF(J31&lt;&gt;"",J31,IF($J$25="Freigeben","Freigeben",""))</f>
        <v/>
      </c>
    </row>
    <row r="32" customFormat="false" ht="43.5" hidden="false" customHeight="true" outlineLevel="0" collapsed="false">
      <c r="A32" s="5" t="s">
        <v>279</v>
      </c>
      <c r="B32" s="5" t="s">
        <v>888</v>
      </c>
      <c r="C32" s="5" t="n">
        <v>200</v>
      </c>
      <c r="D32" s="5" t="s">
        <v>889</v>
      </c>
      <c r="E32" s="22" t="s">
        <v>194</v>
      </c>
      <c r="F32" s="5" t="s">
        <v>836</v>
      </c>
      <c r="G32" s="5" t="s">
        <v>875</v>
      </c>
      <c r="H32" s="5"/>
      <c r="I32" s="5" t="s">
        <v>284</v>
      </c>
      <c r="J32" s="18"/>
      <c r="K32" s="18"/>
      <c r="L32" s="5" t="str">
        <f aca="false">IF(J32&lt;&gt;"",J32,IF($J$25="Freigeben","Freigeben",""))</f>
        <v/>
      </c>
    </row>
    <row r="33" customFormat="false" ht="70.5" hidden="false" customHeight="true" outlineLevel="0" collapsed="false">
      <c r="A33" s="5" t="s">
        <v>279</v>
      </c>
      <c r="B33" s="23" t="s">
        <v>890</v>
      </c>
      <c r="C33" s="5" t="n">
        <v>200</v>
      </c>
      <c r="D33" s="5" t="s">
        <v>891</v>
      </c>
      <c r="E33" s="22" t="s">
        <v>194</v>
      </c>
      <c r="F33" s="5" t="s">
        <v>836</v>
      </c>
      <c r="G33" s="5" t="s">
        <v>875</v>
      </c>
      <c r="H33" s="5" t="s">
        <v>892</v>
      </c>
      <c r="I33" s="23" t="s">
        <v>307</v>
      </c>
      <c r="J33" s="18"/>
      <c r="K33" s="18"/>
      <c r="L33" s="5" t="str">
        <f aca="false">IF(J33&lt;&gt;"",J33,IF($J$25="Freigeben","Freigeben",""))</f>
        <v/>
      </c>
    </row>
    <row r="34" customFormat="false" ht="70.5" hidden="false" customHeight="true" outlineLevel="0" collapsed="false">
      <c r="A34" s="5" t="s">
        <v>279</v>
      </c>
      <c r="B34" s="5" t="s">
        <v>893</v>
      </c>
      <c r="C34" s="5" t="n">
        <v>190</v>
      </c>
      <c r="D34" s="5" t="s">
        <v>894</v>
      </c>
      <c r="E34" s="15" t="s">
        <v>215</v>
      </c>
      <c r="F34" s="5" t="s">
        <v>895</v>
      </c>
      <c r="G34" s="5" t="s">
        <v>896</v>
      </c>
      <c r="H34" s="5" t="s">
        <v>897</v>
      </c>
      <c r="I34" s="5" t="s">
        <v>284</v>
      </c>
      <c r="J34" s="18"/>
      <c r="K34" s="18"/>
      <c r="L34" s="5" t="str">
        <f aca="false">IF(J34&lt;&gt;"",J34,IF($J$25="Freigeben","Freigeben",""))</f>
        <v/>
      </c>
    </row>
    <row r="35" customFormat="false" ht="57" hidden="false" customHeight="true" outlineLevel="0" collapsed="false">
      <c r="A35" s="5" t="s">
        <v>279</v>
      </c>
      <c r="B35" s="23" t="s">
        <v>898</v>
      </c>
      <c r="C35" s="5" t="n">
        <v>150</v>
      </c>
      <c r="D35" s="5" t="s">
        <v>899</v>
      </c>
      <c r="E35" s="21" t="s">
        <v>128</v>
      </c>
      <c r="F35" s="5" t="s">
        <v>900</v>
      </c>
      <c r="G35" s="5" t="s">
        <v>901</v>
      </c>
      <c r="H35" s="5" t="s">
        <v>902</v>
      </c>
      <c r="I35" s="23" t="s">
        <v>335</v>
      </c>
      <c r="J35" s="18"/>
      <c r="K35" s="18"/>
      <c r="L35" s="5" t="str">
        <f aca="false">IF(J35&lt;&gt;"",J35,IF($J$25="Freigeben","Freigeben",""))</f>
        <v/>
      </c>
    </row>
    <row r="36" customFormat="false" ht="43.5" hidden="false" customHeight="true" outlineLevel="0" collapsed="false">
      <c r="A36" s="5" t="s">
        <v>279</v>
      </c>
      <c r="B36" s="5" t="s">
        <v>903</v>
      </c>
      <c r="C36" s="5" t="n">
        <v>1</v>
      </c>
      <c r="D36" s="5" t="s">
        <v>904</v>
      </c>
      <c r="E36" s="16" t="s">
        <v>295</v>
      </c>
      <c r="F36" s="5" t="s">
        <v>296</v>
      </c>
      <c r="G36" s="5"/>
      <c r="H36" s="5" t="s">
        <v>297</v>
      </c>
      <c r="I36" s="5" t="s">
        <v>298</v>
      </c>
      <c r="J36" s="18"/>
      <c r="K36" s="18"/>
      <c r="L36" s="5" t="str">
        <f aca="false">IF(J36&lt;&gt;"",J36,IF($J$25="Freigeben","Freigeben",""))</f>
        <v/>
      </c>
    </row>
  </sheetData>
  <sheetProtection sheet="true" formatColumns="false" formatRows="false" sort="false" autoFilter="false"/>
  <autoFilter ref="A1:L36"/>
  <conditionalFormatting sqref="K2:K36">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6 J11 J15 J21 J25"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5 J7:J10 J12:J14 J16:J20 J22 J24 J26:J28 J30:J36"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111" hidden="false" customHeight="true" outlineLevel="0" collapsed="false">
      <c r="A2" s="19" t="s">
        <v>274</v>
      </c>
      <c r="B2" s="19" t="s">
        <v>905</v>
      </c>
      <c r="C2" s="20"/>
      <c r="D2" s="20" t="s">
        <v>906</v>
      </c>
      <c r="E2" s="20"/>
      <c r="F2" s="20"/>
      <c r="G2" s="20"/>
      <c r="H2" s="20" t="s">
        <v>907</v>
      </c>
      <c r="I2" s="20" t="s">
        <v>278</v>
      </c>
      <c r="J2" s="18"/>
      <c r="K2" s="20"/>
      <c r="L2" s="20"/>
    </row>
    <row r="3" customFormat="false" ht="30" hidden="false" customHeight="true" outlineLevel="0" collapsed="false">
      <c r="A3" s="5" t="s">
        <v>279</v>
      </c>
      <c r="B3" s="5" t="s">
        <v>908</v>
      </c>
      <c r="C3" s="5" t="n">
        <v>100</v>
      </c>
      <c r="D3" s="5" t="s">
        <v>909</v>
      </c>
      <c r="E3" s="21" t="s">
        <v>128</v>
      </c>
      <c r="F3" s="5" t="s">
        <v>865</v>
      </c>
      <c r="G3" s="5" t="s">
        <v>910</v>
      </c>
      <c r="H3" s="5"/>
      <c r="I3" s="5" t="s">
        <v>284</v>
      </c>
      <c r="J3" s="18"/>
      <c r="K3" s="18"/>
      <c r="L3" s="5" t="str">
        <f aca="false">IF(J3&lt;&gt;"",J3,IF($J$2="Freigeben","Freigeben",""))</f>
        <v/>
      </c>
    </row>
    <row r="4" customFormat="false" ht="84" hidden="false" customHeight="true" outlineLevel="0" collapsed="false">
      <c r="A4" s="5" t="s">
        <v>279</v>
      </c>
      <c r="B4" s="5" t="s">
        <v>911</v>
      </c>
      <c r="C4" s="5" t="n">
        <v>100</v>
      </c>
      <c r="D4" s="5" t="s">
        <v>912</v>
      </c>
      <c r="E4" s="22" t="s">
        <v>194</v>
      </c>
      <c r="F4" s="5" t="s">
        <v>883</v>
      </c>
      <c r="G4" s="5" t="s">
        <v>910</v>
      </c>
      <c r="H4" s="5" t="s">
        <v>913</v>
      </c>
      <c r="I4" s="5" t="s">
        <v>284</v>
      </c>
      <c r="J4" s="18"/>
      <c r="K4" s="18"/>
      <c r="L4" s="5" t="str">
        <f aca="false">IF(J4&lt;&gt;"",J4,IF($J$2="Freigeben","Freigeben",""))</f>
        <v/>
      </c>
    </row>
    <row r="5" customFormat="false" ht="70.5" hidden="false" customHeight="true" outlineLevel="0" collapsed="false">
      <c r="A5" s="5" t="s">
        <v>279</v>
      </c>
      <c r="B5" s="23" t="s">
        <v>914</v>
      </c>
      <c r="C5" s="5" t="n">
        <v>100</v>
      </c>
      <c r="D5" s="5" t="s">
        <v>915</v>
      </c>
      <c r="E5" s="22" t="s">
        <v>194</v>
      </c>
      <c r="F5" s="5" t="s">
        <v>916</v>
      </c>
      <c r="G5" s="5" t="s">
        <v>917</v>
      </c>
      <c r="H5" s="5" t="s">
        <v>918</v>
      </c>
      <c r="I5" s="23" t="s">
        <v>307</v>
      </c>
      <c r="J5" s="18"/>
      <c r="K5" s="18"/>
      <c r="L5" s="5" t="str">
        <f aca="false">IF(J5&lt;&gt;"",J5,IF($J$2="Freigeben","Freigeben",""))</f>
        <v/>
      </c>
    </row>
    <row r="6" customFormat="false" ht="43.5" hidden="false" customHeight="true" outlineLevel="0" collapsed="false">
      <c r="A6" s="5" t="s">
        <v>279</v>
      </c>
      <c r="B6" s="5" t="s">
        <v>919</v>
      </c>
      <c r="C6" s="5" t="n">
        <v>1</v>
      </c>
      <c r="D6" s="5" t="s">
        <v>920</v>
      </c>
      <c r="E6" s="16" t="s">
        <v>295</v>
      </c>
      <c r="F6" s="5" t="s">
        <v>296</v>
      </c>
      <c r="G6" s="5"/>
      <c r="H6" s="5" t="s">
        <v>297</v>
      </c>
      <c r="I6" s="5" t="s">
        <v>298</v>
      </c>
      <c r="J6" s="18"/>
      <c r="K6" s="18"/>
      <c r="L6" s="5" t="str">
        <f aca="false">IF(J6&lt;&gt;"",J6,IF($J$2="Freigeben","Freigeben",""))</f>
        <v/>
      </c>
    </row>
    <row r="7" customFormat="false" ht="97.5" hidden="false" customHeight="true" outlineLevel="0" collapsed="false">
      <c r="A7" s="19" t="s">
        <v>274</v>
      </c>
      <c r="B7" s="19" t="s">
        <v>921</v>
      </c>
      <c r="C7" s="20"/>
      <c r="D7" s="20" t="s">
        <v>922</v>
      </c>
      <c r="E7" s="20"/>
      <c r="F7" s="20"/>
      <c r="G7" s="20"/>
      <c r="H7" s="20" t="s">
        <v>923</v>
      </c>
      <c r="I7" s="20" t="s">
        <v>366</v>
      </c>
      <c r="J7" s="18"/>
      <c r="K7" s="20"/>
      <c r="L7" s="20"/>
    </row>
    <row r="8" customFormat="false" ht="43.5" hidden="false" customHeight="true" outlineLevel="0" collapsed="false">
      <c r="A8" s="5" t="s">
        <v>279</v>
      </c>
      <c r="B8" s="23" t="s">
        <v>924</v>
      </c>
      <c r="C8" s="5" t="n">
        <v>100</v>
      </c>
      <c r="D8" s="5" t="s">
        <v>925</v>
      </c>
      <c r="E8" s="21" t="s">
        <v>128</v>
      </c>
      <c r="F8" s="5" t="s">
        <v>926</v>
      </c>
      <c r="G8" s="5" t="s">
        <v>927</v>
      </c>
      <c r="H8" s="5" t="s">
        <v>928</v>
      </c>
      <c r="I8" s="23" t="s">
        <v>335</v>
      </c>
      <c r="J8" s="18"/>
      <c r="K8" s="18"/>
      <c r="L8" s="5" t="str">
        <f aca="false">IF(J8&lt;&gt;"",J8,IF($J$7="Freigeben","Freigeben",""))</f>
        <v/>
      </c>
    </row>
    <row r="9" customFormat="false" ht="84" hidden="false" customHeight="true" outlineLevel="0" collapsed="false">
      <c r="A9" s="5" t="s">
        <v>279</v>
      </c>
      <c r="B9" s="23" t="s">
        <v>929</v>
      </c>
      <c r="C9" s="5" t="n">
        <v>100</v>
      </c>
      <c r="D9" s="5" t="s">
        <v>930</v>
      </c>
      <c r="E9" s="15" t="s">
        <v>215</v>
      </c>
      <c r="F9" s="5" t="s">
        <v>931</v>
      </c>
      <c r="G9" s="5" t="s">
        <v>932</v>
      </c>
      <c r="H9" s="5" t="s">
        <v>933</v>
      </c>
      <c r="I9" s="23" t="s">
        <v>335</v>
      </c>
      <c r="J9" s="18"/>
      <c r="K9" s="18"/>
      <c r="L9" s="5" t="str">
        <f aca="false">IF(J9&lt;&gt;"",J9,IF($J$7="Freigeben","Freigeben",""))</f>
        <v/>
      </c>
    </row>
    <row r="10" customFormat="false" ht="43.5" hidden="false" customHeight="true" outlineLevel="0" collapsed="false">
      <c r="A10" s="5" t="s">
        <v>279</v>
      </c>
      <c r="B10" s="5" t="s">
        <v>934</v>
      </c>
      <c r="C10" s="5" t="n">
        <v>1</v>
      </c>
      <c r="D10" s="5" t="s">
        <v>935</v>
      </c>
      <c r="E10" s="16" t="s">
        <v>295</v>
      </c>
      <c r="F10" s="5" t="s">
        <v>296</v>
      </c>
      <c r="G10" s="5"/>
      <c r="H10" s="5" t="s">
        <v>297</v>
      </c>
      <c r="I10" s="5" t="s">
        <v>298</v>
      </c>
      <c r="J10" s="18"/>
      <c r="K10" s="18"/>
      <c r="L10" s="5" t="str">
        <f aca="false">IF(J10&lt;&gt;"",J10,IF($J$7="Freigeben","Freigeben",""))</f>
        <v/>
      </c>
    </row>
    <row r="11" customFormat="false" ht="97.5" hidden="false" customHeight="true" outlineLevel="0" collapsed="false">
      <c r="A11" s="19" t="s">
        <v>274</v>
      </c>
      <c r="B11" s="19" t="s">
        <v>936</v>
      </c>
      <c r="C11" s="20"/>
      <c r="D11" s="20" t="s">
        <v>937</v>
      </c>
      <c r="E11" s="20"/>
      <c r="F11" s="20"/>
      <c r="G11" s="20"/>
      <c r="H11" s="20" t="s">
        <v>938</v>
      </c>
      <c r="I11" s="20" t="s">
        <v>278</v>
      </c>
      <c r="J11" s="18"/>
      <c r="K11" s="20"/>
      <c r="L11" s="20"/>
    </row>
    <row r="12" customFormat="false" ht="43.5" hidden="false" customHeight="true" outlineLevel="0" collapsed="false">
      <c r="A12" s="5" t="s">
        <v>279</v>
      </c>
      <c r="B12" s="5" t="s">
        <v>939</v>
      </c>
      <c r="C12" s="5" t="n">
        <v>300</v>
      </c>
      <c r="D12" s="5" t="s">
        <v>940</v>
      </c>
      <c r="E12" s="21" t="s">
        <v>128</v>
      </c>
      <c r="F12" s="5" t="s">
        <v>883</v>
      </c>
      <c r="G12" s="5" t="s">
        <v>941</v>
      </c>
      <c r="H12" s="5"/>
      <c r="I12" s="5" t="s">
        <v>284</v>
      </c>
      <c r="J12" s="18"/>
      <c r="K12" s="18"/>
      <c r="L12" s="5" t="str">
        <f aca="false">IF(J12&lt;&gt;"",J12,IF($J$11="Freigeben","Freigeben",""))</f>
        <v/>
      </c>
    </row>
    <row r="13" customFormat="false" ht="70.5" hidden="false" customHeight="true" outlineLevel="0" collapsed="false">
      <c r="A13" s="5" t="s">
        <v>279</v>
      </c>
      <c r="B13" s="23" t="s">
        <v>942</v>
      </c>
      <c r="C13" s="5" t="n">
        <v>250</v>
      </c>
      <c r="D13" s="5" t="s">
        <v>943</v>
      </c>
      <c r="E13" s="21" t="s">
        <v>128</v>
      </c>
      <c r="F13" s="5" t="s">
        <v>883</v>
      </c>
      <c r="G13" s="5" t="s">
        <v>941</v>
      </c>
      <c r="H13" s="5" t="s">
        <v>944</v>
      </c>
      <c r="I13" s="23" t="s">
        <v>945</v>
      </c>
      <c r="J13" s="18"/>
      <c r="K13" s="18"/>
      <c r="L13" s="5" t="str">
        <f aca="false">IF(J13&lt;&gt;"",J13,IF($J$11="Freigeben","Freigeben",""))</f>
        <v/>
      </c>
    </row>
    <row r="14" customFormat="false" ht="70.5" hidden="false" customHeight="true" outlineLevel="0" collapsed="false">
      <c r="A14" s="5" t="s">
        <v>279</v>
      </c>
      <c r="B14" s="23" t="s">
        <v>946</v>
      </c>
      <c r="C14" s="5" t="n">
        <v>200</v>
      </c>
      <c r="D14" s="5" t="s">
        <v>947</v>
      </c>
      <c r="E14" s="22" t="s">
        <v>194</v>
      </c>
      <c r="F14" s="5" t="s">
        <v>948</v>
      </c>
      <c r="G14" s="5" t="s">
        <v>949</v>
      </c>
      <c r="H14" s="5" t="s">
        <v>950</v>
      </c>
      <c r="I14" s="23" t="s">
        <v>945</v>
      </c>
      <c r="J14" s="18"/>
      <c r="K14" s="18"/>
      <c r="L14" s="5" t="str">
        <f aca="false">IF(J14&lt;&gt;"",J14,IF($J$11="Freigeben","Freigeben",""))</f>
        <v/>
      </c>
    </row>
    <row r="15" customFormat="false" ht="43.5" hidden="false" customHeight="true" outlineLevel="0" collapsed="false">
      <c r="A15" s="5" t="s">
        <v>279</v>
      </c>
      <c r="B15" s="5" t="s">
        <v>951</v>
      </c>
      <c r="C15" s="5" t="n">
        <v>1</v>
      </c>
      <c r="D15" s="5" t="s">
        <v>952</v>
      </c>
      <c r="E15" s="16" t="s">
        <v>295</v>
      </c>
      <c r="F15" s="5" t="s">
        <v>296</v>
      </c>
      <c r="G15" s="5"/>
      <c r="H15" s="5" t="s">
        <v>297</v>
      </c>
      <c r="I15" s="5" t="s">
        <v>298</v>
      </c>
      <c r="J15" s="18"/>
      <c r="K15" s="18"/>
      <c r="L15" s="5" t="str">
        <f aca="false">IF(J15&lt;&gt;"",J15,IF($J$11="Freigeben","Freigeben",""))</f>
        <v/>
      </c>
    </row>
    <row r="16" customFormat="false" ht="111" hidden="false" customHeight="true" outlineLevel="0" collapsed="false">
      <c r="A16" s="19" t="s">
        <v>274</v>
      </c>
      <c r="B16" s="19" t="s">
        <v>953</v>
      </c>
      <c r="C16" s="20"/>
      <c r="D16" s="20" t="s">
        <v>954</v>
      </c>
      <c r="E16" s="20"/>
      <c r="F16" s="20"/>
      <c r="G16" s="20"/>
      <c r="H16" s="20" t="s">
        <v>955</v>
      </c>
      <c r="I16" s="20" t="s">
        <v>278</v>
      </c>
      <c r="J16" s="18"/>
      <c r="K16" s="20"/>
      <c r="L16" s="20"/>
    </row>
    <row r="17" customFormat="false" ht="57" hidden="false" customHeight="true" outlineLevel="0" collapsed="false">
      <c r="A17" s="5" t="s">
        <v>279</v>
      </c>
      <c r="B17" s="23" t="s">
        <v>956</v>
      </c>
      <c r="C17" s="5" t="n">
        <v>300</v>
      </c>
      <c r="D17" s="5" t="s">
        <v>957</v>
      </c>
      <c r="E17" s="22" t="s">
        <v>194</v>
      </c>
      <c r="F17" s="5" t="s">
        <v>958</v>
      </c>
      <c r="G17" s="5" t="s">
        <v>959</v>
      </c>
      <c r="H17" s="5" t="s">
        <v>306</v>
      </c>
      <c r="I17" s="23" t="s">
        <v>945</v>
      </c>
      <c r="J17" s="18"/>
      <c r="K17" s="18"/>
      <c r="L17" s="5" t="str">
        <f aca="false">IF(J17&lt;&gt;"",J17,IF($J$16="Freigeben","Freigeben",""))</f>
        <v/>
      </c>
    </row>
    <row r="18" customFormat="false" ht="57" hidden="false" customHeight="true" outlineLevel="0" collapsed="false">
      <c r="A18" s="5" t="s">
        <v>279</v>
      </c>
      <c r="B18" s="23" t="s">
        <v>960</v>
      </c>
      <c r="C18" s="5" t="n">
        <v>200</v>
      </c>
      <c r="D18" s="5" t="s">
        <v>961</v>
      </c>
      <c r="E18" s="21" t="s">
        <v>128</v>
      </c>
      <c r="F18" s="5" t="s">
        <v>958</v>
      </c>
      <c r="G18" s="5" t="s">
        <v>959</v>
      </c>
      <c r="H18" s="5" t="s">
        <v>306</v>
      </c>
      <c r="I18" s="23" t="s">
        <v>945</v>
      </c>
      <c r="J18" s="18"/>
      <c r="K18" s="18"/>
      <c r="L18" s="5" t="str">
        <f aca="false">IF(J18&lt;&gt;"",J18,IF($J$16="Freigeben","Freigeben",""))</f>
        <v/>
      </c>
    </row>
    <row r="19" customFormat="false" ht="57" hidden="false" customHeight="true" outlineLevel="0" collapsed="false">
      <c r="A19" s="5" t="s">
        <v>279</v>
      </c>
      <c r="B19" s="23" t="s">
        <v>962</v>
      </c>
      <c r="C19" s="5" t="n">
        <v>100</v>
      </c>
      <c r="D19" s="5" t="s">
        <v>963</v>
      </c>
      <c r="E19" s="22" t="s">
        <v>194</v>
      </c>
      <c r="F19" s="5" t="s">
        <v>958</v>
      </c>
      <c r="G19" s="5" t="s">
        <v>959</v>
      </c>
      <c r="H19" s="5" t="s">
        <v>306</v>
      </c>
      <c r="I19" s="23" t="s">
        <v>945</v>
      </c>
      <c r="J19" s="18"/>
      <c r="K19" s="18"/>
      <c r="L19" s="5" t="str">
        <f aca="false">IF(J19&lt;&gt;"",J19,IF($J$16="Freigeben","Freigeben",""))</f>
        <v/>
      </c>
    </row>
    <row r="20" customFormat="false" ht="43.5" hidden="false" customHeight="true" outlineLevel="0" collapsed="false">
      <c r="A20" s="5" t="s">
        <v>279</v>
      </c>
      <c r="B20" s="5" t="s">
        <v>964</v>
      </c>
      <c r="C20" s="5" t="n">
        <v>1</v>
      </c>
      <c r="D20" s="5" t="s">
        <v>965</v>
      </c>
      <c r="E20" s="16" t="s">
        <v>295</v>
      </c>
      <c r="F20" s="5" t="s">
        <v>296</v>
      </c>
      <c r="G20" s="5"/>
      <c r="H20" s="5" t="s">
        <v>297</v>
      </c>
      <c r="I20" s="5" t="s">
        <v>298</v>
      </c>
      <c r="J20" s="18"/>
      <c r="K20" s="18"/>
      <c r="L20" s="5" t="str">
        <f aca="false">IF(J20&lt;&gt;"",J20,IF($J$16="Freigeben","Freigeben",""))</f>
        <v/>
      </c>
    </row>
    <row r="21" customFormat="false" ht="111" hidden="false" customHeight="true" outlineLevel="0" collapsed="false">
      <c r="A21" s="19" t="s">
        <v>274</v>
      </c>
      <c r="B21" s="19" t="s">
        <v>99</v>
      </c>
      <c r="C21" s="20"/>
      <c r="D21" s="20" t="s">
        <v>966</v>
      </c>
      <c r="E21" s="20"/>
      <c r="F21" s="20"/>
      <c r="G21" s="20"/>
      <c r="H21" s="20" t="s">
        <v>967</v>
      </c>
      <c r="I21" s="20" t="s">
        <v>460</v>
      </c>
      <c r="J21" s="18"/>
      <c r="K21" s="20"/>
      <c r="L21" s="20"/>
    </row>
    <row r="22" customFormat="false" ht="97.5" hidden="false" customHeight="true" outlineLevel="0" collapsed="false">
      <c r="A22" s="5" t="s">
        <v>279</v>
      </c>
      <c r="B22" s="23" t="s">
        <v>968</v>
      </c>
      <c r="C22" s="5" t="n">
        <v>200</v>
      </c>
      <c r="D22" s="5" t="s">
        <v>969</v>
      </c>
      <c r="E22" s="16" t="s">
        <v>295</v>
      </c>
      <c r="F22" s="5"/>
      <c r="G22" s="5"/>
      <c r="H22" s="5" t="s">
        <v>970</v>
      </c>
      <c r="I22" s="23" t="s">
        <v>945</v>
      </c>
      <c r="J22" s="18"/>
      <c r="K22" s="18"/>
      <c r="L22" s="5" t="str">
        <f aca="false">IF(J22&lt;&gt;"",J22,IF($J$21="Freigeben","Freigeben",""))</f>
        <v/>
      </c>
    </row>
    <row r="23" customFormat="false" ht="97.5" hidden="false" customHeight="true" outlineLevel="0" collapsed="false">
      <c r="A23" s="5" t="s">
        <v>279</v>
      </c>
      <c r="B23" s="23" t="s">
        <v>971</v>
      </c>
      <c r="C23" s="5" t="n">
        <v>190</v>
      </c>
      <c r="D23" s="5" t="s">
        <v>972</v>
      </c>
      <c r="E23" s="15" t="s">
        <v>215</v>
      </c>
      <c r="F23" s="5" t="s">
        <v>973</v>
      </c>
      <c r="G23" s="5" t="s">
        <v>974</v>
      </c>
      <c r="H23" s="5" t="s">
        <v>975</v>
      </c>
      <c r="I23" s="23" t="s">
        <v>307</v>
      </c>
      <c r="J23" s="18"/>
      <c r="K23" s="18"/>
      <c r="L23" s="5" t="str">
        <f aca="false">IF(J23&lt;&gt;"",J23,IF($J$21="Freigeben","Freigeben",""))</f>
        <v/>
      </c>
    </row>
    <row r="24" customFormat="false" ht="70.5" hidden="false" customHeight="true" outlineLevel="0" collapsed="false">
      <c r="A24" s="5" t="s">
        <v>279</v>
      </c>
      <c r="B24" s="23" t="s">
        <v>976</v>
      </c>
      <c r="C24" s="5" t="n">
        <v>150</v>
      </c>
      <c r="D24" s="5" t="s">
        <v>977</v>
      </c>
      <c r="E24" s="21" t="s">
        <v>128</v>
      </c>
      <c r="F24" s="5" t="s">
        <v>978</v>
      </c>
      <c r="G24" s="5" t="s">
        <v>979</v>
      </c>
      <c r="H24" s="5" t="s">
        <v>980</v>
      </c>
      <c r="I24" s="23" t="s">
        <v>307</v>
      </c>
      <c r="J24" s="18"/>
      <c r="K24" s="18"/>
      <c r="L24" s="5" t="str">
        <f aca="false">IF(J24&lt;&gt;"",J24,IF($J$21="Freigeben","Freigeben",""))</f>
        <v/>
      </c>
    </row>
    <row r="25" customFormat="false" ht="57" hidden="false" customHeight="true" outlineLevel="0" collapsed="false">
      <c r="A25" s="5" t="s">
        <v>279</v>
      </c>
      <c r="B25" s="23" t="s">
        <v>981</v>
      </c>
      <c r="C25" s="5" t="n">
        <v>100</v>
      </c>
      <c r="D25" s="5" t="s">
        <v>982</v>
      </c>
      <c r="E25" s="22" t="s">
        <v>194</v>
      </c>
      <c r="F25" s="5" t="s">
        <v>978</v>
      </c>
      <c r="G25" s="5" t="s">
        <v>979</v>
      </c>
      <c r="H25" s="5" t="s">
        <v>983</v>
      </c>
      <c r="I25" s="23" t="s">
        <v>945</v>
      </c>
      <c r="J25" s="18"/>
      <c r="K25" s="18"/>
      <c r="L25" s="5" t="str">
        <f aca="false">IF(J25&lt;&gt;"",J25,IF($J$21="Freigeben","Freigeben",""))</f>
        <v/>
      </c>
    </row>
    <row r="26" customFormat="false" ht="43.5" hidden="false" customHeight="true" outlineLevel="0" collapsed="false">
      <c r="A26" s="5" t="s">
        <v>279</v>
      </c>
      <c r="B26" s="5" t="s">
        <v>984</v>
      </c>
      <c r="C26" s="5" t="n">
        <v>1</v>
      </c>
      <c r="D26" s="5" t="s">
        <v>985</v>
      </c>
      <c r="E26" s="16" t="s">
        <v>295</v>
      </c>
      <c r="F26" s="5" t="s">
        <v>296</v>
      </c>
      <c r="G26" s="5"/>
      <c r="H26" s="5" t="s">
        <v>297</v>
      </c>
      <c r="I26" s="5" t="s">
        <v>298</v>
      </c>
      <c r="J26" s="18"/>
      <c r="K26" s="18"/>
      <c r="L26" s="5" t="str">
        <f aca="false">IF(J26&lt;&gt;"",J26,IF($J$21="Freigeben","Freigeben",""))</f>
        <v/>
      </c>
    </row>
    <row r="27" customFormat="false" ht="111" hidden="false" customHeight="true" outlineLevel="0" collapsed="false">
      <c r="A27" s="19" t="s">
        <v>274</v>
      </c>
      <c r="B27" s="19" t="s">
        <v>986</v>
      </c>
      <c r="C27" s="20"/>
      <c r="D27" s="20" t="s">
        <v>987</v>
      </c>
      <c r="E27" s="20"/>
      <c r="F27" s="20"/>
      <c r="G27" s="20"/>
      <c r="H27" s="20" t="s">
        <v>988</v>
      </c>
      <c r="I27" s="20" t="s">
        <v>989</v>
      </c>
      <c r="J27" s="18"/>
      <c r="K27" s="20"/>
      <c r="L27" s="20"/>
    </row>
    <row r="28" customFormat="false" ht="30" hidden="false" customHeight="true" outlineLevel="0" collapsed="false">
      <c r="A28" s="5" t="s">
        <v>279</v>
      </c>
      <c r="B28" s="5" t="s">
        <v>990</v>
      </c>
      <c r="C28" s="5" t="n">
        <v>100</v>
      </c>
      <c r="D28" s="5" t="s">
        <v>991</v>
      </c>
      <c r="E28" s="21" t="s">
        <v>128</v>
      </c>
      <c r="F28" s="5" t="s">
        <v>992</v>
      </c>
      <c r="G28" s="5" t="s">
        <v>993</v>
      </c>
      <c r="H28" s="5"/>
      <c r="I28" s="5" t="s">
        <v>284</v>
      </c>
      <c r="J28" s="18"/>
      <c r="K28" s="18"/>
      <c r="L28" s="5" t="str">
        <f aca="false">IF(J28&lt;&gt;"",J28,IF($J$27="Freigeben","Freigeben",""))</f>
        <v/>
      </c>
    </row>
    <row r="29" customFormat="false" ht="43.5" hidden="false" customHeight="true" outlineLevel="0" collapsed="false">
      <c r="A29" s="5" t="s">
        <v>279</v>
      </c>
      <c r="B29" s="5" t="s">
        <v>994</v>
      </c>
      <c r="C29" s="5" t="n">
        <v>100</v>
      </c>
      <c r="D29" s="5" t="s">
        <v>995</v>
      </c>
      <c r="E29" s="21" t="s">
        <v>128</v>
      </c>
      <c r="F29" s="5" t="s">
        <v>883</v>
      </c>
      <c r="G29" s="5" t="s">
        <v>996</v>
      </c>
      <c r="H29" s="5"/>
      <c r="I29" s="5" t="s">
        <v>284</v>
      </c>
      <c r="J29" s="18"/>
      <c r="K29" s="18"/>
      <c r="L29" s="5" t="str">
        <f aca="false">IF(J29&lt;&gt;"",J29,IF($J$27="Freigeben","Freigeben",""))</f>
        <v/>
      </c>
    </row>
    <row r="30" customFormat="false" ht="30" hidden="false" customHeight="true" outlineLevel="0" collapsed="false">
      <c r="A30" s="5" t="s">
        <v>279</v>
      </c>
      <c r="B30" s="5" t="s">
        <v>997</v>
      </c>
      <c r="C30" s="5" t="n">
        <v>100</v>
      </c>
      <c r="D30" s="5" t="s">
        <v>998</v>
      </c>
      <c r="E30" s="22" t="s">
        <v>194</v>
      </c>
      <c r="F30" s="5" t="s">
        <v>999</v>
      </c>
      <c r="G30" s="5" t="s">
        <v>1000</v>
      </c>
      <c r="H30" s="5"/>
      <c r="I30" s="5" t="s">
        <v>284</v>
      </c>
      <c r="J30" s="18"/>
      <c r="K30" s="18"/>
      <c r="L30" s="5" t="str">
        <f aca="false">IF(J30&lt;&gt;"",J30,IF($J$27="Freigeben","Freigeben",""))</f>
        <v/>
      </c>
    </row>
    <row r="31" customFormat="false" ht="43.5" hidden="false" customHeight="true" outlineLevel="0" collapsed="false">
      <c r="A31" s="5" t="s">
        <v>279</v>
      </c>
      <c r="B31" s="5" t="s">
        <v>1001</v>
      </c>
      <c r="C31" s="5" t="n">
        <v>100</v>
      </c>
      <c r="D31" s="5" t="s">
        <v>1002</v>
      </c>
      <c r="E31" s="22" t="s">
        <v>194</v>
      </c>
      <c r="F31" s="5" t="s">
        <v>1003</v>
      </c>
      <c r="G31" s="5" t="s">
        <v>1004</v>
      </c>
      <c r="H31" s="5"/>
      <c r="I31" s="5" t="s">
        <v>284</v>
      </c>
      <c r="J31" s="18"/>
      <c r="K31" s="18"/>
      <c r="L31" s="5" t="str">
        <f aca="false">IF(J31&lt;&gt;"",J31,IF($J$27="Freigeben","Freigeben",""))</f>
        <v/>
      </c>
    </row>
    <row r="32" customFormat="false" ht="30" hidden="false" customHeight="true" outlineLevel="0" collapsed="false">
      <c r="A32" s="24" t="s">
        <v>279</v>
      </c>
      <c r="B32" s="24" t="s">
        <v>1005</v>
      </c>
      <c r="C32" s="24" t="n">
        <v>100</v>
      </c>
      <c r="D32" s="24" t="s">
        <v>1006</v>
      </c>
      <c r="E32" s="24" t="s">
        <v>215</v>
      </c>
      <c r="F32" s="24" t="s">
        <v>1007</v>
      </c>
      <c r="G32" s="24" t="s">
        <v>1008</v>
      </c>
      <c r="H32" s="24" t="s">
        <v>1009</v>
      </c>
      <c r="I32" s="24" t="s">
        <v>427</v>
      </c>
      <c r="J32" s="24"/>
      <c r="K32" s="24"/>
      <c r="L32" s="24"/>
    </row>
    <row r="33" customFormat="false" ht="43.5" hidden="false" customHeight="true" outlineLevel="0" collapsed="false">
      <c r="A33" s="5" t="s">
        <v>279</v>
      </c>
      <c r="B33" s="5" t="s">
        <v>1010</v>
      </c>
      <c r="C33" s="5" t="n">
        <v>1</v>
      </c>
      <c r="D33" s="5" t="s">
        <v>1011</v>
      </c>
      <c r="E33" s="16" t="s">
        <v>295</v>
      </c>
      <c r="F33" s="5" t="s">
        <v>296</v>
      </c>
      <c r="G33" s="5"/>
      <c r="H33" s="5" t="s">
        <v>297</v>
      </c>
      <c r="I33" s="5" t="s">
        <v>298</v>
      </c>
      <c r="J33" s="18"/>
      <c r="K33" s="18"/>
      <c r="L33" s="5" t="str">
        <f aca="false">IF(J33&lt;&gt;"",J33,IF($J$27="Freigeben","Freigeben",""))</f>
        <v/>
      </c>
    </row>
    <row r="34" customFormat="false" ht="97.5" hidden="false" customHeight="true" outlineLevel="0" collapsed="false">
      <c r="A34" s="19" t="s">
        <v>274</v>
      </c>
      <c r="B34" s="19" t="s">
        <v>1012</v>
      </c>
      <c r="C34" s="20"/>
      <c r="D34" s="20" t="s">
        <v>1013</v>
      </c>
      <c r="E34" s="20"/>
      <c r="F34" s="20"/>
      <c r="G34" s="20"/>
      <c r="H34" s="20" t="s">
        <v>1014</v>
      </c>
      <c r="I34" s="20" t="s">
        <v>278</v>
      </c>
      <c r="J34" s="18"/>
      <c r="K34" s="20"/>
      <c r="L34" s="20"/>
    </row>
    <row r="35" customFormat="false" ht="30" hidden="false" customHeight="true" outlineLevel="0" collapsed="false">
      <c r="A35" s="5" t="s">
        <v>279</v>
      </c>
      <c r="B35" s="5" t="s">
        <v>1015</v>
      </c>
      <c r="C35" s="5" t="n">
        <v>100</v>
      </c>
      <c r="D35" s="5" t="s">
        <v>1016</v>
      </c>
      <c r="E35" s="21" t="s">
        <v>128</v>
      </c>
      <c r="F35" s="5" t="s">
        <v>1017</v>
      </c>
      <c r="G35" s="5" t="s">
        <v>1018</v>
      </c>
      <c r="H35" s="5"/>
      <c r="I35" s="5" t="s">
        <v>284</v>
      </c>
      <c r="J35" s="18"/>
      <c r="K35" s="18"/>
      <c r="L35" s="5" t="str">
        <f aca="false">IF(J35&lt;&gt;"",J35,IF($J$34="Freigeben","Freigeben",""))</f>
        <v/>
      </c>
    </row>
    <row r="36" customFormat="false" ht="30" hidden="false" customHeight="true" outlineLevel="0" collapsed="false">
      <c r="A36" s="5" t="s">
        <v>279</v>
      </c>
      <c r="B36" s="5" t="s">
        <v>1019</v>
      </c>
      <c r="C36" s="5" t="n">
        <v>100</v>
      </c>
      <c r="D36" s="5" t="s">
        <v>1020</v>
      </c>
      <c r="E36" s="22" t="s">
        <v>194</v>
      </c>
      <c r="F36" s="5" t="s">
        <v>1021</v>
      </c>
      <c r="G36" s="5" t="s">
        <v>1022</v>
      </c>
      <c r="H36" s="5"/>
      <c r="I36" s="5" t="s">
        <v>284</v>
      </c>
      <c r="J36" s="18"/>
      <c r="K36" s="18"/>
      <c r="L36" s="5" t="str">
        <f aca="false">IF(J36&lt;&gt;"",J36,IF($J$34="Freigeben","Freigeben",""))</f>
        <v/>
      </c>
    </row>
    <row r="37" customFormat="false" ht="30" hidden="false" customHeight="true" outlineLevel="0" collapsed="false">
      <c r="A37" s="5" t="s">
        <v>279</v>
      </c>
      <c r="B37" s="5" t="s">
        <v>1023</v>
      </c>
      <c r="C37" s="5" t="n">
        <v>100</v>
      </c>
      <c r="D37" s="5" t="s">
        <v>1024</v>
      </c>
      <c r="E37" s="22" t="s">
        <v>194</v>
      </c>
      <c r="F37" s="5" t="s">
        <v>1025</v>
      </c>
      <c r="G37" s="5" t="s">
        <v>1026</v>
      </c>
      <c r="H37" s="5"/>
      <c r="I37" s="5" t="s">
        <v>284</v>
      </c>
      <c r="J37" s="18"/>
      <c r="K37" s="18"/>
      <c r="L37" s="5" t="str">
        <f aca="false">IF(J37&lt;&gt;"",J37,IF($J$34="Freigeben","Freigeben",""))</f>
        <v/>
      </c>
    </row>
    <row r="38" customFormat="false" ht="43.5" hidden="false" customHeight="true" outlineLevel="0" collapsed="false">
      <c r="A38" s="5" t="s">
        <v>279</v>
      </c>
      <c r="B38" s="5" t="s">
        <v>1027</v>
      </c>
      <c r="C38" s="5" t="n">
        <v>1</v>
      </c>
      <c r="D38" s="5" t="s">
        <v>1028</v>
      </c>
      <c r="E38" s="16" t="s">
        <v>295</v>
      </c>
      <c r="F38" s="5" t="s">
        <v>296</v>
      </c>
      <c r="G38" s="5"/>
      <c r="H38" s="5" t="s">
        <v>297</v>
      </c>
      <c r="I38" s="5" t="s">
        <v>298</v>
      </c>
      <c r="J38" s="18"/>
      <c r="K38" s="18"/>
      <c r="L38" s="5" t="str">
        <f aca="false">IF(J38&lt;&gt;"",J38,IF($J$34="Freigeben","Freigeben",""))</f>
        <v/>
      </c>
    </row>
    <row r="39" customFormat="false" ht="111" hidden="false" customHeight="true" outlineLevel="0" collapsed="false">
      <c r="A39" s="19" t="s">
        <v>274</v>
      </c>
      <c r="B39" s="19" t="s">
        <v>1029</v>
      </c>
      <c r="C39" s="20"/>
      <c r="D39" s="20" t="s">
        <v>1030</v>
      </c>
      <c r="E39" s="20"/>
      <c r="F39" s="20"/>
      <c r="G39" s="20"/>
      <c r="H39" s="20" t="s">
        <v>1031</v>
      </c>
      <c r="I39" s="20" t="s">
        <v>460</v>
      </c>
      <c r="J39" s="18"/>
      <c r="K39" s="20"/>
      <c r="L39" s="20"/>
    </row>
    <row r="40" customFormat="false" ht="30" hidden="false" customHeight="true" outlineLevel="0" collapsed="false">
      <c r="A40" s="5" t="s">
        <v>279</v>
      </c>
      <c r="B40" s="5" t="s">
        <v>1032</v>
      </c>
      <c r="C40" s="5" t="n">
        <v>100</v>
      </c>
      <c r="D40" s="5" t="s">
        <v>1033</v>
      </c>
      <c r="E40" s="21" t="s">
        <v>128</v>
      </c>
      <c r="F40" s="5" t="s">
        <v>1034</v>
      </c>
      <c r="G40" s="5" t="s">
        <v>1035</v>
      </c>
      <c r="H40" s="5"/>
      <c r="I40" s="5" t="s">
        <v>284</v>
      </c>
      <c r="J40" s="18"/>
      <c r="K40" s="18"/>
      <c r="L40" s="5" t="str">
        <f aca="false">IF(J40&lt;&gt;"",J40,IF($J$39="Freigeben","Freigeben",""))</f>
        <v/>
      </c>
    </row>
    <row r="41" customFormat="false" ht="70.5" hidden="false" customHeight="true" outlineLevel="0" collapsed="false">
      <c r="A41" s="5" t="s">
        <v>279</v>
      </c>
      <c r="B41" s="5" t="s">
        <v>1036</v>
      </c>
      <c r="C41" s="5" t="n">
        <v>100</v>
      </c>
      <c r="D41" s="5" t="s">
        <v>1037</v>
      </c>
      <c r="E41" s="22" t="s">
        <v>194</v>
      </c>
      <c r="F41" s="5" t="s">
        <v>1038</v>
      </c>
      <c r="G41" s="5" t="s">
        <v>1039</v>
      </c>
      <c r="H41" s="5" t="s">
        <v>1040</v>
      </c>
      <c r="I41" s="5" t="s">
        <v>284</v>
      </c>
      <c r="J41" s="18"/>
      <c r="K41" s="18"/>
      <c r="L41" s="5" t="str">
        <f aca="false">IF(J41&lt;&gt;"",J41,IF($J$39="Freigeben","Freigeben",""))</f>
        <v/>
      </c>
    </row>
    <row r="42" customFormat="false" ht="57" hidden="false" customHeight="true" outlineLevel="0" collapsed="false">
      <c r="A42" s="5" t="s">
        <v>279</v>
      </c>
      <c r="B42" s="5" t="s">
        <v>1041</v>
      </c>
      <c r="C42" s="5" t="n">
        <v>100</v>
      </c>
      <c r="D42" s="5" t="s">
        <v>1042</v>
      </c>
      <c r="E42" s="22" t="s">
        <v>194</v>
      </c>
      <c r="F42" s="5" t="s">
        <v>1043</v>
      </c>
      <c r="G42" s="5" t="s">
        <v>1044</v>
      </c>
      <c r="H42" s="5" t="s">
        <v>1045</v>
      </c>
      <c r="I42" s="5" t="s">
        <v>284</v>
      </c>
      <c r="J42" s="18"/>
      <c r="K42" s="18"/>
      <c r="L42" s="5" t="str">
        <f aca="false">IF(J42&lt;&gt;"",J42,IF($J$39="Freigeben","Freigeben",""))</f>
        <v/>
      </c>
    </row>
    <row r="43" customFormat="false" ht="30" hidden="false" customHeight="true" outlineLevel="0" collapsed="false">
      <c r="A43" s="5" t="s">
        <v>279</v>
      </c>
      <c r="B43" s="5" t="s">
        <v>1046</v>
      </c>
      <c r="C43" s="5" t="n">
        <v>100</v>
      </c>
      <c r="D43" s="5" t="s">
        <v>1047</v>
      </c>
      <c r="E43" s="22" t="s">
        <v>194</v>
      </c>
      <c r="F43" s="5" t="s">
        <v>1048</v>
      </c>
      <c r="G43" s="5" t="s">
        <v>1049</v>
      </c>
      <c r="H43" s="5"/>
      <c r="I43" s="5" t="s">
        <v>284</v>
      </c>
      <c r="J43" s="18"/>
      <c r="K43" s="18"/>
      <c r="L43" s="5" t="str">
        <f aca="false">IF(J43&lt;&gt;"",J43,IF($J$39="Freigeben","Freigeben",""))</f>
        <v/>
      </c>
    </row>
    <row r="44" customFormat="false" ht="43.5" hidden="false" customHeight="true" outlineLevel="0" collapsed="false">
      <c r="A44" s="5" t="s">
        <v>279</v>
      </c>
      <c r="B44" s="5" t="s">
        <v>1050</v>
      </c>
      <c r="C44" s="5" t="n">
        <v>1</v>
      </c>
      <c r="D44" s="5" t="s">
        <v>1051</v>
      </c>
      <c r="E44" s="16" t="s">
        <v>295</v>
      </c>
      <c r="F44" s="5" t="s">
        <v>296</v>
      </c>
      <c r="G44" s="5"/>
      <c r="H44" s="5" t="s">
        <v>297</v>
      </c>
      <c r="I44" s="5" t="s">
        <v>298</v>
      </c>
      <c r="J44" s="18"/>
      <c r="K44" s="18"/>
      <c r="L44" s="5" t="str">
        <f aca="false">IF(J44&lt;&gt;"",J44,IF($J$39="Freigeben","Freigeben",""))</f>
        <v/>
      </c>
    </row>
    <row r="45" customFormat="false" ht="97.5" hidden="false" customHeight="true" outlineLevel="0" collapsed="false">
      <c r="A45" s="19" t="s">
        <v>274</v>
      </c>
      <c r="B45" s="19" t="s">
        <v>1052</v>
      </c>
      <c r="C45" s="20"/>
      <c r="D45" s="20" t="s">
        <v>1053</v>
      </c>
      <c r="E45" s="20"/>
      <c r="F45" s="20"/>
      <c r="G45" s="20"/>
      <c r="H45" s="20" t="s">
        <v>1054</v>
      </c>
      <c r="I45" s="20" t="s">
        <v>628</v>
      </c>
      <c r="J45" s="18"/>
      <c r="K45" s="20"/>
      <c r="L45" s="20"/>
    </row>
    <row r="46" customFormat="false" ht="30" hidden="false" customHeight="true" outlineLevel="0" collapsed="false">
      <c r="A46" s="5" t="s">
        <v>279</v>
      </c>
      <c r="B46" s="5" t="s">
        <v>1055</v>
      </c>
      <c r="C46" s="5" t="n">
        <v>100</v>
      </c>
      <c r="D46" s="5" t="s">
        <v>1056</v>
      </c>
      <c r="E46" s="22" t="s">
        <v>194</v>
      </c>
      <c r="F46" s="5" t="s">
        <v>1057</v>
      </c>
      <c r="G46" s="5" t="s">
        <v>1058</v>
      </c>
      <c r="H46" s="5"/>
      <c r="I46" s="5" t="s">
        <v>284</v>
      </c>
      <c r="J46" s="18"/>
      <c r="K46" s="18"/>
      <c r="L46" s="5" t="str">
        <f aca="false">IF(J46&lt;&gt;"",J46,IF($J$45="Freigeben","Freigeben",""))</f>
        <v/>
      </c>
    </row>
    <row r="47" customFormat="false" ht="43.5" hidden="false" customHeight="true" outlineLevel="0" collapsed="false">
      <c r="A47" s="5" t="s">
        <v>279</v>
      </c>
      <c r="B47" s="5" t="s">
        <v>1059</v>
      </c>
      <c r="C47" s="5" t="n">
        <v>1</v>
      </c>
      <c r="D47" s="5" t="s">
        <v>1060</v>
      </c>
      <c r="E47" s="16" t="s">
        <v>295</v>
      </c>
      <c r="F47" s="5" t="s">
        <v>296</v>
      </c>
      <c r="G47" s="5"/>
      <c r="H47" s="5" t="s">
        <v>297</v>
      </c>
      <c r="I47" s="5" t="s">
        <v>298</v>
      </c>
      <c r="J47" s="18"/>
      <c r="K47" s="18"/>
      <c r="L47" s="5" t="str">
        <f aca="false">IF(J47&lt;&gt;"",J47,IF($J$45="Freigeben","Freigeben",""))</f>
        <v/>
      </c>
    </row>
    <row r="48" customFormat="false" ht="138" hidden="false" customHeight="true" outlineLevel="0" collapsed="false">
      <c r="A48" s="19" t="s">
        <v>274</v>
      </c>
      <c r="B48" s="19" t="s">
        <v>108</v>
      </c>
      <c r="C48" s="20"/>
      <c r="D48" s="20" t="s">
        <v>1061</v>
      </c>
      <c r="E48" s="20"/>
      <c r="F48" s="20"/>
      <c r="G48" s="20"/>
      <c r="H48" s="20" t="s">
        <v>1062</v>
      </c>
      <c r="I48" s="20" t="s">
        <v>278</v>
      </c>
      <c r="J48" s="18"/>
      <c r="K48" s="20"/>
      <c r="L48" s="20"/>
    </row>
    <row r="49" customFormat="false" ht="30" hidden="false" customHeight="true" outlineLevel="0" collapsed="false">
      <c r="A49" s="5" t="s">
        <v>279</v>
      </c>
      <c r="B49" s="5" t="s">
        <v>1063</v>
      </c>
      <c r="C49" s="5" t="n">
        <v>100</v>
      </c>
      <c r="D49" s="5" t="s">
        <v>1064</v>
      </c>
      <c r="E49" s="21" t="s">
        <v>128</v>
      </c>
      <c r="F49" s="5" t="s">
        <v>1065</v>
      </c>
      <c r="G49" s="5" t="s">
        <v>1066</v>
      </c>
      <c r="H49" s="5"/>
      <c r="I49" s="5" t="s">
        <v>284</v>
      </c>
      <c r="J49" s="18"/>
      <c r="K49" s="18"/>
      <c r="L49" s="5" t="str">
        <f aca="false">IF(J49&lt;&gt;"",J49,IF($J$48="Freigeben","Freigeben",""))</f>
        <v/>
      </c>
    </row>
    <row r="50" customFormat="false" ht="57" hidden="false" customHeight="true" outlineLevel="0" collapsed="false">
      <c r="A50" s="5" t="s">
        <v>279</v>
      </c>
      <c r="B50" s="5" t="s">
        <v>1067</v>
      </c>
      <c r="C50" s="5" t="n">
        <v>100</v>
      </c>
      <c r="D50" s="5" t="s">
        <v>1068</v>
      </c>
      <c r="E50" s="22" t="s">
        <v>194</v>
      </c>
      <c r="F50" s="5" t="s">
        <v>1069</v>
      </c>
      <c r="G50" s="5" t="s">
        <v>1070</v>
      </c>
      <c r="H50" s="5" t="s">
        <v>1071</v>
      </c>
      <c r="I50" s="5" t="s">
        <v>284</v>
      </c>
      <c r="J50" s="18"/>
      <c r="K50" s="18"/>
      <c r="L50" s="5" t="str">
        <f aca="false">IF(J50&lt;&gt;"",J50,IF($J$48="Freigeben","Freigeben",""))</f>
        <v/>
      </c>
    </row>
    <row r="51" customFormat="false" ht="30" hidden="false" customHeight="true" outlineLevel="0" collapsed="false">
      <c r="A51" s="5" t="s">
        <v>279</v>
      </c>
      <c r="B51" s="5" t="s">
        <v>1072</v>
      </c>
      <c r="C51" s="5" t="n">
        <v>100</v>
      </c>
      <c r="D51" s="5" t="s">
        <v>1073</v>
      </c>
      <c r="E51" s="22" t="s">
        <v>194</v>
      </c>
      <c r="F51" s="5" t="s">
        <v>1074</v>
      </c>
      <c r="G51" s="5" t="s">
        <v>1075</v>
      </c>
      <c r="H51" s="5"/>
      <c r="I51" s="5" t="s">
        <v>284</v>
      </c>
      <c r="J51" s="18"/>
      <c r="K51" s="18"/>
      <c r="L51" s="5" t="str">
        <f aca="false">IF(J51&lt;&gt;"",J51,IF($J$48="Freigeben","Freigeben",""))</f>
        <v/>
      </c>
    </row>
    <row r="52" customFormat="false" ht="43.5" hidden="false" customHeight="true" outlineLevel="0" collapsed="false">
      <c r="A52" s="5" t="s">
        <v>279</v>
      </c>
      <c r="B52" s="5" t="s">
        <v>1076</v>
      </c>
      <c r="C52" s="5" t="n">
        <v>1</v>
      </c>
      <c r="D52" s="5" t="s">
        <v>1077</v>
      </c>
      <c r="E52" s="16" t="s">
        <v>295</v>
      </c>
      <c r="F52" s="5" t="s">
        <v>296</v>
      </c>
      <c r="G52" s="5"/>
      <c r="H52" s="5" t="s">
        <v>297</v>
      </c>
      <c r="I52" s="5" t="s">
        <v>298</v>
      </c>
      <c r="J52" s="18"/>
      <c r="K52" s="18"/>
      <c r="L52" s="5" t="str">
        <f aca="false">IF(J52&lt;&gt;"",J52,IF($J$48="Freigeben","Freigeben",""))</f>
        <v/>
      </c>
    </row>
    <row r="53" customFormat="false" ht="111" hidden="false" customHeight="true" outlineLevel="0" collapsed="false">
      <c r="A53" s="19" t="s">
        <v>274</v>
      </c>
      <c r="B53" s="19" t="s">
        <v>190</v>
      </c>
      <c r="C53" s="20"/>
      <c r="D53" s="20" t="s">
        <v>1078</v>
      </c>
      <c r="E53" s="20"/>
      <c r="F53" s="20"/>
      <c r="G53" s="20"/>
      <c r="H53" s="20" t="s">
        <v>1079</v>
      </c>
      <c r="I53" s="20" t="s">
        <v>278</v>
      </c>
      <c r="J53" s="18"/>
      <c r="K53" s="20"/>
      <c r="L53" s="20"/>
    </row>
    <row r="54" customFormat="false" ht="30" hidden="false" customHeight="true" outlineLevel="0" collapsed="false">
      <c r="A54" s="5" t="s">
        <v>279</v>
      </c>
      <c r="B54" s="5" t="s">
        <v>1080</v>
      </c>
      <c r="C54" s="5" t="n">
        <v>100</v>
      </c>
      <c r="D54" s="5" t="s">
        <v>1081</v>
      </c>
      <c r="E54" s="21" t="s">
        <v>128</v>
      </c>
      <c r="F54" s="5" t="s">
        <v>653</v>
      </c>
      <c r="G54" s="5" t="s">
        <v>1082</v>
      </c>
      <c r="H54" s="5"/>
      <c r="I54" s="5" t="s">
        <v>284</v>
      </c>
      <c r="J54" s="18"/>
      <c r="K54" s="18"/>
      <c r="L54" s="5" t="str">
        <f aca="false">IF(J54&lt;&gt;"",J54,IF($J$53="Freigeben","Freigeben",""))</f>
        <v/>
      </c>
    </row>
    <row r="55" customFormat="false" ht="30" hidden="false" customHeight="true" outlineLevel="0" collapsed="false">
      <c r="A55" s="5" t="s">
        <v>279</v>
      </c>
      <c r="B55" s="5" t="s">
        <v>1083</v>
      </c>
      <c r="C55" s="5" t="n">
        <v>100</v>
      </c>
      <c r="D55" s="5" t="s">
        <v>1084</v>
      </c>
      <c r="E55" s="22" t="s">
        <v>194</v>
      </c>
      <c r="F55" s="5" t="s">
        <v>1085</v>
      </c>
      <c r="G55" s="5" t="s">
        <v>1086</v>
      </c>
      <c r="H55" s="5"/>
      <c r="I55" s="5" t="s">
        <v>284</v>
      </c>
      <c r="J55" s="18"/>
      <c r="K55" s="18"/>
      <c r="L55" s="5" t="str">
        <f aca="false">IF(J55&lt;&gt;"",J55,IF($J$53="Freigeben","Freigeben",""))</f>
        <v/>
      </c>
    </row>
    <row r="56" customFormat="false" ht="57" hidden="false" customHeight="true" outlineLevel="0" collapsed="false">
      <c r="A56" s="5" t="s">
        <v>279</v>
      </c>
      <c r="B56" s="23" t="s">
        <v>1087</v>
      </c>
      <c r="C56" s="5" t="n">
        <v>100</v>
      </c>
      <c r="D56" s="5" t="s">
        <v>1088</v>
      </c>
      <c r="E56" s="22" t="s">
        <v>194</v>
      </c>
      <c r="F56" s="5" t="s">
        <v>1089</v>
      </c>
      <c r="G56" s="5" t="s">
        <v>1090</v>
      </c>
      <c r="H56" s="5" t="s">
        <v>1091</v>
      </c>
      <c r="I56" s="23" t="s">
        <v>307</v>
      </c>
      <c r="J56" s="18"/>
      <c r="K56" s="18"/>
      <c r="L56" s="5" t="str">
        <f aca="false">IF(J56&lt;&gt;"",J56,IF($J$53="Freigeben","Freigeben",""))</f>
        <v/>
      </c>
    </row>
    <row r="57" customFormat="false" ht="43.5" hidden="false" customHeight="true" outlineLevel="0" collapsed="false">
      <c r="A57" s="5" t="s">
        <v>279</v>
      </c>
      <c r="B57" s="5" t="s">
        <v>1092</v>
      </c>
      <c r="C57" s="5" t="n">
        <v>1</v>
      </c>
      <c r="D57" s="5" t="s">
        <v>1093</v>
      </c>
      <c r="E57" s="16" t="s">
        <v>295</v>
      </c>
      <c r="F57" s="5" t="s">
        <v>296</v>
      </c>
      <c r="G57" s="5"/>
      <c r="H57" s="5" t="s">
        <v>297</v>
      </c>
      <c r="I57" s="5" t="s">
        <v>298</v>
      </c>
      <c r="J57" s="18"/>
      <c r="K57" s="18"/>
      <c r="L57" s="5" t="str">
        <f aca="false">IF(J57&lt;&gt;"",J57,IF($J$53="Freigeben","Freigeben",""))</f>
        <v/>
      </c>
    </row>
    <row r="58" customFormat="false" ht="151.5" hidden="false" customHeight="true" outlineLevel="0" collapsed="false">
      <c r="A58" s="19" t="s">
        <v>274</v>
      </c>
      <c r="B58" s="19" t="s">
        <v>1094</v>
      </c>
      <c r="C58" s="20"/>
      <c r="D58" s="20" t="s">
        <v>1095</v>
      </c>
      <c r="E58" s="20"/>
      <c r="F58" s="20"/>
      <c r="G58" s="20"/>
      <c r="H58" s="20" t="s">
        <v>1096</v>
      </c>
      <c r="I58" s="20" t="s">
        <v>460</v>
      </c>
      <c r="J58" s="18"/>
      <c r="K58" s="20"/>
      <c r="L58" s="20"/>
    </row>
    <row r="59" customFormat="false" ht="111" hidden="false" customHeight="true" outlineLevel="0" collapsed="false">
      <c r="A59" s="5" t="s">
        <v>279</v>
      </c>
      <c r="B59" s="23" t="s">
        <v>1097</v>
      </c>
      <c r="C59" s="5" t="n">
        <v>300</v>
      </c>
      <c r="D59" s="5" t="s">
        <v>1098</v>
      </c>
      <c r="E59" s="21" t="s">
        <v>128</v>
      </c>
      <c r="F59" s="5" t="s">
        <v>1099</v>
      </c>
      <c r="G59" s="5" t="s">
        <v>1100</v>
      </c>
      <c r="H59" s="5" t="s">
        <v>1101</v>
      </c>
      <c r="I59" s="23" t="s">
        <v>335</v>
      </c>
      <c r="J59" s="18"/>
      <c r="K59" s="18"/>
      <c r="L59" s="5" t="str">
        <f aca="false">IF(J59&lt;&gt;"",J59,IF($J$58="Freigeben","Freigeben",""))</f>
        <v/>
      </c>
    </row>
    <row r="60" customFormat="false" ht="97.5" hidden="false" customHeight="true" outlineLevel="0" collapsed="false">
      <c r="A60" s="5" t="s">
        <v>279</v>
      </c>
      <c r="B60" s="23" t="s">
        <v>1102</v>
      </c>
      <c r="C60" s="5" t="n">
        <v>250</v>
      </c>
      <c r="D60" s="5" t="s">
        <v>1103</v>
      </c>
      <c r="E60" s="15" t="s">
        <v>215</v>
      </c>
      <c r="F60" s="5" t="s">
        <v>1104</v>
      </c>
      <c r="G60" s="5" t="s">
        <v>1105</v>
      </c>
      <c r="H60" s="5" t="s">
        <v>1106</v>
      </c>
      <c r="I60" s="23" t="s">
        <v>335</v>
      </c>
      <c r="J60" s="18"/>
      <c r="K60" s="18"/>
      <c r="L60" s="5" t="str">
        <f aca="false">IF(J60&lt;&gt;"",J60,IF($J$58="Freigeben","Freigeben",""))</f>
        <v/>
      </c>
    </row>
    <row r="61" customFormat="false" ht="84" hidden="false" customHeight="true" outlineLevel="0" collapsed="false">
      <c r="A61" s="5" t="s">
        <v>279</v>
      </c>
      <c r="B61" s="23" t="s">
        <v>1107</v>
      </c>
      <c r="C61" s="5" t="n">
        <v>245</v>
      </c>
      <c r="D61" s="5" t="s">
        <v>1108</v>
      </c>
      <c r="E61" s="22" t="s">
        <v>194</v>
      </c>
      <c r="F61" s="5" t="s">
        <v>596</v>
      </c>
      <c r="G61" s="5" t="s">
        <v>597</v>
      </c>
      <c r="H61" s="5" t="s">
        <v>1109</v>
      </c>
      <c r="I61" s="23" t="s">
        <v>335</v>
      </c>
      <c r="J61" s="18"/>
      <c r="K61" s="18"/>
      <c r="L61" s="5" t="str">
        <f aca="false">IF(J61&lt;&gt;"",J61,IF($J$58="Freigeben","Freigeben",""))</f>
        <v/>
      </c>
    </row>
    <row r="62" customFormat="false" ht="70.5" hidden="false" customHeight="true" outlineLevel="0" collapsed="false">
      <c r="A62" s="5" t="s">
        <v>279</v>
      </c>
      <c r="B62" s="23" t="s">
        <v>1110</v>
      </c>
      <c r="C62" s="5" t="n">
        <v>100</v>
      </c>
      <c r="D62" s="5" t="s">
        <v>1111</v>
      </c>
      <c r="E62" s="21" t="s">
        <v>128</v>
      </c>
      <c r="F62" s="5" t="s">
        <v>1112</v>
      </c>
      <c r="G62" s="5" t="s">
        <v>1113</v>
      </c>
      <c r="H62" s="5" t="s">
        <v>1114</v>
      </c>
      <c r="I62" s="23" t="s">
        <v>335</v>
      </c>
      <c r="J62" s="18"/>
      <c r="K62" s="18"/>
      <c r="L62" s="5" t="str">
        <f aca="false">IF(J62&lt;&gt;"",J62,IF($J$58="Freigeben","Freigeben",""))</f>
        <v/>
      </c>
    </row>
    <row r="63" customFormat="false" ht="43.5" hidden="false" customHeight="true" outlineLevel="0" collapsed="false">
      <c r="A63" s="5" t="s">
        <v>279</v>
      </c>
      <c r="B63" s="5" t="s">
        <v>1115</v>
      </c>
      <c r="C63" s="5" t="n">
        <v>1</v>
      </c>
      <c r="D63" s="5" t="s">
        <v>1116</v>
      </c>
      <c r="E63" s="16" t="s">
        <v>295</v>
      </c>
      <c r="F63" s="5" t="s">
        <v>296</v>
      </c>
      <c r="G63" s="5"/>
      <c r="H63" s="5" t="s">
        <v>297</v>
      </c>
      <c r="I63" s="5" t="s">
        <v>298</v>
      </c>
      <c r="J63" s="18"/>
      <c r="K63" s="18"/>
      <c r="L63" s="5" t="str">
        <f aca="false">IF(J63&lt;&gt;"",J63,IF($J$58="Freigeben","Freigeben",""))</f>
        <v/>
      </c>
    </row>
    <row r="64" customFormat="false" ht="138" hidden="false" customHeight="true" outlineLevel="0" collapsed="false">
      <c r="A64" s="19" t="s">
        <v>274</v>
      </c>
      <c r="B64" s="19" t="s">
        <v>1117</v>
      </c>
      <c r="C64" s="20"/>
      <c r="D64" s="20" t="s">
        <v>1118</v>
      </c>
      <c r="E64" s="20"/>
      <c r="F64" s="20"/>
      <c r="G64" s="20"/>
      <c r="H64" s="20" t="s">
        <v>1119</v>
      </c>
      <c r="I64" s="20" t="s">
        <v>628</v>
      </c>
      <c r="J64" s="18"/>
      <c r="K64" s="20"/>
      <c r="L64" s="20"/>
    </row>
    <row r="65" customFormat="false" ht="70.5" hidden="false" customHeight="true" outlineLevel="0" collapsed="false">
      <c r="A65" s="5" t="s">
        <v>279</v>
      </c>
      <c r="B65" s="23" t="s">
        <v>1120</v>
      </c>
      <c r="C65" s="5" t="n">
        <v>100</v>
      </c>
      <c r="D65" s="5" t="s">
        <v>1121</v>
      </c>
      <c r="E65" s="21" t="s">
        <v>128</v>
      </c>
      <c r="F65" s="5" t="s">
        <v>1122</v>
      </c>
      <c r="G65" s="5" t="s">
        <v>1123</v>
      </c>
      <c r="H65" s="5" t="s">
        <v>1124</v>
      </c>
      <c r="I65" s="23" t="s">
        <v>307</v>
      </c>
      <c r="J65" s="18"/>
      <c r="K65" s="18"/>
      <c r="L65" s="5" t="str">
        <f aca="false">IF(J65&lt;&gt;"",J65,IF($J$64="Freigeben","Freigeben",""))</f>
        <v/>
      </c>
    </row>
    <row r="66" customFormat="false" ht="43.5" hidden="false" customHeight="true" outlineLevel="0" collapsed="false">
      <c r="A66" s="5" t="s">
        <v>279</v>
      </c>
      <c r="B66" s="5" t="s">
        <v>1125</v>
      </c>
      <c r="C66" s="5" t="n">
        <v>1</v>
      </c>
      <c r="D66" s="5" t="s">
        <v>1126</v>
      </c>
      <c r="E66" s="16" t="s">
        <v>295</v>
      </c>
      <c r="F66" s="5" t="s">
        <v>296</v>
      </c>
      <c r="G66" s="5"/>
      <c r="H66" s="5" t="s">
        <v>297</v>
      </c>
      <c r="I66" s="5" t="s">
        <v>298</v>
      </c>
      <c r="J66" s="18"/>
      <c r="K66" s="18"/>
      <c r="L66" s="5" t="str">
        <f aca="false">IF(J66&lt;&gt;"",J66,IF($J$64="Freigeben","Freigeben",""))</f>
        <v/>
      </c>
    </row>
    <row r="67" customFormat="false" ht="138" hidden="false" customHeight="true" outlineLevel="0" collapsed="false">
      <c r="A67" s="19" t="s">
        <v>274</v>
      </c>
      <c r="B67" s="19" t="s">
        <v>1127</v>
      </c>
      <c r="C67" s="20"/>
      <c r="D67" s="20" t="s">
        <v>1128</v>
      </c>
      <c r="E67" s="20"/>
      <c r="F67" s="20"/>
      <c r="G67" s="20"/>
      <c r="H67" s="20" t="s">
        <v>1129</v>
      </c>
      <c r="I67" s="20" t="s">
        <v>366</v>
      </c>
      <c r="J67" s="18"/>
      <c r="K67" s="20"/>
      <c r="L67" s="20"/>
    </row>
    <row r="68" customFormat="false" ht="43.5" hidden="false" customHeight="true" outlineLevel="0" collapsed="false">
      <c r="A68" s="5" t="s">
        <v>279</v>
      </c>
      <c r="B68" s="5" t="s">
        <v>1130</v>
      </c>
      <c r="C68" s="5" t="n">
        <v>200</v>
      </c>
      <c r="D68" s="5" t="s">
        <v>1131</v>
      </c>
      <c r="E68" s="15" t="s">
        <v>215</v>
      </c>
      <c r="F68" s="5" t="s">
        <v>1132</v>
      </c>
      <c r="G68" s="5" t="s">
        <v>1133</v>
      </c>
      <c r="H68" s="5" t="s">
        <v>1134</v>
      </c>
      <c r="I68" s="5" t="s">
        <v>284</v>
      </c>
      <c r="J68" s="18"/>
      <c r="K68" s="18"/>
      <c r="L68" s="5" t="str">
        <f aca="false">IF(J68&lt;&gt;"",J68,IF($J$67="Freigeben","Freigeben",""))</f>
        <v/>
      </c>
    </row>
    <row r="69" customFormat="false" ht="57" hidden="false" customHeight="true" outlineLevel="0" collapsed="false">
      <c r="A69" s="5" t="s">
        <v>279</v>
      </c>
      <c r="B69" s="23" t="s">
        <v>1135</v>
      </c>
      <c r="C69" s="5" t="n">
        <v>100</v>
      </c>
      <c r="D69" s="5" t="s">
        <v>1136</v>
      </c>
      <c r="E69" s="21" t="s">
        <v>128</v>
      </c>
      <c r="F69" s="5" t="s">
        <v>1137</v>
      </c>
      <c r="G69" s="5" t="s">
        <v>1138</v>
      </c>
      <c r="H69" s="5" t="s">
        <v>1139</v>
      </c>
      <c r="I69" s="23" t="s">
        <v>307</v>
      </c>
      <c r="J69" s="18"/>
      <c r="K69" s="18"/>
      <c r="L69" s="5" t="str">
        <f aca="false">IF(J69&lt;&gt;"",J69,IF($J$67="Freigeben","Freigeben",""))</f>
        <v/>
      </c>
    </row>
    <row r="70" customFormat="false" ht="43.5" hidden="false" customHeight="true" outlineLevel="0" collapsed="false">
      <c r="A70" s="5" t="s">
        <v>279</v>
      </c>
      <c r="B70" s="5" t="s">
        <v>1140</v>
      </c>
      <c r="C70" s="5" t="n">
        <v>1</v>
      </c>
      <c r="D70" s="5" t="s">
        <v>1141</v>
      </c>
      <c r="E70" s="16" t="s">
        <v>295</v>
      </c>
      <c r="F70" s="5" t="s">
        <v>296</v>
      </c>
      <c r="G70" s="5"/>
      <c r="H70" s="5" t="s">
        <v>297</v>
      </c>
      <c r="I70" s="5" t="s">
        <v>298</v>
      </c>
      <c r="J70" s="18"/>
      <c r="K70" s="18"/>
      <c r="L70" s="5" t="str">
        <f aca="false">IF(J70&lt;&gt;"",J70,IF($J$67="Freigeben","Freigeben",""))</f>
        <v/>
      </c>
    </row>
  </sheetData>
  <sheetProtection sheet="true" formatColumns="false" formatRows="false" sort="false" autoFilter="false"/>
  <autoFilter ref="A1:L70"/>
  <conditionalFormatting sqref="K2:K70">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7 J11 J16 J21 J27 J34 J39 J45 J48 J53 J58 J64 J67"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6 J8:J10 J12:J15 J17:J20 J22:J26 J28:J31 J33 J35:J38 J40:J44 J46:J47 J49:J52 J54:J57 J59:J63 J65:J66 J68:J70"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111" hidden="false" customHeight="true" outlineLevel="0" collapsed="false">
      <c r="A2" s="19" t="s">
        <v>274</v>
      </c>
      <c r="B2" s="19" t="s">
        <v>1142</v>
      </c>
      <c r="C2" s="20"/>
      <c r="D2" s="20" t="s">
        <v>1143</v>
      </c>
      <c r="E2" s="20"/>
      <c r="F2" s="20"/>
      <c r="G2" s="20"/>
      <c r="H2" s="20" t="s">
        <v>1144</v>
      </c>
      <c r="I2" s="20" t="s">
        <v>322</v>
      </c>
      <c r="J2" s="18"/>
      <c r="K2" s="20"/>
      <c r="L2" s="20"/>
    </row>
    <row r="3" customFormat="false" ht="57" hidden="false" customHeight="true" outlineLevel="0" collapsed="false">
      <c r="A3" s="5" t="s">
        <v>279</v>
      </c>
      <c r="B3" s="23" t="s">
        <v>1145</v>
      </c>
      <c r="C3" s="5" t="n">
        <v>100</v>
      </c>
      <c r="D3" s="5" t="s">
        <v>1146</v>
      </c>
      <c r="E3" s="21" t="s">
        <v>128</v>
      </c>
      <c r="F3" s="5" t="s">
        <v>1147</v>
      </c>
      <c r="G3" s="5" t="s">
        <v>1148</v>
      </c>
      <c r="H3" s="5" t="s">
        <v>1149</v>
      </c>
      <c r="I3" s="23" t="s">
        <v>307</v>
      </c>
      <c r="J3" s="18"/>
      <c r="K3" s="18"/>
      <c r="L3" s="5" t="str">
        <f aca="false">IF(J3&lt;&gt;"",J3,IF($J$2="Freigeben","Freigeben",""))</f>
        <v/>
      </c>
    </row>
    <row r="4" customFormat="false" ht="57" hidden="false" customHeight="true" outlineLevel="0" collapsed="false">
      <c r="A4" s="5" t="s">
        <v>279</v>
      </c>
      <c r="B4" s="5" t="s">
        <v>1150</v>
      </c>
      <c r="C4" s="5" t="n">
        <v>100</v>
      </c>
      <c r="D4" s="5" t="s">
        <v>1151</v>
      </c>
      <c r="E4" s="21" t="s">
        <v>128</v>
      </c>
      <c r="F4" s="5" t="s">
        <v>1147</v>
      </c>
      <c r="G4" s="5" t="s">
        <v>1148</v>
      </c>
      <c r="H4" s="5"/>
      <c r="I4" s="5" t="s">
        <v>284</v>
      </c>
      <c r="J4" s="18"/>
      <c r="K4" s="18"/>
      <c r="L4" s="5" t="str">
        <f aca="false">IF(J4&lt;&gt;"",J4,IF($J$2="Freigeben","Freigeben",""))</f>
        <v/>
      </c>
    </row>
    <row r="5" customFormat="false" ht="70.5" hidden="false" customHeight="true" outlineLevel="0" collapsed="false">
      <c r="A5" s="5" t="s">
        <v>279</v>
      </c>
      <c r="B5" s="23" t="s">
        <v>1152</v>
      </c>
      <c r="C5" s="5" t="n">
        <v>100</v>
      </c>
      <c r="D5" s="5" t="s">
        <v>1153</v>
      </c>
      <c r="E5" s="21" t="s">
        <v>128</v>
      </c>
      <c r="F5" s="5" t="s">
        <v>1147</v>
      </c>
      <c r="G5" s="5" t="s">
        <v>1148</v>
      </c>
      <c r="H5" s="5" t="s">
        <v>1154</v>
      </c>
      <c r="I5" s="23" t="s">
        <v>307</v>
      </c>
      <c r="J5" s="18"/>
      <c r="K5" s="18"/>
      <c r="L5" s="5" t="str">
        <f aca="false">IF(J5&lt;&gt;"",J5,IF($J$2="Freigeben","Freigeben",""))</f>
        <v/>
      </c>
    </row>
    <row r="6" customFormat="false" ht="97.5" hidden="false" customHeight="true" outlineLevel="0" collapsed="false">
      <c r="A6" s="5" t="s">
        <v>279</v>
      </c>
      <c r="B6" s="5" t="s">
        <v>1155</v>
      </c>
      <c r="C6" s="5" t="n">
        <v>100</v>
      </c>
      <c r="D6" s="5" t="s">
        <v>1156</v>
      </c>
      <c r="E6" s="22" t="s">
        <v>194</v>
      </c>
      <c r="F6" s="5" t="s">
        <v>1147</v>
      </c>
      <c r="G6" s="5" t="s">
        <v>1157</v>
      </c>
      <c r="H6" s="5" t="s">
        <v>1158</v>
      </c>
      <c r="I6" s="5" t="s">
        <v>284</v>
      </c>
      <c r="J6" s="18"/>
      <c r="K6" s="18"/>
      <c r="L6" s="5" t="str">
        <f aca="false">IF(J6&lt;&gt;"",J6,IF($J$2="Freigeben","Freigeben",""))</f>
        <v/>
      </c>
    </row>
    <row r="7" customFormat="false" ht="30" hidden="false" customHeight="true" outlineLevel="0" collapsed="false">
      <c r="A7" s="5" t="s">
        <v>279</v>
      </c>
      <c r="B7" s="5" t="s">
        <v>1159</v>
      </c>
      <c r="C7" s="5" t="n">
        <v>100</v>
      </c>
      <c r="D7" s="5" t="s">
        <v>1160</v>
      </c>
      <c r="E7" s="22" t="s">
        <v>194</v>
      </c>
      <c r="F7" s="5" t="s">
        <v>1161</v>
      </c>
      <c r="G7" s="5" t="s">
        <v>1162</v>
      </c>
      <c r="H7" s="5"/>
      <c r="I7" s="5" t="s">
        <v>284</v>
      </c>
      <c r="J7" s="18"/>
      <c r="K7" s="18"/>
      <c r="L7" s="5" t="str">
        <f aca="false">IF(J7&lt;&gt;"",J7,IF($J$2="Freigeben","Freigeben",""))</f>
        <v/>
      </c>
    </row>
    <row r="8" customFormat="false" ht="43.5" hidden="false" customHeight="true" outlineLevel="0" collapsed="false">
      <c r="A8" s="5" t="s">
        <v>279</v>
      </c>
      <c r="B8" s="5" t="s">
        <v>1163</v>
      </c>
      <c r="C8" s="5" t="n">
        <v>1</v>
      </c>
      <c r="D8" s="5" t="s">
        <v>1164</v>
      </c>
      <c r="E8" s="16" t="s">
        <v>295</v>
      </c>
      <c r="F8" s="5" t="s">
        <v>296</v>
      </c>
      <c r="G8" s="5"/>
      <c r="H8" s="5" t="s">
        <v>297</v>
      </c>
      <c r="I8" s="5" t="s">
        <v>298</v>
      </c>
      <c r="J8" s="18"/>
      <c r="K8" s="18"/>
      <c r="L8" s="5" t="str">
        <f aca="false">IF(J8&lt;&gt;"",J8,IF($J$2="Freigeben","Freigeben",""))</f>
        <v/>
      </c>
    </row>
    <row r="9" customFormat="false" ht="97.5" hidden="false" customHeight="true" outlineLevel="0" collapsed="false">
      <c r="A9" s="19" t="s">
        <v>274</v>
      </c>
      <c r="B9" s="19" t="s">
        <v>1165</v>
      </c>
      <c r="C9" s="20"/>
      <c r="D9" s="20" t="s">
        <v>1166</v>
      </c>
      <c r="E9" s="20"/>
      <c r="F9" s="20"/>
      <c r="G9" s="20"/>
      <c r="H9" s="20" t="s">
        <v>1167</v>
      </c>
      <c r="I9" s="20" t="s">
        <v>366</v>
      </c>
      <c r="J9" s="18"/>
      <c r="K9" s="20"/>
      <c r="L9" s="20"/>
    </row>
    <row r="10" customFormat="false" ht="57" hidden="false" customHeight="true" outlineLevel="0" collapsed="false">
      <c r="A10" s="5" t="s">
        <v>279</v>
      </c>
      <c r="B10" s="23" t="s">
        <v>1168</v>
      </c>
      <c r="C10" s="5" t="n">
        <v>100</v>
      </c>
      <c r="D10" s="5" t="s">
        <v>1169</v>
      </c>
      <c r="E10" s="21" t="s">
        <v>128</v>
      </c>
      <c r="F10" s="5" t="s">
        <v>1170</v>
      </c>
      <c r="G10" s="5" t="s">
        <v>508</v>
      </c>
      <c r="H10" s="5" t="s">
        <v>1171</v>
      </c>
      <c r="I10" s="23" t="s">
        <v>335</v>
      </c>
      <c r="J10" s="18"/>
      <c r="K10" s="18"/>
      <c r="L10" s="5" t="str">
        <f aca="false">IF(J10&lt;&gt;"",J10,IF($J$9="Freigeben","Freigeben",""))</f>
        <v/>
      </c>
    </row>
    <row r="11" customFormat="false" ht="43.5" hidden="false" customHeight="true" outlineLevel="0" collapsed="false">
      <c r="A11" s="5" t="s">
        <v>279</v>
      </c>
      <c r="B11" s="23" t="s">
        <v>1172</v>
      </c>
      <c r="C11" s="5" t="n">
        <v>100</v>
      </c>
      <c r="D11" s="5" t="s">
        <v>1173</v>
      </c>
      <c r="E11" s="22" t="s">
        <v>194</v>
      </c>
      <c r="F11" s="5" t="s">
        <v>1174</v>
      </c>
      <c r="G11" s="5" t="s">
        <v>508</v>
      </c>
      <c r="H11" s="5" t="s">
        <v>1171</v>
      </c>
      <c r="I11" s="23" t="s">
        <v>335</v>
      </c>
      <c r="J11" s="18"/>
      <c r="K11" s="18"/>
      <c r="L11" s="5" t="str">
        <f aca="false">IF(J11&lt;&gt;"",J11,IF($J$9="Freigeben","Freigeben",""))</f>
        <v/>
      </c>
    </row>
    <row r="12" customFormat="false" ht="43.5" hidden="false" customHeight="true" outlineLevel="0" collapsed="false">
      <c r="A12" s="5" t="s">
        <v>279</v>
      </c>
      <c r="B12" s="5" t="s">
        <v>1175</v>
      </c>
      <c r="C12" s="5" t="n">
        <v>1</v>
      </c>
      <c r="D12" s="5" t="s">
        <v>1176</v>
      </c>
      <c r="E12" s="16" t="s">
        <v>295</v>
      </c>
      <c r="F12" s="5" t="s">
        <v>296</v>
      </c>
      <c r="G12" s="5"/>
      <c r="H12" s="5" t="s">
        <v>297</v>
      </c>
      <c r="I12" s="5" t="s">
        <v>298</v>
      </c>
      <c r="J12" s="18"/>
      <c r="K12" s="18"/>
      <c r="L12" s="5" t="str">
        <f aca="false">IF(J12&lt;&gt;"",J12,IF($J$9="Freigeben","Freigeben",""))</f>
        <v/>
      </c>
    </row>
    <row r="13" customFormat="false" ht="124.5" hidden="false" customHeight="true" outlineLevel="0" collapsed="false">
      <c r="A13" s="19" t="s">
        <v>274</v>
      </c>
      <c r="B13" s="19" t="s">
        <v>1177</v>
      </c>
      <c r="C13" s="20"/>
      <c r="D13" s="20" t="s">
        <v>1178</v>
      </c>
      <c r="E13" s="20"/>
      <c r="F13" s="20"/>
      <c r="G13" s="20"/>
      <c r="H13" s="20" t="s">
        <v>1179</v>
      </c>
      <c r="I13" s="20" t="s">
        <v>476</v>
      </c>
      <c r="J13" s="18"/>
      <c r="K13" s="20"/>
      <c r="L13" s="20"/>
    </row>
    <row r="14" customFormat="false" ht="97.5" hidden="false" customHeight="true" outlineLevel="0" collapsed="false">
      <c r="A14" s="5" t="s">
        <v>279</v>
      </c>
      <c r="B14" s="23" t="s">
        <v>1180</v>
      </c>
      <c r="C14" s="5" t="n">
        <v>212</v>
      </c>
      <c r="D14" s="5" t="s">
        <v>1181</v>
      </c>
      <c r="E14" s="21" t="s">
        <v>128</v>
      </c>
      <c r="F14" s="5" t="s">
        <v>1182</v>
      </c>
      <c r="G14" s="5" t="s">
        <v>1183</v>
      </c>
      <c r="H14" s="5" t="s">
        <v>1184</v>
      </c>
      <c r="I14" s="23" t="s">
        <v>877</v>
      </c>
      <c r="J14" s="18"/>
      <c r="K14" s="18"/>
      <c r="L14" s="5" t="str">
        <f aca="false">IF(J14&lt;&gt;"",J14,IF($J$13="Freigeben","Freigeben",""))</f>
        <v/>
      </c>
    </row>
    <row r="15" customFormat="false" ht="97.5" hidden="false" customHeight="true" outlineLevel="0" collapsed="false">
      <c r="A15" s="5" t="s">
        <v>279</v>
      </c>
      <c r="B15" s="23" t="s">
        <v>1185</v>
      </c>
      <c r="C15" s="5" t="n">
        <v>210</v>
      </c>
      <c r="D15" s="5" t="s">
        <v>1186</v>
      </c>
      <c r="E15" s="22" t="s">
        <v>194</v>
      </c>
      <c r="F15" s="5" t="s">
        <v>1182</v>
      </c>
      <c r="G15" s="5" t="s">
        <v>1183</v>
      </c>
      <c r="H15" s="5" t="s">
        <v>1187</v>
      </c>
      <c r="I15" s="23" t="s">
        <v>877</v>
      </c>
      <c r="J15" s="18"/>
      <c r="K15" s="18"/>
      <c r="L15" s="5" t="str">
        <f aca="false">IF(J15&lt;&gt;"",J15,IF($J$13="Freigeben","Freigeben",""))</f>
        <v/>
      </c>
    </row>
    <row r="16" customFormat="false" ht="97.5" hidden="false" customHeight="true" outlineLevel="0" collapsed="false">
      <c r="A16" s="5" t="s">
        <v>279</v>
      </c>
      <c r="B16" s="23" t="s">
        <v>1188</v>
      </c>
      <c r="C16" s="5" t="n">
        <v>200</v>
      </c>
      <c r="D16" s="5" t="s">
        <v>1189</v>
      </c>
      <c r="E16" s="16" t="s">
        <v>295</v>
      </c>
      <c r="F16" s="5"/>
      <c r="G16" s="5"/>
      <c r="H16" s="5" t="s">
        <v>1190</v>
      </c>
      <c r="I16" s="23" t="s">
        <v>877</v>
      </c>
      <c r="J16" s="18"/>
      <c r="K16" s="18"/>
      <c r="L16" s="5" t="str">
        <f aca="false">IF(J16&lt;&gt;"",J16,IF($J$13="Freigeben","Freigeben",""))</f>
        <v/>
      </c>
    </row>
    <row r="17" customFormat="false" ht="70.5" hidden="false" customHeight="true" outlineLevel="0" collapsed="false">
      <c r="A17" s="5" t="s">
        <v>279</v>
      </c>
      <c r="B17" s="23" t="s">
        <v>1191</v>
      </c>
      <c r="C17" s="5" t="n">
        <v>100</v>
      </c>
      <c r="D17" s="5" t="s">
        <v>1192</v>
      </c>
      <c r="E17" s="21" t="s">
        <v>128</v>
      </c>
      <c r="F17" s="5" t="s">
        <v>1193</v>
      </c>
      <c r="G17" s="5" t="s">
        <v>1194</v>
      </c>
      <c r="H17" s="5" t="s">
        <v>1195</v>
      </c>
      <c r="I17" s="23" t="s">
        <v>335</v>
      </c>
      <c r="J17" s="18"/>
      <c r="K17" s="18"/>
      <c r="L17" s="5" t="str">
        <f aca="false">IF(J17&lt;&gt;"",J17,IF($J$13="Freigeben","Freigeben",""))</f>
        <v/>
      </c>
    </row>
    <row r="18" customFormat="false" ht="43.5" hidden="false" customHeight="true" outlineLevel="0" collapsed="false">
      <c r="A18" s="5" t="s">
        <v>279</v>
      </c>
      <c r="B18" s="23" t="s">
        <v>1196</v>
      </c>
      <c r="C18" s="5" t="n">
        <v>100</v>
      </c>
      <c r="D18" s="5" t="s">
        <v>1197</v>
      </c>
      <c r="E18" s="22" t="s">
        <v>194</v>
      </c>
      <c r="F18" s="5" t="s">
        <v>1198</v>
      </c>
      <c r="G18" s="5" t="s">
        <v>1199</v>
      </c>
      <c r="H18" s="5" t="s">
        <v>1200</v>
      </c>
      <c r="I18" s="23" t="s">
        <v>335</v>
      </c>
      <c r="J18" s="18"/>
      <c r="K18" s="18"/>
      <c r="L18" s="5" t="str">
        <f aca="false">IF(J18&lt;&gt;"",J18,IF($J$13="Freigeben","Freigeben",""))</f>
        <v/>
      </c>
    </row>
    <row r="19" customFormat="false" ht="43.5" hidden="false" customHeight="true" outlineLevel="0" collapsed="false">
      <c r="A19" s="5" t="s">
        <v>279</v>
      </c>
      <c r="B19" s="23" t="s">
        <v>1201</v>
      </c>
      <c r="C19" s="5" t="n">
        <v>100</v>
      </c>
      <c r="D19" s="5" t="s">
        <v>1202</v>
      </c>
      <c r="E19" s="22" t="s">
        <v>194</v>
      </c>
      <c r="F19" s="5" t="s">
        <v>1203</v>
      </c>
      <c r="G19" s="5" t="s">
        <v>1204</v>
      </c>
      <c r="H19" s="5" t="s">
        <v>1200</v>
      </c>
      <c r="I19" s="23" t="s">
        <v>335</v>
      </c>
      <c r="J19" s="18"/>
      <c r="K19" s="18"/>
      <c r="L19" s="5" t="str">
        <f aca="false">IF(J19&lt;&gt;"",J19,IF($J$13="Freigeben","Freigeben",""))</f>
        <v/>
      </c>
    </row>
    <row r="20" customFormat="false" ht="43.5" hidden="false" customHeight="true" outlineLevel="0" collapsed="false">
      <c r="A20" s="5" t="s">
        <v>279</v>
      </c>
      <c r="B20" s="5" t="s">
        <v>1205</v>
      </c>
      <c r="C20" s="5" t="n">
        <v>1</v>
      </c>
      <c r="D20" s="5" t="s">
        <v>1206</v>
      </c>
      <c r="E20" s="16" t="s">
        <v>295</v>
      </c>
      <c r="F20" s="5" t="s">
        <v>296</v>
      </c>
      <c r="G20" s="5"/>
      <c r="H20" s="5" t="s">
        <v>297</v>
      </c>
      <c r="I20" s="5" t="s">
        <v>298</v>
      </c>
      <c r="J20" s="18"/>
      <c r="K20" s="18"/>
      <c r="L20" s="5" t="str">
        <f aca="false">IF(J20&lt;&gt;"",J20,IF($J$13="Freigeben","Freigeben",""))</f>
        <v/>
      </c>
    </row>
    <row r="21" customFormat="false" ht="111" hidden="false" customHeight="true" outlineLevel="0" collapsed="false">
      <c r="A21" s="19" t="s">
        <v>274</v>
      </c>
      <c r="B21" s="19" t="s">
        <v>186</v>
      </c>
      <c r="C21" s="20"/>
      <c r="D21" s="20" t="s">
        <v>1207</v>
      </c>
      <c r="E21" s="20"/>
      <c r="F21" s="20"/>
      <c r="G21" s="20"/>
      <c r="H21" s="20" t="s">
        <v>1208</v>
      </c>
      <c r="I21" s="20" t="s">
        <v>1209</v>
      </c>
      <c r="J21" s="18"/>
      <c r="K21" s="20"/>
      <c r="L21" s="20"/>
    </row>
    <row r="22" customFormat="false" ht="30" hidden="false" customHeight="true" outlineLevel="0" collapsed="false">
      <c r="A22" s="5" t="s">
        <v>279</v>
      </c>
      <c r="B22" s="5" t="s">
        <v>1210</v>
      </c>
      <c r="C22" s="5" t="n">
        <v>100</v>
      </c>
      <c r="D22" s="5" t="s">
        <v>1211</v>
      </c>
      <c r="E22" s="21" t="s">
        <v>128</v>
      </c>
      <c r="F22" s="5" t="s">
        <v>1212</v>
      </c>
      <c r="G22" s="5" t="s">
        <v>1213</v>
      </c>
      <c r="H22" s="5"/>
      <c r="I22" s="5" t="s">
        <v>284</v>
      </c>
      <c r="J22" s="18"/>
      <c r="K22" s="18"/>
      <c r="L22" s="5" t="str">
        <f aca="false">IF(J22&lt;&gt;"",J22,IF($J$21="Freigeben","Freigeben",""))</f>
        <v/>
      </c>
    </row>
    <row r="23" customFormat="false" ht="43.5" hidden="false" customHeight="true" outlineLevel="0" collapsed="false">
      <c r="A23" s="5" t="s">
        <v>279</v>
      </c>
      <c r="B23" s="23" t="s">
        <v>1214</v>
      </c>
      <c r="C23" s="5" t="n">
        <v>100</v>
      </c>
      <c r="D23" s="5" t="s">
        <v>1215</v>
      </c>
      <c r="E23" s="22" t="s">
        <v>194</v>
      </c>
      <c r="F23" s="5" t="s">
        <v>1216</v>
      </c>
      <c r="G23" s="5" t="s">
        <v>1217</v>
      </c>
      <c r="H23" s="5" t="s">
        <v>1218</v>
      </c>
      <c r="I23" s="23" t="s">
        <v>335</v>
      </c>
      <c r="J23" s="18"/>
      <c r="K23" s="18"/>
      <c r="L23" s="5" t="str">
        <f aca="false">IF(J23&lt;&gt;"",J23,IF($J$21="Freigeben","Freigeben",""))</f>
        <v/>
      </c>
    </row>
    <row r="24" customFormat="false" ht="57" hidden="false" customHeight="true" outlineLevel="0" collapsed="false">
      <c r="A24" s="24" t="s">
        <v>279</v>
      </c>
      <c r="B24" s="24" t="s">
        <v>1219</v>
      </c>
      <c r="C24" s="24" t="n">
        <v>100</v>
      </c>
      <c r="D24" s="24" t="s">
        <v>1220</v>
      </c>
      <c r="E24" s="24" t="s">
        <v>215</v>
      </c>
      <c r="F24" s="24" t="s">
        <v>1221</v>
      </c>
      <c r="G24" s="24" t="s">
        <v>1222</v>
      </c>
      <c r="H24" s="24" t="s">
        <v>1223</v>
      </c>
      <c r="I24" s="24" t="s">
        <v>427</v>
      </c>
      <c r="J24" s="24"/>
      <c r="K24" s="24"/>
      <c r="L24" s="24"/>
    </row>
    <row r="25" customFormat="false" ht="57" hidden="false" customHeight="true" outlineLevel="0" collapsed="false">
      <c r="A25" s="24" t="s">
        <v>279</v>
      </c>
      <c r="B25" s="24" t="s">
        <v>1224</v>
      </c>
      <c r="C25" s="24" t="n">
        <v>100</v>
      </c>
      <c r="D25" s="24" t="s">
        <v>1225</v>
      </c>
      <c r="E25" s="24" t="s">
        <v>295</v>
      </c>
      <c r="F25" s="24"/>
      <c r="G25" s="24"/>
      <c r="H25" s="24" t="s">
        <v>1226</v>
      </c>
      <c r="I25" s="24" t="s">
        <v>427</v>
      </c>
      <c r="J25" s="24"/>
      <c r="K25" s="24"/>
      <c r="L25" s="24"/>
    </row>
    <row r="26" customFormat="false" ht="43.5" hidden="false" customHeight="true" outlineLevel="0" collapsed="false">
      <c r="A26" s="5" t="s">
        <v>279</v>
      </c>
      <c r="B26" s="5" t="s">
        <v>1227</v>
      </c>
      <c r="C26" s="5" t="n">
        <v>1</v>
      </c>
      <c r="D26" s="5" t="s">
        <v>1228</v>
      </c>
      <c r="E26" s="16" t="s">
        <v>295</v>
      </c>
      <c r="F26" s="5" t="s">
        <v>296</v>
      </c>
      <c r="G26" s="5"/>
      <c r="H26" s="5" t="s">
        <v>297</v>
      </c>
      <c r="I26" s="5" t="s">
        <v>298</v>
      </c>
      <c r="J26" s="18"/>
      <c r="K26" s="18"/>
      <c r="L26" s="5" t="str">
        <f aca="false">IF(J26&lt;&gt;"",J26,IF($J$21="Freigeben","Freigeben",""))</f>
        <v/>
      </c>
    </row>
    <row r="27" customFormat="false" ht="111" hidden="false" customHeight="true" outlineLevel="0" collapsed="false">
      <c r="A27" s="19" t="s">
        <v>274</v>
      </c>
      <c r="B27" s="19" t="s">
        <v>1229</v>
      </c>
      <c r="C27" s="20"/>
      <c r="D27" s="20" t="s">
        <v>1230</v>
      </c>
      <c r="E27" s="20"/>
      <c r="F27" s="20"/>
      <c r="G27" s="20"/>
      <c r="H27" s="20" t="s">
        <v>1231</v>
      </c>
      <c r="I27" s="20" t="s">
        <v>460</v>
      </c>
      <c r="J27" s="18"/>
      <c r="K27" s="20"/>
      <c r="L27" s="20"/>
    </row>
    <row r="28" customFormat="false" ht="30" hidden="false" customHeight="true" outlineLevel="0" collapsed="false">
      <c r="A28" s="5" t="s">
        <v>279</v>
      </c>
      <c r="B28" s="5" t="s">
        <v>1232</v>
      </c>
      <c r="C28" s="5" t="n">
        <v>100</v>
      </c>
      <c r="D28" s="5" t="s">
        <v>1233</v>
      </c>
      <c r="E28" s="21" t="s">
        <v>128</v>
      </c>
      <c r="F28" s="5" t="s">
        <v>1234</v>
      </c>
      <c r="G28" s="5" t="s">
        <v>1235</v>
      </c>
      <c r="H28" s="5"/>
      <c r="I28" s="5" t="s">
        <v>284</v>
      </c>
      <c r="J28" s="18"/>
      <c r="K28" s="18"/>
      <c r="L28" s="5" t="str">
        <f aca="false">IF(J28&lt;&gt;"",J28,IF($J$27="Freigeben","Freigeben",""))</f>
        <v/>
      </c>
    </row>
    <row r="29" customFormat="false" ht="57" hidden="false" customHeight="true" outlineLevel="0" collapsed="false">
      <c r="A29" s="5" t="s">
        <v>279</v>
      </c>
      <c r="B29" s="23" t="s">
        <v>1236</v>
      </c>
      <c r="C29" s="5" t="n">
        <v>100</v>
      </c>
      <c r="D29" s="5" t="s">
        <v>1237</v>
      </c>
      <c r="E29" s="21" t="s">
        <v>128</v>
      </c>
      <c r="F29" s="5" t="s">
        <v>1238</v>
      </c>
      <c r="G29" s="5" t="s">
        <v>1239</v>
      </c>
      <c r="H29" s="5" t="s">
        <v>1240</v>
      </c>
      <c r="I29" s="23" t="s">
        <v>335</v>
      </c>
      <c r="J29" s="18"/>
      <c r="K29" s="18"/>
      <c r="L29" s="5" t="str">
        <f aca="false">IF(J29&lt;&gt;"",J29,IF($J$27="Freigeben","Freigeben",""))</f>
        <v/>
      </c>
    </row>
    <row r="30" customFormat="false" ht="43.5" hidden="false" customHeight="true" outlineLevel="0" collapsed="false">
      <c r="A30" s="5" t="s">
        <v>279</v>
      </c>
      <c r="B30" s="23" t="s">
        <v>1241</v>
      </c>
      <c r="C30" s="5" t="n">
        <v>100</v>
      </c>
      <c r="D30" s="5" t="s">
        <v>1242</v>
      </c>
      <c r="E30" s="22" t="s">
        <v>194</v>
      </c>
      <c r="F30" s="5" t="s">
        <v>1243</v>
      </c>
      <c r="G30" s="5" t="s">
        <v>1244</v>
      </c>
      <c r="H30" s="5" t="s">
        <v>306</v>
      </c>
      <c r="I30" s="23" t="s">
        <v>335</v>
      </c>
      <c r="J30" s="18"/>
      <c r="K30" s="18"/>
      <c r="L30" s="5" t="str">
        <f aca="false">IF(J30&lt;&gt;"",J30,IF($J$27="Freigeben","Freigeben",""))</f>
        <v/>
      </c>
    </row>
    <row r="31" customFormat="false" ht="43.5" hidden="false" customHeight="true" outlineLevel="0" collapsed="false">
      <c r="A31" s="5" t="s">
        <v>279</v>
      </c>
      <c r="B31" s="23" t="s">
        <v>1245</v>
      </c>
      <c r="C31" s="5" t="n">
        <v>100</v>
      </c>
      <c r="D31" s="5" t="s">
        <v>1246</v>
      </c>
      <c r="E31" s="22" t="s">
        <v>194</v>
      </c>
      <c r="F31" s="5" t="s">
        <v>1247</v>
      </c>
      <c r="G31" s="5" t="s">
        <v>1248</v>
      </c>
      <c r="H31" s="5" t="s">
        <v>306</v>
      </c>
      <c r="I31" s="23" t="s">
        <v>335</v>
      </c>
      <c r="J31" s="18"/>
      <c r="K31" s="18"/>
      <c r="L31" s="5" t="str">
        <f aca="false">IF(J31&lt;&gt;"",J31,IF($J$27="Freigeben","Freigeben",""))</f>
        <v/>
      </c>
    </row>
    <row r="32" customFormat="false" ht="43.5" hidden="false" customHeight="true" outlineLevel="0" collapsed="false">
      <c r="A32" s="5" t="s">
        <v>279</v>
      </c>
      <c r="B32" s="5" t="s">
        <v>1249</v>
      </c>
      <c r="C32" s="5" t="n">
        <v>1</v>
      </c>
      <c r="D32" s="5" t="s">
        <v>1250</v>
      </c>
      <c r="E32" s="16" t="s">
        <v>295</v>
      </c>
      <c r="F32" s="5" t="s">
        <v>296</v>
      </c>
      <c r="G32" s="5"/>
      <c r="H32" s="5" t="s">
        <v>297</v>
      </c>
      <c r="I32" s="5" t="s">
        <v>298</v>
      </c>
      <c r="J32" s="18"/>
      <c r="K32" s="18"/>
      <c r="L32" s="5" t="str">
        <f aca="false">IF(J32&lt;&gt;"",J32,IF($J$27="Freigeben","Freigeben",""))</f>
        <v/>
      </c>
    </row>
    <row r="33" customFormat="false" ht="97.5" hidden="false" customHeight="true" outlineLevel="0" collapsed="false">
      <c r="A33" s="19" t="s">
        <v>274</v>
      </c>
      <c r="B33" s="19" t="s">
        <v>1251</v>
      </c>
      <c r="C33" s="20"/>
      <c r="D33" s="20" t="s">
        <v>1252</v>
      </c>
      <c r="E33" s="20"/>
      <c r="F33" s="20"/>
      <c r="G33" s="20"/>
      <c r="H33" s="20" t="s">
        <v>1253</v>
      </c>
      <c r="I33" s="20" t="s">
        <v>278</v>
      </c>
      <c r="J33" s="18"/>
      <c r="K33" s="20"/>
      <c r="L33" s="20"/>
    </row>
    <row r="34" customFormat="false" ht="30" hidden="false" customHeight="true" outlineLevel="0" collapsed="false">
      <c r="A34" s="5" t="s">
        <v>279</v>
      </c>
      <c r="B34" s="5" t="s">
        <v>1254</v>
      </c>
      <c r="C34" s="5" t="n">
        <v>100</v>
      </c>
      <c r="D34" s="5" t="s">
        <v>1255</v>
      </c>
      <c r="E34" s="21" t="s">
        <v>128</v>
      </c>
      <c r="F34" s="5" t="s">
        <v>1256</v>
      </c>
      <c r="G34" s="5" t="s">
        <v>1257</v>
      </c>
      <c r="H34" s="5"/>
      <c r="I34" s="5" t="s">
        <v>284</v>
      </c>
      <c r="J34" s="18"/>
      <c r="K34" s="18"/>
      <c r="L34" s="5" t="str">
        <f aca="false">IF(J34&lt;&gt;"",J34,IF($J$33="Freigeben","Freigeben",""))</f>
        <v/>
      </c>
    </row>
    <row r="35" customFormat="false" ht="30" hidden="false" customHeight="true" outlineLevel="0" collapsed="false">
      <c r="A35" s="5" t="s">
        <v>279</v>
      </c>
      <c r="B35" s="5" t="s">
        <v>1258</v>
      </c>
      <c r="C35" s="5" t="n">
        <v>100</v>
      </c>
      <c r="D35" s="5" t="s">
        <v>1259</v>
      </c>
      <c r="E35" s="21" t="s">
        <v>128</v>
      </c>
      <c r="F35" s="5" t="s">
        <v>1260</v>
      </c>
      <c r="G35" s="5" t="s">
        <v>1261</v>
      </c>
      <c r="H35" s="5"/>
      <c r="I35" s="5" t="s">
        <v>284</v>
      </c>
      <c r="J35" s="18"/>
      <c r="K35" s="18"/>
      <c r="L35" s="5" t="str">
        <f aca="false">IF(J35&lt;&gt;"",J35,IF($J$33="Freigeben","Freigeben",""))</f>
        <v/>
      </c>
    </row>
    <row r="36" customFormat="false" ht="16.5" hidden="false" customHeight="true" outlineLevel="0" collapsed="false">
      <c r="A36" s="5" t="s">
        <v>279</v>
      </c>
      <c r="B36" s="5" t="s">
        <v>1262</v>
      </c>
      <c r="C36" s="5" t="n">
        <v>100</v>
      </c>
      <c r="D36" s="5" t="s">
        <v>1263</v>
      </c>
      <c r="E36" s="22" t="s">
        <v>194</v>
      </c>
      <c r="F36" s="5" t="s">
        <v>1264</v>
      </c>
      <c r="G36" s="5" t="s">
        <v>1265</v>
      </c>
      <c r="H36" s="5"/>
      <c r="I36" s="5" t="s">
        <v>284</v>
      </c>
      <c r="J36" s="18"/>
      <c r="K36" s="18"/>
      <c r="L36" s="5" t="str">
        <f aca="false">IF(J36&lt;&gt;"",J36,IF($J$33="Freigeben","Freigeben",""))</f>
        <v/>
      </c>
    </row>
    <row r="37" customFormat="false" ht="43.5" hidden="false" customHeight="true" outlineLevel="0" collapsed="false">
      <c r="A37" s="5" t="s">
        <v>279</v>
      </c>
      <c r="B37" s="5" t="s">
        <v>1266</v>
      </c>
      <c r="C37" s="5" t="n">
        <v>1</v>
      </c>
      <c r="D37" s="5" t="s">
        <v>1267</v>
      </c>
      <c r="E37" s="16" t="s">
        <v>295</v>
      </c>
      <c r="F37" s="5" t="s">
        <v>296</v>
      </c>
      <c r="G37" s="5"/>
      <c r="H37" s="5" t="s">
        <v>297</v>
      </c>
      <c r="I37" s="5" t="s">
        <v>298</v>
      </c>
      <c r="J37" s="18"/>
      <c r="K37" s="18"/>
      <c r="L37" s="5" t="str">
        <f aca="false">IF(J37&lt;&gt;"",J37,IF($J$33="Freigeben","Freigeben",""))</f>
        <v/>
      </c>
    </row>
    <row r="38" customFormat="false" ht="97.5" hidden="false" customHeight="true" outlineLevel="0" collapsed="false">
      <c r="A38" s="19" t="s">
        <v>274</v>
      </c>
      <c r="B38" s="19" t="s">
        <v>1268</v>
      </c>
      <c r="C38" s="20"/>
      <c r="D38" s="20" t="s">
        <v>1269</v>
      </c>
      <c r="E38" s="20"/>
      <c r="F38" s="20"/>
      <c r="G38" s="20"/>
      <c r="H38" s="20" t="s">
        <v>1270</v>
      </c>
      <c r="I38" s="20" t="s">
        <v>366</v>
      </c>
      <c r="J38" s="18"/>
      <c r="K38" s="20"/>
      <c r="L38" s="20"/>
    </row>
    <row r="39" customFormat="false" ht="43.5" hidden="false" customHeight="true" outlineLevel="0" collapsed="false">
      <c r="A39" s="5" t="s">
        <v>279</v>
      </c>
      <c r="B39" s="23" t="s">
        <v>1271</v>
      </c>
      <c r="C39" s="5" t="n">
        <v>100</v>
      </c>
      <c r="D39" s="5" t="s">
        <v>1272</v>
      </c>
      <c r="E39" s="21" t="s">
        <v>128</v>
      </c>
      <c r="F39" s="5" t="s">
        <v>1273</v>
      </c>
      <c r="G39" s="5" t="s">
        <v>1274</v>
      </c>
      <c r="H39" s="5" t="s">
        <v>1275</v>
      </c>
      <c r="I39" s="23" t="s">
        <v>335</v>
      </c>
      <c r="J39" s="18"/>
      <c r="K39" s="18"/>
      <c r="L39" s="5" t="str">
        <f aca="false">IF(J39&lt;&gt;"",J39,IF($J$38="Freigeben","Freigeben",""))</f>
        <v/>
      </c>
    </row>
    <row r="40" customFormat="false" ht="30" hidden="false" customHeight="true" outlineLevel="0" collapsed="false">
      <c r="A40" s="5" t="s">
        <v>279</v>
      </c>
      <c r="B40" s="5" t="s">
        <v>1276</v>
      </c>
      <c r="C40" s="5" t="n">
        <v>100</v>
      </c>
      <c r="D40" s="5" t="s">
        <v>1277</v>
      </c>
      <c r="E40" s="22" t="s">
        <v>194</v>
      </c>
      <c r="F40" s="5" t="s">
        <v>1278</v>
      </c>
      <c r="G40" s="5" t="s">
        <v>1279</v>
      </c>
      <c r="H40" s="5"/>
      <c r="I40" s="5" t="s">
        <v>284</v>
      </c>
      <c r="J40" s="18"/>
      <c r="K40" s="18"/>
      <c r="L40" s="5" t="str">
        <f aca="false">IF(J40&lt;&gt;"",J40,IF($J$38="Freigeben","Freigeben",""))</f>
        <v/>
      </c>
    </row>
    <row r="41" customFormat="false" ht="43.5" hidden="false" customHeight="true" outlineLevel="0" collapsed="false">
      <c r="A41" s="5" t="s">
        <v>279</v>
      </c>
      <c r="B41" s="5" t="s">
        <v>1280</v>
      </c>
      <c r="C41" s="5" t="n">
        <v>1</v>
      </c>
      <c r="D41" s="5" t="s">
        <v>1281</v>
      </c>
      <c r="E41" s="16" t="s">
        <v>295</v>
      </c>
      <c r="F41" s="5" t="s">
        <v>296</v>
      </c>
      <c r="G41" s="5"/>
      <c r="H41" s="5" t="s">
        <v>297</v>
      </c>
      <c r="I41" s="5" t="s">
        <v>298</v>
      </c>
      <c r="J41" s="18"/>
      <c r="K41" s="18"/>
      <c r="L41" s="5" t="str">
        <f aca="false">IF(J41&lt;&gt;"",J41,IF($J$38="Freigeben","Freigeben",""))</f>
        <v/>
      </c>
    </row>
    <row r="42" customFormat="false" ht="97.5" hidden="false" customHeight="true" outlineLevel="0" collapsed="false">
      <c r="A42" s="19" t="s">
        <v>274</v>
      </c>
      <c r="B42" s="19" t="s">
        <v>1282</v>
      </c>
      <c r="C42" s="20"/>
      <c r="D42" s="20" t="s">
        <v>1283</v>
      </c>
      <c r="E42" s="20"/>
      <c r="F42" s="20"/>
      <c r="G42" s="20"/>
      <c r="H42" s="20" t="s">
        <v>1284</v>
      </c>
      <c r="I42" s="20" t="s">
        <v>604</v>
      </c>
      <c r="J42" s="18"/>
      <c r="K42" s="20"/>
      <c r="L42" s="20"/>
    </row>
    <row r="43" customFormat="false" ht="30" hidden="false" customHeight="true" outlineLevel="0" collapsed="false">
      <c r="A43" s="24" t="s">
        <v>279</v>
      </c>
      <c r="B43" s="24" t="s">
        <v>1285</v>
      </c>
      <c r="C43" s="24" t="n">
        <v>100</v>
      </c>
      <c r="D43" s="24" t="s">
        <v>1286</v>
      </c>
      <c r="E43" s="24" t="s">
        <v>128</v>
      </c>
      <c r="F43" s="24" t="s">
        <v>1287</v>
      </c>
      <c r="G43" s="24" t="s">
        <v>1288</v>
      </c>
      <c r="H43" s="24" t="s">
        <v>1289</v>
      </c>
      <c r="I43" s="24" t="s">
        <v>427</v>
      </c>
      <c r="J43" s="24"/>
      <c r="K43" s="24"/>
      <c r="L43" s="24"/>
    </row>
    <row r="44" customFormat="false" ht="43.5" hidden="false" customHeight="true" outlineLevel="0" collapsed="false">
      <c r="A44" s="5" t="s">
        <v>279</v>
      </c>
      <c r="B44" s="5" t="s">
        <v>1290</v>
      </c>
      <c r="C44" s="5" t="n">
        <v>1</v>
      </c>
      <c r="D44" s="5" t="s">
        <v>1291</v>
      </c>
      <c r="E44" s="16" t="s">
        <v>295</v>
      </c>
      <c r="F44" s="5" t="s">
        <v>296</v>
      </c>
      <c r="G44" s="5"/>
      <c r="H44" s="5" t="s">
        <v>297</v>
      </c>
      <c r="I44" s="5" t="s">
        <v>298</v>
      </c>
      <c r="J44" s="18"/>
      <c r="K44" s="18"/>
      <c r="L44" s="5" t="str">
        <f aca="false">IF(J44&lt;&gt;"",J44,IF($J$42="Freigeben","Freigeben",""))</f>
        <v/>
      </c>
    </row>
    <row r="45" customFormat="false" ht="97.5" hidden="false" customHeight="true" outlineLevel="0" collapsed="false">
      <c r="A45" s="19" t="s">
        <v>274</v>
      </c>
      <c r="B45" s="19" t="s">
        <v>1292</v>
      </c>
      <c r="C45" s="20"/>
      <c r="D45" s="20" t="s">
        <v>1293</v>
      </c>
      <c r="E45" s="20"/>
      <c r="F45" s="20"/>
      <c r="G45" s="20"/>
      <c r="H45" s="20" t="s">
        <v>1294</v>
      </c>
      <c r="I45" s="20" t="s">
        <v>628</v>
      </c>
      <c r="J45" s="18"/>
      <c r="K45" s="20"/>
      <c r="L45" s="20"/>
    </row>
    <row r="46" customFormat="false" ht="43.5" hidden="false" customHeight="true" outlineLevel="0" collapsed="false">
      <c r="A46" s="5" t="s">
        <v>279</v>
      </c>
      <c r="B46" s="5" t="s">
        <v>1295</v>
      </c>
      <c r="C46" s="5" t="n">
        <v>100</v>
      </c>
      <c r="D46" s="5" t="s">
        <v>1296</v>
      </c>
      <c r="E46" s="22" t="s">
        <v>194</v>
      </c>
      <c r="F46" s="5" t="s">
        <v>1297</v>
      </c>
      <c r="G46" s="5" t="s">
        <v>1298</v>
      </c>
      <c r="H46" s="5"/>
      <c r="I46" s="5" t="s">
        <v>284</v>
      </c>
      <c r="J46" s="18"/>
      <c r="K46" s="18"/>
      <c r="L46" s="5" t="str">
        <f aca="false">IF(J46&lt;&gt;"",J46,IF($J$45="Freigeben","Freigeben",""))</f>
        <v/>
      </c>
    </row>
    <row r="47" customFormat="false" ht="43.5" hidden="false" customHeight="true" outlineLevel="0" collapsed="false">
      <c r="A47" s="5" t="s">
        <v>279</v>
      </c>
      <c r="B47" s="5" t="s">
        <v>1299</v>
      </c>
      <c r="C47" s="5" t="n">
        <v>1</v>
      </c>
      <c r="D47" s="5" t="s">
        <v>1300</v>
      </c>
      <c r="E47" s="16" t="s">
        <v>295</v>
      </c>
      <c r="F47" s="5" t="s">
        <v>296</v>
      </c>
      <c r="G47" s="5"/>
      <c r="H47" s="5" t="s">
        <v>297</v>
      </c>
      <c r="I47" s="5" t="s">
        <v>298</v>
      </c>
      <c r="J47" s="18"/>
      <c r="K47" s="18"/>
      <c r="L47" s="5" t="str">
        <f aca="false">IF(J47&lt;&gt;"",J47,IF($J$45="Freigeben","Freigeben",""))</f>
        <v/>
      </c>
    </row>
  </sheetData>
  <sheetProtection sheet="true" formatColumns="false" formatRows="false" sort="false" autoFilter="false"/>
  <autoFilter ref="A1:L47"/>
  <conditionalFormatting sqref="K2:K47">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9 J13 J21 J27 J33 J38 J42 J45"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8 J10:J12 J14:J20 J22:J23 J26 J28:J32 J34:J37 J39:J41 J44 J46:J47"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111" hidden="false" customHeight="true" outlineLevel="0" collapsed="false">
      <c r="A2" s="19" t="s">
        <v>274</v>
      </c>
      <c r="B2" s="19" t="s">
        <v>87</v>
      </c>
      <c r="C2" s="20"/>
      <c r="D2" s="20" t="s">
        <v>1301</v>
      </c>
      <c r="E2" s="20"/>
      <c r="F2" s="20"/>
      <c r="G2" s="20"/>
      <c r="H2" s="20" t="s">
        <v>1302</v>
      </c>
      <c r="I2" s="20" t="s">
        <v>460</v>
      </c>
      <c r="J2" s="18"/>
      <c r="K2" s="20"/>
      <c r="L2" s="20"/>
    </row>
    <row r="3" customFormat="false" ht="16.5" hidden="false" customHeight="true" outlineLevel="0" collapsed="false">
      <c r="A3" s="5" t="s">
        <v>279</v>
      </c>
      <c r="B3" s="5" t="s">
        <v>1303</v>
      </c>
      <c r="C3" s="5" t="n">
        <v>100</v>
      </c>
      <c r="D3" s="5" t="s">
        <v>1304</v>
      </c>
      <c r="E3" s="21" t="s">
        <v>128</v>
      </c>
      <c r="F3" s="5" t="s">
        <v>282</v>
      </c>
      <c r="G3" s="5" t="s">
        <v>283</v>
      </c>
      <c r="H3" s="5"/>
      <c r="I3" s="5" t="s">
        <v>284</v>
      </c>
      <c r="J3" s="18"/>
      <c r="K3" s="18"/>
      <c r="L3" s="5" t="str">
        <f aca="false">IF(J3&lt;&gt;"",J3,IF($J$2="Freigeben","Freigeben",""))</f>
        <v/>
      </c>
    </row>
    <row r="4" customFormat="false" ht="57" hidden="false" customHeight="true" outlineLevel="0" collapsed="false">
      <c r="A4" s="5" t="s">
        <v>279</v>
      </c>
      <c r="B4" s="23" t="s">
        <v>1305</v>
      </c>
      <c r="C4" s="5" t="n">
        <v>100</v>
      </c>
      <c r="D4" s="5" t="s">
        <v>1306</v>
      </c>
      <c r="E4" s="22" t="s">
        <v>194</v>
      </c>
      <c r="F4" s="5" t="s">
        <v>282</v>
      </c>
      <c r="G4" s="5" t="s">
        <v>283</v>
      </c>
      <c r="H4" s="5" t="s">
        <v>1307</v>
      </c>
      <c r="I4" s="23" t="s">
        <v>877</v>
      </c>
      <c r="J4" s="18"/>
      <c r="K4" s="18"/>
      <c r="L4" s="5" t="str">
        <f aca="false">IF(J4&lt;&gt;"",J4,IF($J$2="Freigeben","Freigeben",""))</f>
        <v/>
      </c>
    </row>
    <row r="5" customFormat="false" ht="57" hidden="false" customHeight="true" outlineLevel="0" collapsed="false">
      <c r="A5" s="5" t="s">
        <v>279</v>
      </c>
      <c r="B5" s="23" t="s">
        <v>1308</v>
      </c>
      <c r="C5" s="5" t="n">
        <v>100</v>
      </c>
      <c r="D5" s="5" t="s">
        <v>1309</v>
      </c>
      <c r="E5" s="15" t="s">
        <v>215</v>
      </c>
      <c r="F5" s="5" t="s">
        <v>282</v>
      </c>
      <c r="G5" s="5" t="s">
        <v>283</v>
      </c>
      <c r="H5" s="5" t="s">
        <v>1310</v>
      </c>
      <c r="I5" s="23" t="s">
        <v>877</v>
      </c>
      <c r="J5" s="18"/>
      <c r="K5" s="18"/>
      <c r="L5" s="5" t="str">
        <f aca="false">IF(J5&lt;&gt;"",J5,IF($J$2="Freigeben","Freigeben",""))</f>
        <v/>
      </c>
    </row>
    <row r="6" customFormat="false" ht="30" hidden="false" customHeight="true" outlineLevel="0" collapsed="false">
      <c r="A6" s="5" t="s">
        <v>279</v>
      </c>
      <c r="B6" s="23" t="s">
        <v>1311</v>
      </c>
      <c r="C6" s="5" t="n">
        <v>100</v>
      </c>
      <c r="D6" s="5" t="s">
        <v>1312</v>
      </c>
      <c r="E6" s="22" t="s">
        <v>194</v>
      </c>
      <c r="F6" s="5" t="s">
        <v>469</v>
      </c>
      <c r="G6" s="5" t="s">
        <v>470</v>
      </c>
      <c r="H6" s="5" t="s">
        <v>451</v>
      </c>
      <c r="I6" s="23" t="s">
        <v>335</v>
      </c>
      <c r="J6" s="18"/>
      <c r="K6" s="18"/>
      <c r="L6" s="5" t="str">
        <f aca="false">IF(J6&lt;&gt;"",J6,IF($J$2="Freigeben","Freigeben",""))</f>
        <v/>
      </c>
    </row>
    <row r="7" customFormat="false" ht="43.5" hidden="false" customHeight="true" outlineLevel="0" collapsed="false">
      <c r="A7" s="5" t="s">
        <v>279</v>
      </c>
      <c r="B7" s="5" t="s">
        <v>1313</v>
      </c>
      <c r="C7" s="5" t="n">
        <v>1</v>
      </c>
      <c r="D7" s="5" t="s">
        <v>1314</v>
      </c>
      <c r="E7" s="16" t="s">
        <v>295</v>
      </c>
      <c r="F7" s="5" t="s">
        <v>296</v>
      </c>
      <c r="G7" s="5"/>
      <c r="H7" s="5" t="s">
        <v>297</v>
      </c>
      <c r="I7" s="5" t="s">
        <v>298</v>
      </c>
      <c r="J7" s="18"/>
      <c r="K7" s="18"/>
      <c r="L7" s="5" t="str">
        <f aca="false">IF(J7&lt;&gt;"",J7,IF($J$2="Freigeben","Freigeben",""))</f>
        <v/>
      </c>
    </row>
    <row r="8" customFormat="false" ht="97.5" hidden="false" customHeight="true" outlineLevel="0" collapsed="false">
      <c r="A8" s="19" t="s">
        <v>274</v>
      </c>
      <c r="B8" s="19" t="s">
        <v>1315</v>
      </c>
      <c r="C8" s="20"/>
      <c r="D8" s="20" t="s">
        <v>1316</v>
      </c>
      <c r="E8" s="20"/>
      <c r="F8" s="20"/>
      <c r="G8" s="20"/>
      <c r="H8" s="20" t="s">
        <v>1317</v>
      </c>
      <c r="I8" s="20" t="s">
        <v>628</v>
      </c>
      <c r="J8" s="18"/>
      <c r="K8" s="20"/>
      <c r="L8" s="20"/>
    </row>
    <row r="9" customFormat="false" ht="30" hidden="false" customHeight="true" outlineLevel="0" collapsed="false">
      <c r="A9" s="5" t="s">
        <v>279</v>
      </c>
      <c r="B9" s="5" t="s">
        <v>1318</v>
      </c>
      <c r="C9" s="5" t="n">
        <v>100</v>
      </c>
      <c r="D9" s="5" t="s">
        <v>1319</v>
      </c>
      <c r="E9" s="22" t="s">
        <v>194</v>
      </c>
      <c r="F9" s="5" t="s">
        <v>1320</v>
      </c>
      <c r="G9" s="5" t="s">
        <v>1321</v>
      </c>
      <c r="H9" s="5" t="s">
        <v>292</v>
      </c>
      <c r="I9" s="5" t="s">
        <v>284</v>
      </c>
      <c r="J9" s="18"/>
      <c r="K9" s="18"/>
      <c r="L9" s="5" t="str">
        <f aca="false">IF(J9&lt;&gt;"",J9,IF($J$8="Freigeben","Freigeben",""))</f>
        <v/>
      </c>
    </row>
    <row r="10" customFormat="false" ht="43.5" hidden="false" customHeight="true" outlineLevel="0" collapsed="false">
      <c r="A10" s="5" t="s">
        <v>279</v>
      </c>
      <c r="B10" s="5" t="s">
        <v>1322</v>
      </c>
      <c r="C10" s="5" t="n">
        <v>1</v>
      </c>
      <c r="D10" s="5" t="s">
        <v>1323</v>
      </c>
      <c r="E10" s="16" t="s">
        <v>295</v>
      </c>
      <c r="F10" s="5" t="s">
        <v>296</v>
      </c>
      <c r="G10" s="5"/>
      <c r="H10" s="5" t="s">
        <v>297</v>
      </c>
      <c r="I10" s="5" t="s">
        <v>298</v>
      </c>
      <c r="J10" s="18"/>
      <c r="K10" s="18"/>
      <c r="L10" s="5" t="str">
        <f aca="false">IF(J10&lt;&gt;"",J10,IF($J$8="Freigeben","Freigeben",""))</f>
        <v/>
      </c>
    </row>
    <row r="11" customFormat="false" ht="97.5" hidden="false" customHeight="true" outlineLevel="0" collapsed="false">
      <c r="A11" s="19" t="s">
        <v>274</v>
      </c>
      <c r="B11" s="19" t="s">
        <v>1324</v>
      </c>
      <c r="C11" s="20"/>
      <c r="D11" s="20" t="s">
        <v>1325</v>
      </c>
      <c r="E11" s="20"/>
      <c r="F11" s="20"/>
      <c r="G11" s="20"/>
      <c r="H11" s="20" t="s">
        <v>1326</v>
      </c>
      <c r="I11" s="20" t="s">
        <v>1327</v>
      </c>
      <c r="J11" s="18"/>
      <c r="K11" s="20"/>
      <c r="L11" s="20"/>
    </row>
    <row r="12" customFormat="false" ht="30" hidden="false" customHeight="true" outlineLevel="0" collapsed="false">
      <c r="A12" s="5" t="s">
        <v>279</v>
      </c>
      <c r="B12" s="5" t="s">
        <v>1328</v>
      </c>
      <c r="C12" s="5" t="n">
        <v>100</v>
      </c>
      <c r="D12" s="5" t="s">
        <v>1329</v>
      </c>
      <c r="E12" s="21" t="s">
        <v>128</v>
      </c>
      <c r="F12" s="5" t="s">
        <v>1330</v>
      </c>
      <c r="G12" s="5" t="s">
        <v>1331</v>
      </c>
      <c r="H12" s="5"/>
      <c r="I12" s="5" t="s">
        <v>284</v>
      </c>
      <c r="J12" s="18"/>
      <c r="K12" s="18"/>
      <c r="L12" s="5" t="str">
        <f aca="false">IF(J12&lt;&gt;"",J12,IF($J$11="Freigeben","Freigeben",""))</f>
        <v/>
      </c>
    </row>
    <row r="13" customFormat="false" ht="43.5" hidden="false" customHeight="true" outlineLevel="0" collapsed="false">
      <c r="A13" s="5" t="s">
        <v>279</v>
      </c>
      <c r="B13" s="5" t="s">
        <v>1332</v>
      </c>
      <c r="C13" s="5" t="n">
        <v>100</v>
      </c>
      <c r="D13" s="5" t="s">
        <v>1333</v>
      </c>
      <c r="E13" s="21" t="s">
        <v>128</v>
      </c>
      <c r="F13" s="5" t="s">
        <v>1330</v>
      </c>
      <c r="G13" s="5" t="s">
        <v>1331</v>
      </c>
      <c r="H13" s="5" t="s">
        <v>292</v>
      </c>
      <c r="I13" s="5" t="s">
        <v>284</v>
      </c>
      <c r="J13" s="18"/>
      <c r="K13" s="18"/>
      <c r="L13" s="5" t="str">
        <f aca="false">IF(J13&lt;&gt;"",J13,IF($J$11="Freigeben","Freigeben",""))</f>
        <v/>
      </c>
    </row>
    <row r="14" customFormat="false" ht="43.5" hidden="false" customHeight="true" outlineLevel="0" collapsed="false">
      <c r="A14" s="24" t="s">
        <v>279</v>
      </c>
      <c r="B14" s="24" t="s">
        <v>1334</v>
      </c>
      <c r="C14" s="24" t="n">
        <v>100</v>
      </c>
      <c r="D14" s="24" t="s">
        <v>1335</v>
      </c>
      <c r="E14" s="24" t="s">
        <v>295</v>
      </c>
      <c r="F14" s="24"/>
      <c r="G14" s="24"/>
      <c r="H14" s="24" t="s">
        <v>1336</v>
      </c>
      <c r="I14" s="24" t="s">
        <v>427</v>
      </c>
      <c r="J14" s="24"/>
      <c r="K14" s="24"/>
      <c r="L14" s="24"/>
    </row>
    <row r="15" customFormat="false" ht="30" hidden="false" customHeight="true" outlineLevel="0" collapsed="false">
      <c r="A15" s="5" t="s">
        <v>279</v>
      </c>
      <c r="B15" s="5" t="s">
        <v>1337</v>
      </c>
      <c r="C15" s="5" t="n">
        <v>100</v>
      </c>
      <c r="D15" s="5" t="s">
        <v>1338</v>
      </c>
      <c r="E15" s="22" t="s">
        <v>194</v>
      </c>
      <c r="F15" s="5" t="s">
        <v>1339</v>
      </c>
      <c r="G15" s="5" t="s">
        <v>1340</v>
      </c>
      <c r="H15" s="5"/>
      <c r="I15" s="5" t="s">
        <v>284</v>
      </c>
      <c r="J15" s="18"/>
      <c r="K15" s="18"/>
      <c r="L15" s="5" t="str">
        <f aca="false">IF(J15&lt;&gt;"",J15,IF($J$11="Freigeben","Freigeben",""))</f>
        <v/>
      </c>
    </row>
    <row r="16" customFormat="false" ht="43.5" hidden="false" customHeight="true" outlineLevel="0" collapsed="false">
      <c r="A16" s="5" t="s">
        <v>279</v>
      </c>
      <c r="B16" s="5" t="s">
        <v>1341</v>
      </c>
      <c r="C16" s="5" t="n">
        <v>1</v>
      </c>
      <c r="D16" s="5" t="s">
        <v>1342</v>
      </c>
      <c r="E16" s="16" t="s">
        <v>295</v>
      </c>
      <c r="F16" s="5" t="s">
        <v>296</v>
      </c>
      <c r="G16" s="5"/>
      <c r="H16" s="5" t="s">
        <v>297</v>
      </c>
      <c r="I16" s="5" t="s">
        <v>298</v>
      </c>
      <c r="J16" s="18"/>
      <c r="K16" s="18"/>
      <c r="L16" s="5" t="str">
        <f aca="false">IF(J16&lt;&gt;"",J16,IF($J$11="Freigeben","Freigeben",""))</f>
        <v/>
      </c>
    </row>
    <row r="17" customFormat="false" ht="111" hidden="false" customHeight="true" outlineLevel="0" collapsed="false">
      <c r="A17" s="19" t="s">
        <v>274</v>
      </c>
      <c r="B17" s="19" t="s">
        <v>1343</v>
      </c>
      <c r="C17" s="20"/>
      <c r="D17" s="20" t="s">
        <v>1344</v>
      </c>
      <c r="E17" s="20"/>
      <c r="F17" s="20"/>
      <c r="G17" s="20"/>
      <c r="H17" s="20" t="s">
        <v>1345</v>
      </c>
      <c r="I17" s="20" t="s">
        <v>628</v>
      </c>
      <c r="J17" s="18"/>
      <c r="K17" s="20"/>
      <c r="L17" s="20"/>
    </row>
    <row r="18" customFormat="false" ht="30" hidden="false" customHeight="true" outlineLevel="0" collapsed="false">
      <c r="A18" s="5" t="s">
        <v>279</v>
      </c>
      <c r="B18" s="5" t="s">
        <v>1346</v>
      </c>
      <c r="C18" s="5" t="n">
        <v>100</v>
      </c>
      <c r="D18" s="5" t="s">
        <v>1347</v>
      </c>
      <c r="E18" s="22" t="s">
        <v>194</v>
      </c>
      <c r="F18" s="5" t="s">
        <v>1348</v>
      </c>
      <c r="G18" s="5" t="s">
        <v>1349</v>
      </c>
      <c r="H18" s="5" t="s">
        <v>292</v>
      </c>
      <c r="I18" s="5" t="s">
        <v>284</v>
      </c>
      <c r="J18" s="18"/>
      <c r="K18" s="18"/>
      <c r="L18" s="5" t="str">
        <f aca="false">IF(J18&lt;&gt;"",J18,IF($J$17="Freigeben","Freigeben",""))</f>
        <v/>
      </c>
    </row>
    <row r="19" customFormat="false" ht="43.5" hidden="false" customHeight="true" outlineLevel="0" collapsed="false">
      <c r="A19" s="5" t="s">
        <v>279</v>
      </c>
      <c r="B19" s="5" t="s">
        <v>1350</v>
      </c>
      <c r="C19" s="5" t="n">
        <v>1</v>
      </c>
      <c r="D19" s="5" t="s">
        <v>1351</v>
      </c>
      <c r="E19" s="16" t="s">
        <v>295</v>
      </c>
      <c r="F19" s="5" t="s">
        <v>296</v>
      </c>
      <c r="G19" s="5"/>
      <c r="H19" s="5" t="s">
        <v>297</v>
      </c>
      <c r="I19" s="5" t="s">
        <v>298</v>
      </c>
      <c r="J19" s="18"/>
      <c r="K19" s="18"/>
      <c r="L19" s="5" t="str">
        <f aca="false">IF(J19&lt;&gt;"",J19,IF($J$17="Freigeben","Freigeben",""))</f>
        <v/>
      </c>
    </row>
    <row r="20" customFormat="false" ht="151.5" hidden="false" customHeight="true" outlineLevel="0" collapsed="false">
      <c r="A20" s="19" t="s">
        <v>274</v>
      </c>
      <c r="B20" s="19" t="s">
        <v>1352</v>
      </c>
      <c r="C20" s="20"/>
      <c r="D20" s="20" t="s">
        <v>1353</v>
      </c>
      <c r="E20" s="20"/>
      <c r="F20" s="20"/>
      <c r="G20" s="20"/>
      <c r="H20" s="20" t="s">
        <v>1354</v>
      </c>
      <c r="I20" s="20" t="s">
        <v>322</v>
      </c>
      <c r="J20" s="18"/>
      <c r="K20" s="20"/>
      <c r="L20" s="20"/>
    </row>
    <row r="21" customFormat="false" ht="30" hidden="false" customHeight="true" outlineLevel="0" collapsed="false">
      <c r="A21" s="5" t="s">
        <v>279</v>
      </c>
      <c r="B21" s="5" t="s">
        <v>1355</v>
      </c>
      <c r="C21" s="5" t="n">
        <v>100</v>
      </c>
      <c r="D21" s="5" t="s">
        <v>1356</v>
      </c>
      <c r="E21" s="21" t="s">
        <v>128</v>
      </c>
      <c r="F21" s="5" t="s">
        <v>653</v>
      </c>
      <c r="G21" s="5" t="s">
        <v>1357</v>
      </c>
      <c r="H21" s="5"/>
      <c r="I21" s="5" t="s">
        <v>284</v>
      </c>
      <c r="J21" s="18"/>
      <c r="K21" s="18"/>
      <c r="L21" s="5" t="str">
        <f aca="false">IF(J21&lt;&gt;"",J21,IF($J$20="Freigeben","Freigeben",""))</f>
        <v/>
      </c>
    </row>
    <row r="22" customFormat="false" ht="43.5" hidden="false" customHeight="true" outlineLevel="0" collapsed="false">
      <c r="A22" s="5" t="s">
        <v>279</v>
      </c>
      <c r="B22" s="23" t="s">
        <v>1358</v>
      </c>
      <c r="C22" s="5" t="n">
        <v>100</v>
      </c>
      <c r="D22" s="5" t="s">
        <v>1359</v>
      </c>
      <c r="E22" s="21" t="s">
        <v>128</v>
      </c>
      <c r="F22" s="5" t="s">
        <v>653</v>
      </c>
      <c r="G22" s="5" t="s">
        <v>1360</v>
      </c>
      <c r="H22" s="5" t="s">
        <v>1361</v>
      </c>
      <c r="I22" s="23" t="s">
        <v>335</v>
      </c>
      <c r="J22" s="18"/>
      <c r="K22" s="18"/>
      <c r="L22" s="5" t="str">
        <f aca="false">IF(J22&lt;&gt;"",J22,IF($J$20="Freigeben","Freigeben",""))</f>
        <v/>
      </c>
    </row>
    <row r="23" customFormat="false" ht="16.5" hidden="false" customHeight="true" outlineLevel="0" collapsed="false">
      <c r="A23" s="5" t="s">
        <v>279</v>
      </c>
      <c r="B23" s="5" t="s">
        <v>1362</v>
      </c>
      <c r="C23" s="5" t="n">
        <v>100</v>
      </c>
      <c r="D23" s="5" t="s">
        <v>1363</v>
      </c>
      <c r="E23" s="21" t="s">
        <v>128</v>
      </c>
      <c r="F23" s="5" t="s">
        <v>653</v>
      </c>
      <c r="G23" s="5" t="s">
        <v>1364</v>
      </c>
      <c r="H23" s="5"/>
      <c r="I23" s="5" t="s">
        <v>284</v>
      </c>
      <c r="J23" s="18"/>
      <c r="K23" s="18"/>
      <c r="L23" s="5" t="str">
        <f aca="false">IF(J23&lt;&gt;"",J23,IF($J$20="Freigeben","Freigeben",""))</f>
        <v/>
      </c>
    </row>
    <row r="24" customFormat="false" ht="30" hidden="false" customHeight="true" outlineLevel="0" collapsed="false">
      <c r="A24" s="5" t="s">
        <v>279</v>
      </c>
      <c r="B24" s="5" t="s">
        <v>1365</v>
      </c>
      <c r="C24" s="5" t="n">
        <v>100</v>
      </c>
      <c r="D24" s="5" t="s">
        <v>1366</v>
      </c>
      <c r="E24" s="22" t="s">
        <v>194</v>
      </c>
      <c r="F24" s="5" t="s">
        <v>688</v>
      </c>
      <c r="G24" s="5" t="s">
        <v>1367</v>
      </c>
      <c r="H24" s="5"/>
      <c r="I24" s="5" t="s">
        <v>284</v>
      </c>
      <c r="J24" s="18"/>
      <c r="K24" s="18"/>
      <c r="L24" s="5" t="str">
        <f aca="false">IF(J24&lt;&gt;"",J24,IF($J$20="Freigeben","Freigeben",""))</f>
        <v/>
      </c>
    </row>
    <row r="25" customFormat="false" ht="16.5" hidden="false" customHeight="true" outlineLevel="0" collapsed="false">
      <c r="A25" s="5" t="s">
        <v>279</v>
      </c>
      <c r="B25" s="5" t="s">
        <v>1368</v>
      </c>
      <c r="C25" s="5" t="n">
        <v>100</v>
      </c>
      <c r="D25" s="5" t="s">
        <v>1369</v>
      </c>
      <c r="E25" s="22" t="s">
        <v>194</v>
      </c>
      <c r="F25" s="5" t="s">
        <v>1370</v>
      </c>
      <c r="G25" s="5" t="s">
        <v>1371</v>
      </c>
      <c r="H25" s="5"/>
      <c r="I25" s="5" t="s">
        <v>284</v>
      </c>
      <c r="J25" s="18"/>
      <c r="K25" s="18"/>
      <c r="L25" s="5" t="str">
        <f aca="false">IF(J25&lt;&gt;"",J25,IF($J$20="Freigeben","Freigeben",""))</f>
        <v/>
      </c>
    </row>
    <row r="26" customFormat="false" ht="43.5" hidden="false" customHeight="true" outlineLevel="0" collapsed="false">
      <c r="A26" s="5" t="s">
        <v>279</v>
      </c>
      <c r="B26" s="5" t="s">
        <v>1372</v>
      </c>
      <c r="C26" s="5" t="n">
        <v>1</v>
      </c>
      <c r="D26" s="5" t="s">
        <v>1373</v>
      </c>
      <c r="E26" s="16" t="s">
        <v>295</v>
      </c>
      <c r="F26" s="5" t="s">
        <v>296</v>
      </c>
      <c r="G26" s="5"/>
      <c r="H26" s="5" t="s">
        <v>297</v>
      </c>
      <c r="I26" s="5" t="s">
        <v>298</v>
      </c>
      <c r="J26" s="18"/>
      <c r="K26" s="18"/>
      <c r="L26" s="5" t="str">
        <f aca="false">IF(J26&lt;&gt;"",J26,IF($J$20="Freigeben","Freigeben",""))</f>
        <v/>
      </c>
    </row>
    <row r="27" customFormat="false" ht="97.5" hidden="false" customHeight="true" outlineLevel="0" collapsed="false">
      <c r="A27" s="19" t="s">
        <v>274</v>
      </c>
      <c r="B27" s="19" t="s">
        <v>1374</v>
      </c>
      <c r="C27" s="20"/>
      <c r="D27" s="20" t="s">
        <v>1375</v>
      </c>
      <c r="E27" s="20"/>
      <c r="F27" s="20"/>
      <c r="G27" s="20"/>
      <c r="H27" s="20" t="s">
        <v>1376</v>
      </c>
      <c r="I27" s="20" t="s">
        <v>442</v>
      </c>
      <c r="J27" s="18"/>
      <c r="K27" s="20"/>
      <c r="L27" s="20"/>
    </row>
    <row r="28" customFormat="false" ht="30" hidden="false" customHeight="true" outlineLevel="0" collapsed="false">
      <c r="A28" s="5" t="s">
        <v>279</v>
      </c>
      <c r="B28" s="5" t="s">
        <v>1377</v>
      </c>
      <c r="C28" s="5" t="n">
        <v>300</v>
      </c>
      <c r="D28" s="5" t="s">
        <v>1378</v>
      </c>
      <c r="E28" s="21" t="s">
        <v>128</v>
      </c>
      <c r="F28" s="5" t="s">
        <v>1379</v>
      </c>
      <c r="G28" s="5" t="s">
        <v>1380</v>
      </c>
      <c r="H28" s="5"/>
      <c r="I28" s="5" t="s">
        <v>284</v>
      </c>
      <c r="J28" s="18"/>
      <c r="K28" s="18"/>
      <c r="L28" s="5" t="str">
        <f aca="false">IF(J28&lt;&gt;"",J28,IF($J$27="Freigeben","Freigeben",""))</f>
        <v/>
      </c>
    </row>
    <row r="29" customFormat="false" ht="43.5" hidden="false" customHeight="true" outlineLevel="0" collapsed="false">
      <c r="A29" s="5" t="s">
        <v>279</v>
      </c>
      <c r="B29" s="5" t="s">
        <v>1381</v>
      </c>
      <c r="C29" s="5" t="n">
        <v>200</v>
      </c>
      <c r="D29" s="5" t="s">
        <v>1382</v>
      </c>
      <c r="E29" s="21" t="s">
        <v>128</v>
      </c>
      <c r="F29" s="5" t="s">
        <v>1379</v>
      </c>
      <c r="G29" s="5" t="s">
        <v>1380</v>
      </c>
      <c r="H29" s="5" t="s">
        <v>292</v>
      </c>
      <c r="I29" s="5" t="s">
        <v>284</v>
      </c>
      <c r="J29" s="18"/>
      <c r="K29" s="18"/>
      <c r="L29" s="5" t="str">
        <f aca="false">IF(J29&lt;&gt;"",J29,IF($J$27="Freigeben","Freigeben",""))</f>
        <v/>
      </c>
    </row>
    <row r="30" customFormat="false" ht="30" hidden="false" customHeight="true" outlineLevel="0" collapsed="false">
      <c r="A30" s="24" t="s">
        <v>279</v>
      </c>
      <c r="B30" s="24" t="s">
        <v>1383</v>
      </c>
      <c r="C30" s="24" t="n">
        <v>100</v>
      </c>
      <c r="D30" s="24" t="s">
        <v>1384</v>
      </c>
      <c r="E30" s="24" t="s">
        <v>194</v>
      </c>
      <c r="F30" s="24" t="s">
        <v>1385</v>
      </c>
      <c r="G30" s="24" t="s">
        <v>1386</v>
      </c>
      <c r="H30" s="24" t="s">
        <v>1387</v>
      </c>
      <c r="I30" s="24" t="s">
        <v>427</v>
      </c>
      <c r="J30" s="24"/>
      <c r="K30" s="24"/>
      <c r="L30" s="24"/>
    </row>
    <row r="31" customFormat="false" ht="43.5" hidden="false" customHeight="true" outlineLevel="0" collapsed="false">
      <c r="A31" s="5" t="s">
        <v>279</v>
      </c>
      <c r="B31" s="5" t="s">
        <v>1388</v>
      </c>
      <c r="C31" s="5" t="n">
        <v>1</v>
      </c>
      <c r="D31" s="5" t="s">
        <v>1389</v>
      </c>
      <c r="E31" s="16" t="s">
        <v>295</v>
      </c>
      <c r="F31" s="5" t="s">
        <v>296</v>
      </c>
      <c r="G31" s="5"/>
      <c r="H31" s="5" t="s">
        <v>297</v>
      </c>
      <c r="I31" s="5" t="s">
        <v>298</v>
      </c>
      <c r="J31" s="18"/>
      <c r="K31" s="18"/>
      <c r="L31" s="5" t="str">
        <f aca="false">IF(J31&lt;&gt;"",J31,IF($J$27="Freigeben","Freigeben",""))</f>
        <v/>
      </c>
    </row>
    <row r="32" customFormat="false" ht="111" hidden="false" customHeight="true" outlineLevel="0" collapsed="false">
      <c r="A32" s="19" t="s">
        <v>274</v>
      </c>
      <c r="B32" s="19" t="s">
        <v>1390</v>
      </c>
      <c r="C32" s="20"/>
      <c r="D32" s="20" t="s">
        <v>1391</v>
      </c>
      <c r="E32" s="20"/>
      <c r="F32" s="20"/>
      <c r="G32" s="20"/>
      <c r="H32" s="20" t="s">
        <v>1392</v>
      </c>
      <c r="I32" s="20" t="s">
        <v>366</v>
      </c>
      <c r="J32" s="18"/>
      <c r="K32" s="20"/>
      <c r="L32" s="20"/>
    </row>
    <row r="33" customFormat="false" ht="57" hidden="false" customHeight="true" outlineLevel="0" collapsed="false">
      <c r="A33" s="5" t="s">
        <v>279</v>
      </c>
      <c r="B33" s="5" t="s">
        <v>1393</v>
      </c>
      <c r="C33" s="5" t="n">
        <v>200</v>
      </c>
      <c r="D33" s="5" t="s">
        <v>1394</v>
      </c>
      <c r="E33" s="21" t="s">
        <v>128</v>
      </c>
      <c r="F33" s="5" t="s">
        <v>1395</v>
      </c>
      <c r="G33" s="5" t="s">
        <v>1396</v>
      </c>
      <c r="H33" s="5" t="s">
        <v>1397</v>
      </c>
      <c r="I33" s="5" t="s">
        <v>284</v>
      </c>
      <c r="J33" s="18"/>
      <c r="K33" s="18"/>
      <c r="L33" s="5" t="str">
        <f aca="false">IF(J33&lt;&gt;"",J33,IF($J$32="Freigeben","Freigeben",""))</f>
        <v/>
      </c>
    </row>
    <row r="34" customFormat="false" ht="97.5" hidden="false" customHeight="true" outlineLevel="0" collapsed="false">
      <c r="A34" s="5" t="s">
        <v>279</v>
      </c>
      <c r="B34" s="5" t="s">
        <v>1398</v>
      </c>
      <c r="C34" s="5" t="n">
        <v>100</v>
      </c>
      <c r="D34" s="5" t="s">
        <v>1399</v>
      </c>
      <c r="E34" s="22" t="s">
        <v>194</v>
      </c>
      <c r="F34" s="5" t="s">
        <v>1400</v>
      </c>
      <c r="G34" s="5" t="s">
        <v>1401</v>
      </c>
      <c r="H34" s="5" t="s">
        <v>1402</v>
      </c>
      <c r="I34" s="5" t="s">
        <v>284</v>
      </c>
      <c r="J34" s="18"/>
      <c r="K34" s="18"/>
      <c r="L34" s="5" t="str">
        <f aca="false">IF(J34&lt;&gt;"",J34,IF($J$32="Freigeben","Freigeben",""))</f>
        <v/>
      </c>
    </row>
    <row r="35" customFormat="false" ht="43.5" hidden="false" customHeight="true" outlineLevel="0" collapsed="false">
      <c r="A35" s="5" t="s">
        <v>279</v>
      </c>
      <c r="B35" s="5" t="s">
        <v>1403</v>
      </c>
      <c r="C35" s="5" t="n">
        <v>1</v>
      </c>
      <c r="D35" s="5" t="s">
        <v>1404</v>
      </c>
      <c r="E35" s="16" t="s">
        <v>295</v>
      </c>
      <c r="F35" s="5" t="s">
        <v>296</v>
      </c>
      <c r="G35" s="5"/>
      <c r="H35" s="5" t="s">
        <v>297</v>
      </c>
      <c r="I35" s="5" t="s">
        <v>298</v>
      </c>
      <c r="J35" s="18"/>
      <c r="K35" s="18"/>
      <c r="L35" s="5" t="str">
        <f aca="false">IF(J35&lt;&gt;"",J35,IF($J$32="Freigeben","Freigeben",""))</f>
        <v/>
      </c>
    </row>
  </sheetData>
  <sheetProtection sheet="true" formatColumns="false" formatRows="false" sort="false" autoFilter="false"/>
  <autoFilter ref="A1:L35"/>
  <conditionalFormatting sqref="K2:K35">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8 J11 J17 J20 J27 J32"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7 J9:J10 J12:J13 J15:J16 J18:J19 J21:J26 J28:J29 J31 J33:J35"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97.5" hidden="false" customHeight="true" outlineLevel="0" collapsed="false">
      <c r="A2" s="19" t="s">
        <v>274</v>
      </c>
      <c r="B2" s="19" t="s">
        <v>1405</v>
      </c>
      <c r="C2" s="20"/>
      <c r="D2" s="20" t="s">
        <v>1406</v>
      </c>
      <c r="E2" s="20"/>
      <c r="F2" s="20"/>
      <c r="G2" s="20"/>
      <c r="H2" s="20" t="s">
        <v>1302</v>
      </c>
      <c r="I2" s="20" t="s">
        <v>366</v>
      </c>
      <c r="J2" s="18"/>
      <c r="K2" s="20"/>
      <c r="L2" s="20"/>
    </row>
    <row r="3" customFormat="false" ht="16.5" hidden="false" customHeight="true" outlineLevel="0" collapsed="false">
      <c r="A3" s="5" t="s">
        <v>279</v>
      </c>
      <c r="B3" s="5" t="s">
        <v>1407</v>
      </c>
      <c r="C3" s="5" t="n">
        <v>100</v>
      </c>
      <c r="D3" s="5" t="s">
        <v>1408</v>
      </c>
      <c r="E3" s="21" t="s">
        <v>128</v>
      </c>
      <c r="F3" s="5" t="s">
        <v>282</v>
      </c>
      <c r="G3" s="5" t="s">
        <v>283</v>
      </c>
      <c r="H3" s="5"/>
      <c r="I3" s="5" t="s">
        <v>284</v>
      </c>
      <c r="J3" s="18"/>
      <c r="K3" s="18"/>
      <c r="L3" s="5" t="str">
        <f aca="false">IF(J3&lt;&gt;"",J3,IF($J$2="Freigeben","Freigeben",""))</f>
        <v/>
      </c>
    </row>
    <row r="4" customFormat="false" ht="30" hidden="false" customHeight="true" outlineLevel="0" collapsed="false">
      <c r="A4" s="5" t="s">
        <v>279</v>
      </c>
      <c r="B4" s="5" t="s">
        <v>1409</v>
      </c>
      <c r="C4" s="5" t="n">
        <v>100</v>
      </c>
      <c r="D4" s="5" t="s">
        <v>1410</v>
      </c>
      <c r="E4" s="22" t="s">
        <v>194</v>
      </c>
      <c r="F4" s="5" t="s">
        <v>282</v>
      </c>
      <c r="G4" s="5" t="s">
        <v>287</v>
      </c>
      <c r="H4" s="5"/>
      <c r="I4" s="5" t="s">
        <v>284</v>
      </c>
      <c r="J4" s="18"/>
      <c r="K4" s="18"/>
      <c r="L4" s="5" t="str">
        <f aca="false">IF(J4&lt;&gt;"",J4,IF($J$2="Freigeben","Freigeben",""))</f>
        <v/>
      </c>
    </row>
    <row r="5" customFormat="false" ht="43.5" hidden="false" customHeight="true" outlineLevel="0" collapsed="false">
      <c r="A5" s="5" t="s">
        <v>279</v>
      </c>
      <c r="B5" s="5" t="s">
        <v>1411</v>
      </c>
      <c r="C5" s="5" t="n">
        <v>1</v>
      </c>
      <c r="D5" s="5" t="s">
        <v>1412</v>
      </c>
      <c r="E5" s="16" t="s">
        <v>295</v>
      </c>
      <c r="F5" s="5" t="s">
        <v>296</v>
      </c>
      <c r="G5" s="5"/>
      <c r="H5" s="5" t="s">
        <v>297</v>
      </c>
      <c r="I5" s="5" t="s">
        <v>298</v>
      </c>
      <c r="J5" s="18"/>
      <c r="K5" s="18"/>
      <c r="L5" s="5" t="str">
        <f aca="false">IF(J5&lt;&gt;"",J5,IF($J$2="Freigeben","Freigeben",""))</f>
        <v/>
      </c>
    </row>
    <row r="6" customFormat="false" ht="97.5" hidden="false" customHeight="true" outlineLevel="0" collapsed="false">
      <c r="A6" s="19" t="s">
        <v>274</v>
      </c>
      <c r="B6" s="19" t="s">
        <v>1413</v>
      </c>
      <c r="C6" s="20"/>
      <c r="D6" s="20" t="s">
        <v>1414</v>
      </c>
      <c r="E6" s="20"/>
      <c r="F6" s="20"/>
      <c r="G6" s="20"/>
      <c r="H6" s="20" t="s">
        <v>1415</v>
      </c>
      <c r="I6" s="20" t="s">
        <v>1416</v>
      </c>
      <c r="J6" s="18"/>
      <c r="K6" s="20"/>
      <c r="L6" s="20"/>
    </row>
    <row r="7" customFormat="false" ht="30" hidden="false" customHeight="true" outlineLevel="0" collapsed="false">
      <c r="A7" s="5" t="s">
        <v>279</v>
      </c>
      <c r="B7" s="5" t="s">
        <v>1417</v>
      </c>
      <c r="C7" s="5" t="n">
        <v>100</v>
      </c>
      <c r="D7" s="5" t="s">
        <v>1418</v>
      </c>
      <c r="E7" s="21" t="s">
        <v>128</v>
      </c>
      <c r="F7" s="5" t="s">
        <v>1419</v>
      </c>
      <c r="G7" s="5" t="s">
        <v>1420</v>
      </c>
      <c r="H7" s="5"/>
      <c r="I7" s="5" t="s">
        <v>284</v>
      </c>
      <c r="J7" s="18"/>
      <c r="K7" s="18"/>
      <c r="L7" s="5" t="str">
        <f aca="false">IF(J7&lt;&gt;"",J7,IF($J$6="Freigeben","Freigeben",""))</f>
        <v/>
      </c>
    </row>
    <row r="8" customFormat="false" ht="57" hidden="false" customHeight="true" outlineLevel="0" collapsed="false">
      <c r="A8" s="24" t="s">
        <v>279</v>
      </c>
      <c r="B8" s="24" t="s">
        <v>1421</v>
      </c>
      <c r="C8" s="24" t="n">
        <v>100</v>
      </c>
      <c r="D8" s="24" t="s">
        <v>1422</v>
      </c>
      <c r="E8" s="24" t="s">
        <v>215</v>
      </c>
      <c r="F8" s="24" t="s">
        <v>1221</v>
      </c>
      <c r="G8" s="24" t="s">
        <v>1222</v>
      </c>
      <c r="H8" s="24" t="s">
        <v>1223</v>
      </c>
      <c r="I8" s="24" t="s">
        <v>427</v>
      </c>
      <c r="J8" s="24"/>
      <c r="K8" s="24"/>
      <c r="L8" s="24"/>
    </row>
    <row r="9" customFormat="false" ht="43.5" hidden="false" customHeight="true" outlineLevel="0" collapsed="false">
      <c r="A9" s="24" t="s">
        <v>279</v>
      </c>
      <c r="B9" s="24" t="s">
        <v>1423</v>
      </c>
      <c r="C9" s="24" t="n">
        <v>100</v>
      </c>
      <c r="D9" s="24" t="s">
        <v>1424</v>
      </c>
      <c r="E9" s="24" t="s">
        <v>295</v>
      </c>
      <c r="F9" s="24"/>
      <c r="G9" s="24"/>
      <c r="H9" s="24" t="s">
        <v>1425</v>
      </c>
      <c r="I9" s="24" t="s">
        <v>427</v>
      </c>
      <c r="J9" s="24"/>
      <c r="K9" s="24"/>
      <c r="L9" s="24"/>
    </row>
    <row r="10" customFormat="false" ht="43.5" hidden="false" customHeight="true" outlineLevel="0" collapsed="false">
      <c r="A10" s="5" t="s">
        <v>279</v>
      </c>
      <c r="B10" s="5" t="s">
        <v>1426</v>
      </c>
      <c r="C10" s="5" t="n">
        <v>1</v>
      </c>
      <c r="D10" s="5" t="s">
        <v>1427</v>
      </c>
      <c r="E10" s="16" t="s">
        <v>295</v>
      </c>
      <c r="F10" s="5" t="s">
        <v>296</v>
      </c>
      <c r="G10" s="5"/>
      <c r="H10" s="5" t="s">
        <v>297</v>
      </c>
      <c r="I10" s="5" t="s">
        <v>298</v>
      </c>
      <c r="J10" s="18"/>
      <c r="K10" s="18"/>
      <c r="L10" s="5" t="str">
        <f aca="false">IF(J10&lt;&gt;"",J10,IF($J$6="Freigeben","Freigeben",""))</f>
        <v/>
      </c>
    </row>
    <row r="11" customFormat="false" ht="111" hidden="false" customHeight="true" outlineLevel="0" collapsed="false">
      <c r="A11" s="19" t="s">
        <v>274</v>
      </c>
      <c r="B11" s="19" t="s">
        <v>134</v>
      </c>
      <c r="C11" s="20"/>
      <c r="D11" s="20" t="s">
        <v>1428</v>
      </c>
      <c r="E11" s="20"/>
      <c r="F11" s="20"/>
      <c r="G11" s="20"/>
      <c r="H11" s="20" t="s">
        <v>1429</v>
      </c>
      <c r="I11" s="20" t="s">
        <v>460</v>
      </c>
      <c r="J11" s="18"/>
      <c r="K11" s="20"/>
      <c r="L11" s="20"/>
    </row>
    <row r="12" customFormat="false" ht="30" hidden="false" customHeight="true" outlineLevel="0" collapsed="false">
      <c r="A12" s="5" t="s">
        <v>279</v>
      </c>
      <c r="B12" s="5" t="s">
        <v>1430</v>
      </c>
      <c r="C12" s="5" t="n">
        <v>100</v>
      </c>
      <c r="D12" s="5" t="s">
        <v>1431</v>
      </c>
      <c r="E12" s="21" t="s">
        <v>128</v>
      </c>
      <c r="F12" s="5" t="s">
        <v>1432</v>
      </c>
      <c r="G12" s="5" t="s">
        <v>1433</v>
      </c>
      <c r="H12" s="5"/>
      <c r="I12" s="5" t="s">
        <v>284</v>
      </c>
      <c r="J12" s="18"/>
      <c r="K12" s="18"/>
      <c r="L12" s="5" t="str">
        <f aca="false">IF(J12&lt;&gt;"",J12,IF($J$11="Freigeben","Freigeben",""))</f>
        <v/>
      </c>
    </row>
    <row r="13" customFormat="false" ht="57" hidden="false" customHeight="true" outlineLevel="0" collapsed="false">
      <c r="A13" s="5" t="s">
        <v>279</v>
      </c>
      <c r="B13" s="23" t="s">
        <v>1434</v>
      </c>
      <c r="C13" s="5" t="n">
        <v>100</v>
      </c>
      <c r="D13" s="5" t="s">
        <v>1435</v>
      </c>
      <c r="E13" s="22" t="s">
        <v>194</v>
      </c>
      <c r="F13" s="5" t="s">
        <v>1436</v>
      </c>
      <c r="G13" s="5" t="s">
        <v>1235</v>
      </c>
      <c r="H13" s="5" t="s">
        <v>1437</v>
      </c>
      <c r="I13" s="23" t="s">
        <v>335</v>
      </c>
      <c r="J13" s="18"/>
      <c r="K13" s="18"/>
      <c r="L13" s="5" t="str">
        <f aca="false">IF(J13&lt;&gt;"",J13,IF($J$11="Freigeben","Freigeben",""))</f>
        <v/>
      </c>
    </row>
    <row r="14" customFormat="false" ht="30" hidden="false" customHeight="true" outlineLevel="0" collapsed="false">
      <c r="A14" s="5" t="s">
        <v>279</v>
      </c>
      <c r="B14" s="5" t="s">
        <v>1438</v>
      </c>
      <c r="C14" s="5" t="n">
        <v>100</v>
      </c>
      <c r="D14" s="5" t="s">
        <v>1439</v>
      </c>
      <c r="E14" s="22" t="s">
        <v>194</v>
      </c>
      <c r="F14" s="5" t="s">
        <v>1440</v>
      </c>
      <c r="G14" s="5" t="s">
        <v>1441</v>
      </c>
      <c r="H14" s="5"/>
      <c r="I14" s="5" t="s">
        <v>284</v>
      </c>
      <c r="J14" s="18"/>
      <c r="K14" s="18"/>
      <c r="L14" s="5" t="str">
        <f aca="false">IF(J14&lt;&gt;"",J14,IF($J$11="Freigeben","Freigeben",""))</f>
        <v/>
      </c>
    </row>
    <row r="15" customFormat="false" ht="30" hidden="false" customHeight="true" outlineLevel="0" collapsed="false">
      <c r="A15" s="5" t="s">
        <v>279</v>
      </c>
      <c r="B15" s="5" t="s">
        <v>1442</v>
      </c>
      <c r="C15" s="5" t="n">
        <v>100</v>
      </c>
      <c r="D15" s="5" t="s">
        <v>1443</v>
      </c>
      <c r="E15" s="22" t="s">
        <v>194</v>
      </c>
      <c r="F15" s="5" t="s">
        <v>1444</v>
      </c>
      <c r="G15" s="5" t="s">
        <v>1445</v>
      </c>
      <c r="H15" s="5"/>
      <c r="I15" s="5" t="s">
        <v>284</v>
      </c>
      <c r="J15" s="18"/>
      <c r="K15" s="18"/>
      <c r="L15" s="5" t="str">
        <f aca="false">IF(J15&lt;&gt;"",J15,IF($J$11="Freigeben","Freigeben",""))</f>
        <v/>
      </c>
    </row>
    <row r="16" customFormat="false" ht="43.5" hidden="false" customHeight="true" outlineLevel="0" collapsed="false">
      <c r="A16" s="5" t="s">
        <v>279</v>
      </c>
      <c r="B16" s="5" t="s">
        <v>1446</v>
      </c>
      <c r="C16" s="5" t="n">
        <v>1</v>
      </c>
      <c r="D16" s="5" t="s">
        <v>1447</v>
      </c>
      <c r="E16" s="16" t="s">
        <v>295</v>
      </c>
      <c r="F16" s="5" t="s">
        <v>296</v>
      </c>
      <c r="G16" s="5"/>
      <c r="H16" s="5" t="s">
        <v>297</v>
      </c>
      <c r="I16" s="5" t="s">
        <v>298</v>
      </c>
      <c r="J16" s="18"/>
      <c r="K16" s="18"/>
      <c r="L16" s="5" t="str">
        <f aca="false">IF(J16&lt;&gt;"",J16,IF($J$11="Freigeben","Freigeben",""))</f>
        <v/>
      </c>
    </row>
    <row r="17" customFormat="false" ht="97.5" hidden="false" customHeight="true" outlineLevel="0" collapsed="false">
      <c r="A17" s="19" t="s">
        <v>274</v>
      </c>
      <c r="B17" s="19" t="s">
        <v>83</v>
      </c>
      <c r="C17" s="20"/>
      <c r="D17" s="20" t="s">
        <v>1448</v>
      </c>
      <c r="E17" s="20"/>
      <c r="F17" s="20"/>
      <c r="G17" s="20"/>
      <c r="H17" s="20" t="s">
        <v>1449</v>
      </c>
      <c r="I17" s="20" t="s">
        <v>476</v>
      </c>
      <c r="J17" s="18"/>
      <c r="K17" s="20"/>
      <c r="L17" s="20"/>
    </row>
    <row r="18" customFormat="false" ht="43.5" hidden="false" customHeight="true" outlineLevel="0" collapsed="false">
      <c r="A18" s="5" t="s">
        <v>279</v>
      </c>
      <c r="B18" s="23" t="s">
        <v>1450</v>
      </c>
      <c r="C18" s="5" t="n">
        <v>100</v>
      </c>
      <c r="D18" s="5" t="s">
        <v>1451</v>
      </c>
      <c r="E18" s="21" t="s">
        <v>128</v>
      </c>
      <c r="F18" s="5" t="s">
        <v>1452</v>
      </c>
      <c r="G18" s="5" t="s">
        <v>1453</v>
      </c>
      <c r="H18" s="5" t="s">
        <v>1454</v>
      </c>
      <c r="I18" s="23" t="s">
        <v>877</v>
      </c>
      <c r="J18" s="18"/>
      <c r="K18" s="18"/>
      <c r="L18" s="5" t="str">
        <f aca="false">IF(J18&lt;&gt;"",J18,IF($J$17="Freigeben","Freigeben",""))</f>
        <v/>
      </c>
    </row>
    <row r="19" customFormat="false" ht="43.5" hidden="false" customHeight="true" outlineLevel="0" collapsed="false">
      <c r="A19" s="5" t="s">
        <v>279</v>
      </c>
      <c r="B19" s="5" t="s">
        <v>1455</v>
      </c>
      <c r="C19" s="5" t="n">
        <v>100</v>
      </c>
      <c r="D19" s="5" t="s">
        <v>1456</v>
      </c>
      <c r="E19" s="21" t="s">
        <v>128</v>
      </c>
      <c r="F19" s="5" t="s">
        <v>1457</v>
      </c>
      <c r="G19" s="5" t="s">
        <v>1458</v>
      </c>
      <c r="H19" s="5" t="s">
        <v>1459</v>
      </c>
      <c r="I19" s="5" t="s">
        <v>284</v>
      </c>
      <c r="J19" s="18"/>
      <c r="K19" s="18"/>
      <c r="L19" s="5" t="str">
        <f aca="false">IF(J19&lt;&gt;"",J19,IF($J$17="Freigeben","Freigeben",""))</f>
        <v/>
      </c>
    </row>
    <row r="20" customFormat="false" ht="84" hidden="false" customHeight="true" outlineLevel="0" collapsed="false">
      <c r="A20" s="5" t="s">
        <v>279</v>
      </c>
      <c r="B20" s="5" t="s">
        <v>1460</v>
      </c>
      <c r="C20" s="5" t="n">
        <v>100</v>
      </c>
      <c r="D20" s="5" t="s">
        <v>1461</v>
      </c>
      <c r="E20" s="15" t="s">
        <v>215</v>
      </c>
      <c r="F20" s="5" t="s">
        <v>1462</v>
      </c>
      <c r="G20" s="5" t="s">
        <v>1463</v>
      </c>
      <c r="H20" s="5" t="s">
        <v>1464</v>
      </c>
      <c r="I20" s="5" t="s">
        <v>284</v>
      </c>
      <c r="J20" s="18"/>
      <c r="K20" s="18"/>
      <c r="L20" s="5" t="str">
        <f aca="false">IF(J20&lt;&gt;"",J20,IF($J$17="Freigeben","Freigeben",""))</f>
        <v/>
      </c>
    </row>
    <row r="21" customFormat="false" ht="43.5" hidden="false" customHeight="true" outlineLevel="0" collapsed="false">
      <c r="A21" s="5" t="s">
        <v>279</v>
      </c>
      <c r="B21" s="23" t="s">
        <v>1465</v>
      </c>
      <c r="C21" s="5" t="n">
        <v>100</v>
      </c>
      <c r="D21" s="5" t="s">
        <v>1466</v>
      </c>
      <c r="E21" s="22" t="s">
        <v>194</v>
      </c>
      <c r="F21" s="5" t="s">
        <v>1467</v>
      </c>
      <c r="G21" s="5" t="s">
        <v>1468</v>
      </c>
      <c r="H21" s="5" t="s">
        <v>1469</v>
      </c>
      <c r="I21" s="23" t="s">
        <v>877</v>
      </c>
      <c r="J21" s="18"/>
      <c r="K21" s="18"/>
      <c r="L21" s="5" t="str">
        <f aca="false">IF(J21&lt;&gt;"",J21,IF($J$17="Freigeben","Freigeben",""))</f>
        <v/>
      </c>
    </row>
    <row r="22" customFormat="false" ht="43.5" hidden="false" customHeight="true" outlineLevel="0" collapsed="false">
      <c r="A22" s="5" t="s">
        <v>279</v>
      </c>
      <c r="B22" s="23" t="s">
        <v>1470</v>
      </c>
      <c r="C22" s="5" t="n">
        <v>100</v>
      </c>
      <c r="D22" s="5" t="s">
        <v>1471</v>
      </c>
      <c r="E22" s="22" t="s">
        <v>194</v>
      </c>
      <c r="F22" s="5" t="s">
        <v>1472</v>
      </c>
      <c r="G22" s="5" t="s">
        <v>1453</v>
      </c>
      <c r="H22" s="5" t="s">
        <v>1469</v>
      </c>
      <c r="I22" s="23" t="s">
        <v>877</v>
      </c>
      <c r="J22" s="18"/>
      <c r="K22" s="18"/>
      <c r="L22" s="5" t="str">
        <f aca="false">IF(J22&lt;&gt;"",J22,IF($J$17="Freigeben","Freigeben",""))</f>
        <v/>
      </c>
    </row>
    <row r="23" customFormat="false" ht="43.5" hidden="false" customHeight="true" outlineLevel="0" collapsed="false">
      <c r="A23" s="5" t="s">
        <v>279</v>
      </c>
      <c r="B23" s="23" t="s">
        <v>1473</v>
      </c>
      <c r="C23" s="5" t="n">
        <v>100</v>
      </c>
      <c r="D23" s="5" t="s">
        <v>1474</v>
      </c>
      <c r="E23" s="21" t="s">
        <v>128</v>
      </c>
      <c r="F23" s="5" t="s">
        <v>1475</v>
      </c>
      <c r="G23" s="5" t="s">
        <v>1453</v>
      </c>
      <c r="H23" s="5" t="s">
        <v>1476</v>
      </c>
      <c r="I23" s="23" t="s">
        <v>877</v>
      </c>
      <c r="J23" s="18"/>
      <c r="K23" s="18"/>
      <c r="L23" s="5" t="str">
        <f aca="false">IF(J23&lt;&gt;"",J23,IF($J$17="Freigeben","Freigeben",""))</f>
        <v/>
      </c>
    </row>
    <row r="24" customFormat="false" ht="43.5" hidden="false" customHeight="true" outlineLevel="0" collapsed="false">
      <c r="A24" s="5" t="s">
        <v>279</v>
      </c>
      <c r="B24" s="5" t="s">
        <v>1477</v>
      </c>
      <c r="C24" s="5" t="n">
        <v>1</v>
      </c>
      <c r="D24" s="5" t="s">
        <v>1478</v>
      </c>
      <c r="E24" s="16" t="s">
        <v>295</v>
      </c>
      <c r="F24" s="5" t="s">
        <v>296</v>
      </c>
      <c r="G24" s="5"/>
      <c r="H24" s="5" t="s">
        <v>297</v>
      </c>
      <c r="I24" s="5" t="s">
        <v>298</v>
      </c>
      <c r="J24" s="18"/>
      <c r="K24" s="18"/>
      <c r="L24" s="5" t="str">
        <f aca="false">IF(J24&lt;&gt;"",J24,IF($J$17="Freigeben","Freigeben",""))</f>
        <v/>
      </c>
    </row>
    <row r="25" customFormat="false" ht="97.5" hidden="false" customHeight="true" outlineLevel="0" collapsed="false">
      <c r="A25" s="19" t="s">
        <v>274</v>
      </c>
      <c r="B25" s="19" t="s">
        <v>1479</v>
      </c>
      <c r="C25" s="20"/>
      <c r="D25" s="20" t="s">
        <v>1480</v>
      </c>
      <c r="E25" s="20"/>
      <c r="F25" s="20"/>
      <c r="G25" s="20"/>
      <c r="H25" s="20" t="s">
        <v>1481</v>
      </c>
      <c r="I25" s="20" t="s">
        <v>278</v>
      </c>
      <c r="J25" s="18"/>
      <c r="K25" s="20"/>
      <c r="L25" s="20"/>
    </row>
    <row r="26" customFormat="false" ht="43.5" hidden="false" customHeight="true" outlineLevel="0" collapsed="false">
      <c r="A26" s="5" t="s">
        <v>279</v>
      </c>
      <c r="B26" s="5" t="s">
        <v>1482</v>
      </c>
      <c r="C26" s="5" t="n">
        <v>300</v>
      </c>
      <c r="D26" s="5" t="s">
        <v>1483</v>
      </c>
      <c r="E26" s="21" t="s">
        <v>128</v>
      </c>
      <c r="F26" s="5" t="s">
        <v>1484</v>
      </c>
      <c r="G26" s="5" t="s">
        <v>1485</v>
      </c>
      <c r="H26" s="5"/>
      <c r="I26" s="5" t="s">
        <v>284</v>
      </c>
      <c r="J26" s="18"/>
      <c r="K26" s="18"/>
      <c r="L26" s="5" t="str">
        <f aca="false">IF(J26&lt;&gt;"",J26,IF($J$25="Freigeben","Freigeben",""))</f>
        <v/>
      </c>
    </row>
    <row r="27" customFormat="false" ht="30" hidden="false" customHeight="true" outlineLevel="0" collapsed="false">
      <c r="A27" s="5" t="s">
        <v>279</v>
      </c>
      <c r="B27" s="5" t="s">
        <v>1486</v>
      </c>
      <c r="C27" s="5" t="n">
        <v>200</v>
      </c>
      <c r="D27" s="5" t="s">
        <v>1487</v>
      </c>
      <c r="E27" s="22" t="s">
        <v>194</v>
      </c>
      <c r="F27" s="5" t="s">
        <v>1488</v>
      </c>
      <c r="G27" s="5" t="s">
        <v>1489</v>
      </c>
      <c r="H27" s="5"/>
      <c r="I27" s="5" t="s">
        <v>284</v>
      </c>
      <c r="J27" s="18"/>
      <c r="K27" s="18"/>
      <c r="L27" s="5" t="str">
        <f aca="false">IF(J27&lt;&gt;"",J27,IF($J$25="Freigeben","Freigeben",""))</f>
        <v/>
      </c>
    </row>
    <row r="28" customFormat="false" ht="43.5" hidden="false" customHeight="true" outlineLevel="0" collapsed="false">
      <c r="A28" s="5" t="s">
        <v>279</v>
      </c>
      <c r="B28" s="5" t="s">
        <v>1490</v>
      </c>
      <c r="C28" s="5" t="n">
        <v>100</v>
      </c>
      <c r="D28" s="5" t="s">
        <v>1491</v>
      </c>
      <c r="E28" s="22" t="s">
        <v>194</v>
      </c>
      <c r="F28" s="5" t="s">
        <v>1297</v>
      </c>
      <c r="G28" s="5" t="s">
        <v>1298</v>
      </c>
      <c r="H28" s="5"/>
      <c r="I28" s="5" t="s">
        <v>284</v>
      </c>
      <c r="J28" s="18"/>
      <c r="K28" s="18"/>
      <c r="L28" s="5" t="str">
        <f aca="false">IF(J28&lt;&gt;"",J28,IF($J$25="Freigeben","Freigeben",""))</f>
        <v/>
      </c>
    </row>
    <row r="29" customFormat="false" ht="43.5" hidden="false" customHeight="true" outlineLevel="0" collapsed="false">
      <c r="A29" s="5" t="s">
        <v>279</v>
      </c>
      <c r="B29" s="5" t="s">
        <v>1492</v>
      </c>
      <c r="C29" s="5" t="n">
        <v>1</v>
      </c>
      <c r="D29" s="5" t="s">
        <v>1493</v>
      </c>
      <c r="E29" s="16" t="s">
        <v>295</v>
      </c>
      <c r="F29" s="5" t="s">
        <v>296</v>
      </c>
      <c r="G29" s="5"/>
      <c r="H29" s="5" t="s">
        <v>297</v>
      </c>
      <c r="I29" s="5" t="s">
        <v>298</v>
      </c>
      <c r="J29" s="18"/>
      <c r="K29" s="18"/>
      <c r="L29" s="5" t="str">
        <f aca="false">IF(J29&lt;&gt;"",J29,IF($J$25="Freigeben","Freigeben",""))</f>
        <v/>
      </c>
    </row>
    <row r="30" customFormat="false" ht="111" hidden="false" customHeight="true" outlineLevel="0" collapsed="false">
      <c r="A30" s="19" t="s">
        <v>274</v>
      </c>
      <c r="B30" s="19" t="s">
        <v>1494</v>
      </c>
      <c r="C30" s="20"/>
      <c r="D30" s="20" t="s">
        <v>1495</v>
      </c>
      <c r="E30" s="20"/>
      <c r="F30" s="20"/>
      <c r="G30" s="20"/>
      <c r="H30" s="20" t="s">
        <v>1496</v>
      </c>
      <c r="I30" s="20" t="s">
        <v>1327</v>
      </c>
      <c r="J30" s="18"/>
      <c r="K30" s="20"/>
      <c r="L30" s="20"/>
    </row>
    <row r="31" customFormat="false" ht="30" hidden="false" customHeight="true" outlineLevel="0" collapsed="false">
      <c r="A31" s="5" t="s">
        <v>279</v>
      </c>
      <c r="B31" s="5" t="s">
        <v>1497</v>
      </c>
      <c r="C31" s="5" t="n">
        <v>100</v>
      </c>
      <c r="D31" s="5" t="s">
        <v>1498</v>
      </c>
      <c r="E31" s="21" t="s">
        <v>128</v>
      </c>
      <c r="F31" s="5" t="s">
        <v>653</v>
      </c>
      <c r="G31" s="5" t="s">
        <v>1499</v>
      </c>
      <c r="H31" s="5"/>
      <c r="I31" s="5" t="s">
        <v>284</v>
      </c>
      <c r="J31" s="18"/>
      <c r="K31" s="18"/>
      <c r="L31" s="5" t="str">
        <f aca="false">IF(J31&lt;&gt;"",J31,IF($J$30="Freigeben","Freigeben",""))</f>
        <v/>
      </c>
    </row>
    <row r="32" customFormat="false" ht="30" hidden="false" customHeight="true" outlineLevel="0" collapsed="false">
      <c r="A32" s="5" t="s">
        <v>279</v>
      </c>
      <c r="B32" s="5" t="s">
        <v>1500</v>
      </c>
      <c r="C32" s="5" t="n">
        <v>100</v>
      </c>
      <c r="D32" s="5" t="s">
        <v>1501</v>
      </c>
      <c r="E32" s="21" t="s">
        <v>128</v>
      </c>
      <c r="F32" s="5" t="s">
        <v>653</v>
      </c>
      <c r="G32" s="5" t="s">
        <v>1499</v>
      </c>
      <c r="H32" s="5"/>
      <c r="I32" s="5" t="s">
        <v>284</v>
      </c>
      <c r="J32" s="18"/>
      <c r="K32" s="18"/>
      <c r="L32" s="5" t="str">
        <f aca="false">IF(J32&lt;&gt;"",J32,IF($J$30="Freigeben","Freigeben",""))</f>
        <v/>
      </c>
    </row>
    <row r="33" customFormat="false" ht="30" hidden="false" customHeight="true" outlineLevel="0" collapsed="false">
      <c r="A33" s="24" t="s">
        <v>279</v>
      </c>
      <c r="B33" s="24" t="s">
        <v>1502</v>
      </c>
      <c r="C33" s="24" t="n">
        <v>100</v>
      </c>
      <c r="D33" s="24" t="s">
        <v>1503</v>
      </c>
      <c r="E33" s="24" t="s">
        <v>128</v>
      </c>
      <c r="F33" s="24" t="s">
        <v>1504</v>
      </c>
      <c r="G33" s="24" t="s">
        <v>1505</v>
      </c>
      <c r="H33" s="24" t="s">
        <v>1506</v>
      </c>
      <c r="I33" s="24" t="s">
        <v>427</v>
      </c>
      <c r="J33" s="24"/>
      <c r="K33" s="24"/>
      <c r="L33" s="24"/>
    </row>
    <row r="34" customFormat="false" ht="30" hidden="false" customHeight="true" outlineLevel="0" collapsed="false">
      <c r="A34" s="5" t="s">
        <v>279</v>
      </c>
      <c r="B34" s="5" t="s">
        <v>1507</v>
      </c>
      <c r="C34" s="5" t="n">
        <v>100</v>
      </c>
      <c r="D34" s="5" t="s">
        <v>1508</v>
      </c>
      <c r="E34" s="22" t="s">
        <v>194</v>
      </c>
      <c r="F34" s="5" t="s">
        <v>1509</v>
      </c>
      <c r="G34" s="5" t="s">
        <v>1510</v>
      </c>
      <c r="H34" s="5"/>
      <c r="I34" s="5" t="s">
        <v>284</v>
      </c>
      <c r="J34" s="18"/>
      <c r="K34" s="18"/>
      <c r="L34" s="5" t="str">
        <f aca="false">IF(J34&lt;&gt;"",J34,IF($J$30="Freigeben","Freigeben",""))</f>
        <v/>
      </c>
    </row>
    <row r="35" customFormat="false" ht="43.5" hidden="false" customHeight="true" outlineLevel="0" collapsed="false">
      <c r="A35" s="5" t="s">
        <v>279</v>
      </c>
      <c r="B35" s="5" t="s">
        <v>1511</v>
      </c>
      <c r="C35" s="5" t="n">
        <v>1</v>
      </c>
      <c r="D35" s="5" t="s">
        <v>1512</v>
      </c>
      <c r="E35" s="16" t="s">
        <v>295</v>
      </c>
      <c r="F35" s="5" t="s">
        <v>296</v>
      </c>
      <c r="G35" s="5"/>
      <c r="H35" s="5" t="s">
        <v>297</v>
      </c>
      <c r="I35" s="5" t="s">
        <v>298</v>
      </c>
      <c r="J35" s="18"/>
      <c r="K35" s="18"/>
      <c r="L35" s="5" t="str">
        <f aca="false">IF(J35&lt;&gt;"",J35,IF($J$30="Freigeben","Freigeben",""))</f>
        <v/>
      </c>
    </row>
    <row r="36" customFormat="false" ht="124.5" hidden="false" customHeight="true" outlineLevel="0" collapsed="false">
      <c r="A36" s="19" t="s">
        <v>274</v>
      </c>
      <c r="B36" s="19" t="s">
        <v>79</v>
      </c>
      <c r="C36" s="20"/>
      <c r="D36" s="20" t="s">
        <v>1513</v>
      </c>
      <c r="E36" s="20"/>
      <c r="F36" s="20"/>
      <c r="G36" s="20"/>
      <c r="H36" s="20" t="s">
        <v>1514</v>
      </c>
      <c r="I36" s="20" t="s">
        <v>460</v>
      </c>
      <c r="J36" s="18"/>
      <c r="K36" s="20"/>
      <c r="L36" s="20"/>
    </row>
    <row r="37" customFormat="false" ht="57" hidden="false" customHeight="true" outlineLevel="0" collapsed="false">
      <c r="A37" s="5" t="s">
        <v>279</v>
      </c>
      <c r="B37" s="23" t="s">
        <v>1515</v>
      </c>
      <c r="C37" s="5" t="n">
        <v>100</v>
      </c>
      <c r="D37" s="5" t="s">
        <v>1516</v>
      </c>
      <c r="E37" s="21" t="s">
        <v>128</v>
      </c>
      <c r="F37" s="5" t="s">
        <v>1517</v>
      </c>
      <c r="G37" s="5" t="s">
        <v>1518</v>
      </c>
      <c r="H37" s="5" t="s">
        <v>1519</v>
      </c>
      <c r="I37" s="23" t="s">
        <v>307</v>
      </c>
      <c r="J37" s="18"/>
      <c r="K37" s="18"/>
      <c r="L37" s="5" t="str">
        <f aca="false">IF(J37&lt;&gt;"",J37,IF($J$36="Freigeben","Freigeben",""))</f>
        <v/>
      </c>
    </row>
    <row r="38" customFormat="false" ht="30" hidden="false" customHeight="true" outlineLevel="0" collapsed="false">
      <c r="A38" s="5" t="s">
        <v>279</v>
      </c>
      <c r="B38" s="5" t="s">
        <v>1520</v>
      </c>
      <c r="C38" s="5" t="n">
        <v>100</v>
      </c>
      <c r="D38" s="5" t="s">
        <v>1521</v>
      </c>
      <c r="E38" s="21" t="s">
        <v>128</v>
      </c>
      <c r="F38" s="5" t="s">
        <v>1522</v>
      </c>
      <c r="G38" s="5" t="s">
        <v>1523</v>
      </c>
      <c r="H38" s="5"/>
      <c r="I38" s="5" t="s">
        <v>284</v>
      </c>
      <c r="J38" s="18"/>
      <c r="K38" s="18"/>
      <c r="L38" s="5" t="str">
        <f aca="false">IF(J38&lt;&gt;"",J38,IF($J$36="Freigeben","Freigeben",""))</f>
        <v/>
      </c>
    </row>
    <row r="39" customFormat="false" ht="43.5" hidden="false" customHeight="true" outlineLevel="0" collapsed="false">
      <c r="A39" s="5" t="s">
        <v>279</v>
      </c>
      <c r="B39" s="5" t="s">
        <v>1524</v>
      </c>
      <c r="C39" s="5" t="n">
        <v>100</v>
      </c>
      <c r="D39" s="5" t="s">
        <v>1525</v>
      </c>
      <c r="E39" s="21" t="s">
        <v>128</v>
      </c>
      <c r="F39" s="5" t="s">
        <v>1526</v>
      </c>
      <c r="G39" s="5" t="s">
        <v>1527</v>
      </c>
      <c r="H39" s="5"/>
      <c r="I39" s="5" t="s">
        <v>284</v>
      </c>
      <c r="J39" s="18"/>
      <c r="K39" s="18"/>
      <c r="L39" s="5" t="str">
        <f aca="false">IF(J39&lt;&gt;"",J39,IF($J$36="Freigeben","Freigeben",""))</f>
        <v/>
      </c>
    </row>
    <row r="40" customFormat="false" ht="43.5" hidden="false" customHeight="true" outlineLevel="0" collapsed="false">
      <c r="A40" s="5" t="s">
        <v>279</v>
      </c>
      <c r="B40" s="23" t="s">
        <v>1528</v>
      </c>
      <c r="C40" s="5" t="n">
        <v>100</v>
      </c>
      <c r="D40" s="5" t="s">
        <v>1529</v>
      </c>
      <c r="E40" s="22" t="s">
        <v>194</v>
      </c>
      <c r="F40" s="5" t="s">
        <v>1530</v>
      </c>
      <c r="G40" s="5" t="s">
        <v>1531</v>
      </c>
      <c r="H40" s="5" t="s">
        <v>1532</v>
      </c>
      <c r="I40" s="23" t="s">
        <v>307</v>
      </c>
      <c r="J40" s="18"/>
      <c r="K40" s="18"/>
      <c r="L40" s="5" t="str">
        <f aca="false">IF(J40&lt;&gt;"",J40,IF($J$36="Freigeben","Freigeben",""))</f>
        <v/>
      </c>
    </row>
    <row r="41" customFormat="false" ht="43.5" hidden="false" customHeight="true" outlineLevel="0" collapsed="false">
      <c r="A41" s="5" t="s">
        <v>279</v>
      </c>
      <c r="B41" s="5" t="s">
        <v>1533</v>
      </c>
      <c r="C41" s="5" t="n">
        <v>1</v>
      </c>
      <c r="D41" s="5" t="s">
        <v>1534</v>
      </c>
      <c r="E41" s="16" t="s">
        <v>295</v>
      </c>
      <c r="F41" s="5" t="s">
        <v>296</v>
      </c>
      <c r="G41" s="5"/>
      <c r="H41" s="5" t="s">
        <v>297</v>
      </c>
      <c r="I41" s="5" t="s">
        <v>298</v>
      </c>
      <c r="J41" s="18"/>
      <c r="K41" s="18"/>
      <c r="L41" s="5" t="str">
        <f aca="false">IF(J41&lt;&gt;"",J41,IF($J$36="Freigeben","Freigeben",""))</f>
        <v/>
      </c>
    </row>
    <row r="42" customFormat="false" ht="97.5" hidden="false" customHeight="true" outlineLevel="0" collapsed="false">
      <c r="A42" s="19" t="s">
        <v>274</v>
      </c>
      <c r="B42" s="19" t="s">
        <v>1535</v>
      </c>
      <c r="C42" s="20"/>
      <c r="D42" s="20" t="s">
        <v>1536</v>
      </c>
      <c r="E42" s="20"/>
      <c r="F42" s="20"/>
      <c r="G42" s="20"/>
      <c r="H42" s="20" t="s">
        <v>1537</v>
      </c>
      <c r="I42" s="20" t="s">
        <v>278</v>
      </c>
      <c r="J42" s="18"/>
      <c r="K42" s="20"/>
      <c r="L42" s="20"/>
    </row>
    <row r="43" customFormat="false" ht="111" hidden="false" customHeight="true" outlineLevel="0" collapsed="false">
      <c r="A43" s="5" t="s">
        <v>279</v>
      </c>
      <c r="B43" s="23" t="s">
        <v>1538</v>
      </c>
      <c r="C43" s="5" t="n">
        <v>210</v>
      </c>
      <c r="D43" s="5" t="s">
        <v>1539</v>
      </c>
      <c r="E43" s="21" t="s">
        <v>128</v>
      </c>
      <c r="F43" s="5" t="s">
        <v>1182</v>
      </c>
      <c r="G43" s="5" t="s">
        <v>1183</v>
      </c>
      <c r="H43" s="5" t="s">
        <v>1540</v>
      </c>
      <c r="I43" s="23" t="s">
        <v>335</v>
      </c>
      <c r="J43" s="18"/>
      <c r="K43" s="18"/>
      <c r="L43" s="5" t="str">
        <f aca="false">IF(J43&lt;&gt;"",J43,IF($J$42="Freigeben","Freigeben",""))</f>
        <v/>
      </c>
    </row>
    <row r="44" customFormat="false" ht="70.5" hidden="false" customHeight="true" outlineLevel="0" collapsed="false">
      <c r="A44" s="5" t="s">
        <v>279</v>
      </c>
      <c r="B44" s="23" t="s">
        <v>1541</v>
      </c>
      <c r="C44" s="5" t="n">
        <v>200</v>
      </c>
      <c r="D44" s="5" t="s">
        <v>1542</v>
      </c>
      <c r="E44" s="16" t="s">
        <v>295</v>
      </c>
      <c r="F44" s="5"/>
      <c r="G44" s="5"/>
      <c r="H44" s="5" t="s">
        <v>1543</v>
      </c>
      <c r="I44" s="23" t="s">
        <v>877</v>
      </c>
      <c r="J44" s="18"/>
      <c r="K44" s="18"/>
      <c r="L44" s="5" t="str">
        <f aca="false">IF(J44&lt;&gt;"",J44,IF($J$42="Freigeben","Freigeben",""))</f>
        <v/>
      </c>
    </row>
    <row r="45" customFormat="false" ht="70.5" hidden="false" customHeight="true" outlineLevel="0" collapsed="false">
      <c r="A45" s="5" t="s">
        <v>279</v>
      </c>
      <c r="B45" s="23" t="s">
        <v>1544</v>
      </c>
      <c r="C45" s="5" t="n">
        <v>100</v>
      </c>
      <c r="D45" s="5" t="s">
        <v>1545</v>
      </c>
      <c r="E45" s="21" t="s">
        <v>128</v>
      </c>
      <c r="F45" s="5" t="s">
        <v>1546</v>
      </c>
      <c r="G45" s="5" t="s">
        <v>1547</v>
      </c>
      <c r="H45" s="5" t="s">
        <v>1195</v>
      </c>
      <c r="I45" s="23" t="s">
        <v>335</v>
      </c>
      <c r="J45" s="18"/>
      <c r="K45" s="18"/>
      <c r="L45" s="5" t="str">
        <f aca="false">IF(J45&lt;&gt;"",J45,IF($J$42="Freigeben","Freigeben",""))</f>
        <v/>
      </c>
    </row>
    <row r="46" customFormat="false" ht="43.5" hidden="false" customHeight="true" outlineLevel="0" collapsed="false">
      <c r="A46" s="5" t="s">
        <v>279</v>
      </c>
      <c r="B46" s="5" t="s">
        <v>1548</v>
      </c>
      <c r="C46" s="5" t="n">
        <v>1</v>
      </c>
      <c r="D46" s="5" t="s">
        <v>1549</v>
      </c>
      <c r="E46" s="16" t="s">
        <v>295</v>
      </c>
      <c r="F46" s="5" t="s">
        <v>296</v>
      </c>
      <c r="G46" s="5"/>
      <c r="H46" s="5" t="s">
        <v>297</v>
      </c>
      <c r="I46" s="5" t="s">
        <v>298</v>
      </c>
      <c r="J46" s="18"/>
      <c r="K46" s="18"/>
      <c r="L46" s="5" t="str">
        <f aca="false">IF(J46&lt;&gt;"",J46,IF($J$42="Freigeben","Freigeben",""))</f>
        <v/>
      </c>
    </row>
  </sheetData>
  <sheetProtection sheet="true" formatColumns="false" formatRows="false" sort="false" autoFilter="false"/>
  <autoFilter ref="A1:L46"/>
  <conditionalFormatting sqref="K2:K46">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6 J11 J17 J25 J30 J36 J42"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5 J7 J10 J12:J16 J18:J24 J26:J29 J31:J32 J34:J35 J37:J41 J43:J46"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97.5" hidden="false" customHeight="true" outlineLevel="0" collapsed="false">
      <c r="A2" s="19" t="s">
        <v>274</v>
      </c>
      <c r="B2" s="19" t="s">
        <v>150</v>
      </c>
      <c r="C2" s="20"/>
      <c r="D2" s="20" t="s">
        <v>1550</v>
      </c>
      <c r="E2" s="20"/>
      <c r="F2" s="20"/>
      <c r="G2" s="20"/>
      <c r="H2" s="20" t="s">
        <v>1551</v>
      </c>
      <c r="I2" s="20" t="s">
        <v>322</v>
      </c>
      <c r="J2" s="18"/>
      <c r="K2" s="20"/>
      <c r="L2" s="20"/>
    </row>
    <row r="3" customFormat="false" ht="70.5" hidden="false" customHeight="true" outlineLevel="0" collapsed="false">
      <c r="A3" s="5" t="s">
        <v>279</v>
      </c>
      <c r="B3" s="23" t="s">
        <v>1552</v>
      </c>
      <c r="C3" s="5" t="n">
        <v>100</v>
      </c>
      <c r="D3" s="5" t="s">
        <v>1553</v>
      </c>
      <c r="E3" s="21" t="s">
        <v>128</v>
      </c>
      <c r="F3" s="5" t="s">
        <v>1554</v>
      </c>
      <c r="G3" s="5" t="s">
        <v>1555</v>
      </c>
      <c r="H3" s="5" t="s">
        <v>1556</v>
      </c>
      <c r="I3" s="23" t="s">
        <v>307</v>
      </c>
      <c r="J3" s="18"/>
      <c r="K3" s="18"/>
      <c r="L3" s="5" t="str">
        <f aca="false">IF(J3&lt;&gt;"",J3,IF($J$2="Freigeben","Freigeben",""))</f>
        <v/>
      </c>
    </row>
    <row r="4" customFormat="false" ht="70.5" hidden="false" customHeight="true" outlineLevel="0" collapsed="false">
      <c r="A4" s="5" t="s">
        <v>279</v>
      </c>
      <c r="B4" s="23" t="s">
        <v>1557</v>
      </c>
      <c r="C4" s="5" t="n">
        <v>100</v>
      </c>
      <c r="D4" s="5" t="s">
        <v>1558</v>
      </c>
      <c r="E4" s="21" t="s">
        <v>128</v>
      </c>
      <c r="F4" s="5" t="s">
        <v>1559</v>
      </c>
      <c r="G4" s="5" t="s">
        <v>1560</v>
      </c>
      <c r="H4" s="5" t="s">
        <v>1556</v>
      </c>
      <c r="I4" s="23" t="s">
        <v>307</v>
      </c>
      <c r="J4" s="18"/>
      <c r="K4" s="18"/>
      <c r="L4" s="5" t="str">
        <f aca="false">IF(J4&lt;&gt;"",J4,IF($J$2="Freigeben","Freigeben",""))</f>
        <v/>
      </c>
    </row>
    <row r="5" customFormat="false" ht="70.5" hidden="false" customHeight="true" outlineLevel="0" collapsed="false">
      <c r="A5" s="5" t="s">
        <v>279</v>
      </c>
      <c r="B5" s="23" t="s">
        <v>1561</v>
      </c>
      <c r="C5" s="5" t="n">
        <v>100</v>
      </c>
      <c r="D5" s="5" t="s">
        <v>1562</v>
      </c>
      <c r="E5" s="21" t="s">
        <v>128</v>
      </c>
      <c r="F5" s="5" t="s">
        <v>1563</v>
      </c>
      <c r="G5" s="5" t="s">
        <v>1564</v>
      </c>
      <c r="H5" s="5" t="s">
        <v>1556</v>
      </c>
      <c r="I5" s="23" t="s">
        <v>307</v>
      </c>
      <c r="J5" s="18"/>
      <c r="K5" s="18"/>
      <c r="L5" s="5" t="str">
        <f aca="false">IF(J5&lt;&gt;"",J5,IF($J$2="Freigeben","Freigeben",""))</f>
        <v/>
      </c>
    </row>
    <row r="6" customFormat="false" ht="70.5" hidden="false" customHeight="true" outlineLevel="0" collapsed="false">
      <c r="A6" s="5" t="s">
        <v>279</v>
      </c>
      <c r="B6" s="23" t="s">
        <v>1565</v>
      </c>
      <c r="C6" s="5" t="n">
        <v>100</v>
      </c>
      <c r="D6" s="5" t="s">
        <v>1566</v>
      </c>
      <c r="E6" s="21" t="s">
        <v>128</v>
      </c>
      <c r="F6" s="5" t="s">
        <v>1567</v>
      </c>
      <c r="G6" s="5" t="s">
        <v>1568</v>
      </c>
      <c r="H6" s="5" t="s">
        <v>1556</v>
      </c>
      <c r="I6" s="23" t="s">
        <v>307</v>
      </c>
      <c r="J6" s="18"/>
      <c r="K6" s="18"/>
      <c r="L6" s="5" t="str">
        <f aca="false">IF(J6&lt;&gt;"",J6,IF($J$2="Freigeben","Freigeben",""))</f>
        <v/>
      </c>
    </row>
    <row r="7" customFormat="false" ht="43.5" hidden="false" customHeight="true" outlineLevel="0" collapsed="false">
      <c r="A7" s="5" t="s">
        <v>279</v>
      </c>
      <c r="B7" s="23" t="s">
        <v>1569</v>
      </c>
      <c r="C7" s="5" t="n">
        <v>100</v>
      </c>
      <c r="D7" s="5" t="s">
        <v>1570</v>
      </c>
      <c r="E7" s="22" t="s">
        <v>194</v>
      </c>
      <c r="F7" s="5" t="s">
        <v>1571</v>
      </c>
      <c r="G7" s="5" t="s">
        <v>1572</v>
      </c>
      <c r="H7" s="5" t="s">
        <v>1573</v>
      </c>
      <c r="I7" s="23" t="s">
        <v>335</v>
      </c>
      <c r="J7" s="18"/>
      <c r="K7" s="18"/>
      <c r="L7" s="5" t="str">
        <f aca="false">IF(J7&lt;&gt;"",J7,IF($J$2="Freigeben","Freigeben",""))</f>
        <v/>
      </c>
    </row>
    <row r="8" customFormat="false" ht="43.5" hidden="false" customHeight="true" outlineLevel="0" collapsed="false">
      <c r="A8" s="5" t="s">
        <v>279</v>
      </c>
      <c r="B8" s="5" t="s">
        <v>1574</v>
      </c>
      <c r="C8" s="5" t="n">
        <v>1</v>
      </c>
      <c r="D8" s="5" t="s">
        <v>1575</v>
      </c>
      <c r="E8" s="16" t="s">
        <v>295</v>
      </c>
      <c r="F8" s="5" t="s">
        <v>296</v>
      </c>
      <c r="G8" s="5"/>
      <c r="H8" s="5" t="s">
        <v>297</v>
      </c>
      <c r="I8" s="5" t="s">
        <v>298</v>
      </c>
      <c r="J8" s="18"/>
      <c r="K8" s="18"/>
      <c r="L8" s="5" t="str">
        <f aca="false">IF(J8&lt;&gt;"",J8,IF($J$2="Freigeben","Freigeben",""))</f>
        <v/>
      </c>
    </row>
    <row r="9" customFormat="false" ht="97.5" hidden="false" customHeight="true" outlineLevel="0" collapsed="false">
      <c r="A9" s="19" t="s">
        <v>274</v>
      </c>
      <c r="B9" s="19" t="s">
        <v>1576</v>
      </c>
      <c r="C9" s="20"/>
      <c r="D9" s="20" t="s">
        <v>1577</v>
      </c>
      <c r="E9" s="20"/>
      <c r="F9" s="20"/>
      <c r="G9" s="20"/>
      <c r="H9" s="20" t="s">
        <v>1578</v>
      </c>
      <c r="I9" s="20" t="s">
        <v>460</v>
      </c>
      <c r="J9" s="18"/>
      <c r="K9" s="20"/>
      <c r="L9" s="20"/>
    </row>
    <row r="10" customFormat="false" ht="70.5" hidden="false" customHeight="true" outlineLevel="0" collapsed="false">
      <c r="A10" s="5" t="s">
        <v>279</v>
      </c>
      <c r="B10" s="23" t="s">
        <v>1579</v>
      </c>
      <c r="C10" s="5" t="n">
        <v>100</v>
      </c>
      <c r="D10" s="5" t="s">
        <v>1580</v>
      </c>
      <c r="E10" s="22" t="s">
        <v>194</v>
      </c>
      <c r="F10" s="5" t="s">
        <v>1581</v>
      </c>
      <c r="G10" s="5" t="s">
        <v>1582</v>
      </c>
      <c r="H10" s="5" t="s">
        <v>1556</v>
      </c>
      <c r="I10" s="23" t="s">
        <v>307</v>
      </c>
      <c r="J10" s="18"/>
      <c r="K10" s="18"/>
      <c r="L10" s="5" t="str">
        <f aca="false">IF(J10&lt;&gt;"",J10,IF($J$9="Freigeben","Freigeben",""))</f>
        <v/>
      </c>
    </row>
    <row r="11" customFormat="false" ht="70.5" hidden="false" customHeight="true" outlineLevel="0" collapsed="false">
      <c r="A11" s="5" t="s">
        <v>279</v>
      </c>
      <c r="B11" s="23" t="s">
        <v>1583</v>
      </c>
      <c r="C11" s="5" t="n">
        <v>100</v>
      </c>
      <c r="D11" s="5" t="s">
        <v>1584</v>
      </c>
      <c r="E11" s="22" t="s">
        <v>194</v>
      </c>
      <c r="F11" s="5" t="s">
        <v>1585</v>
      </c>
      <c r="G11" s="5" t="s">
        <v>1586</v>
      </c>
      <c r="H11" s="5" t="s">
        <v>1556</v>
      </c>
      <c r="I11" s="23" t="s">
        <v>307</v>
      </c>
      <c r="J11" s="18"/>
      <c r="K11" s="18"/>
      <c r="L11" s="5" t="str">
        <f aca="false">IF(J11&lt;&gt;"",J11,IF($J$9="Freigeben","Freigeben",""))</f>
        <v/>
      </c>
    </row>
    <row r="12" customFormat="false" ht="70.5" hidden="false" customHeight="true" outlineLevel="0" collapsed="false">
      <c r="A12" s="5" t="s">
        <v>279</v>
      </c>
      <c r="B12" s="23" t="s">
        <v>1587</v>
      </c>
      <c r="C12" s="5" t="n">
        <v>100</v>
      </c>
      <c r="D12" s="5" t="s">
        <v>1588</v>
      </c>
      <c r="E12" s="22" t="s">
        <v>194</v>
      </c>
      <c r="F12" s="5" t="s">
        <v>1589</v>
      </c>
      <c r="G12" s="5" t="s">
        <v>1590</v>
      </c>
      <c r="H12" s="5" t="s">
        <v>1556</v>
      </c>
      <c r="I12" s="23" t="s">
        <v>307</v>
      </c>
      <c r="J12" s="18"/>
      <c r="K12" s="18"/>
      <c r="L12" s="5" t="str">
        <f aca="false">IF(J12&lt;&gt;"",J12,IF($J$9="Freigeben","Freigeben",""))</f>
        <v/>
      </c>
    </row>
    <row r="13" customFormat="false" ht="70.5" hidden="false" customHeight="true" outlineLevel="0" collapsed="false">
      <c r="A13" s="5" t="s">
        <v>279</v>
      </c>
      <c r="B13" s="23" t="s">
        <v>1591</v>
      </c>
      <c r="C13" s="5" t="n">
        <v>100</v>
      </c>
      <c r="D13" s="5" t="s">
        <v>1592</v>
      </c>
      <c r="E13" s="22" t="s">
        <v>194</v>
      </c>
      <c r="F13" s="5" t="s">
        <v>1593</v>
      </c>
      <c r="G13" s="5" t="s">
        <v>1594</v>
      </c>
      <c r="H13" s="5" t="s">
        <v>1556</v>
      </c>
      <c r="I13" s="23" t="s">
        <v>307</v>
      </c>
      <c r="J13" s="18"/>
      <c r="K13" s="18"/>
      <c r="L13" s="5" t="str">
        <f aca="false">IF(J13&lt;&gt;"",J13,IF($J$9="Freigeben","Freigeben",""))</f>
        <v/>
      </c>
    </row>
    <row r="14" customFormat="false" ht="43.5" hidden="false" customHeight="true" outlineLevel="0" collapsed="false">
      <c r="A14" s="5" t="s">
        <v>279</v>
      </c>
      <c r="B14" s="5" t="s">
        <v>1595</v>
      </c>
      <c r="C14" s="5" t="n">
        <v>1</v>
      </c>
      <c r="D14" s="5" t="s">
        <v>1596</v>
      </c>
      <c r="E14" s="16" t="s">
        <v>295</v>
      </c>
      <c r="F14" s="5" t="s">
        <v>296</v>
      </c>
      <c r="G14" s="5"/>
      <c r="H14" s="5" t="s">
        <v>297</v>
      </c>
      <c r="I14" s="5" t="s">
        <v>298</v>
      </c>
      <c r="J14" s="18"/>
      <c r="K14" s="18"/>
      <c r="L14" s="5" t="str">
        <f aca="false">IF(J14&lt;&gt;"",J14,IF($J$9="Freigeben","Freigeben",""))</f>
        <v/>
      </c>
    </row>
    <row r="15" customFormat="false" ht="97.5" hidden="false" customHeight="true" outlineLevel="0" collapsed="false">
      <c r="A15" s="19" t="s">
        <v>274</v>
      </c>
      <c r="B15" s="19" t="s">
        <v>1597</v>
      </c>
      <c r="C15" s="20"/>
      <c r="D15" s="20" t="s">
        <v>1598</v>
      </c>
      <c r="E15" s="20"/>
      <c r="F15" s="20"/>
      <c r="G15" s="20"/>
      <c r="H15" s="20" t="s">
        <v>1599</v>
      </c>
      <c r="I15" s="20" t="s">
        <v>460</v>
      </c>
      <c r="J15" s="18"/>
      <c r="K15" s="20"/>
      <c r="L15" s="20"/>
    </row>
    <row r="16" customFormat="false" ht="70.5" hidden="false" customHeight="true" outlineLevel="0" collapsed="false">
      <c r="A16" s="5" t="s">
        <v>279</v>
      </c>
      <c r="B16" s="23" t="s">
        <v>1600</v>
      </c>
      <c r="C16" s="5" t="n">
        <v>100</v>
      </c>
      <c r="D16" s="5" t="s">
        <v>1601</v>
      </c>
      <c r="E16" s="22" t="s">
        <v>194</v>
      </c>
      <c r="F16" s="5" t="s">
        <v>1602</v>
      </c>
      <c r="G16" s="5" t="s">
        <v>1603</v>
      </c>
      <c r="H16" s="5" t="s">
        <v>1556</v>
      </c>
      <c r="I16" s="23" t="s">
        <v>307</v>
      </c>
      <c r="J16" s="18"/>
      <c r="K16" s="18"/>
      <c r="L16" s="5" t="str">
        <f aca="false">IF(J16&lt;&gt;"",J16,IF($J$15="Freigeben","Freigeben",""))</f>
        <v/>
      </c>
    </row>
    <row r="17" customFormat="false" ht="70.5" hidden="false" customHeight="true" outlineLevel="0" collapsed="false">
      <c r="A17" s="5" t="s">
        <v>279</v>
      </c>
      <c r="B17" s="23" t="s">
        <v>1604</v>
      </c>
      <c r="C17" s="5" t="n">
        <v>100</v>
      </c>
      <c r="D17" s="5" t="s">
        <v>1605</v>
      </c>
      <c r="E17" s="22" t="s">
        <v>194</v>
      </c>
      <c r="F17" s="5" t="s">
        <v>1606</v>
      </c>
      <c r="G17" s="5" t="s">
        <v>1607</v>
      </c>
      <c r="H17" s="5" t="s">
        <v>1556</v>
      </c>
      <c r="I17" s="23" t="s">
        <v>307</v>
      </c>
      <c r="J17" s="18"/>
      <c r="K17" s="18"/>
      <c r="L17" s="5" t="str">
        <f aca="false">IF(J17&lt;&gt;"",J17,IF($J$15="Freigeben","Freigeben",""))</f>
        <v/>
      </c>
    </row>
    <row r="18" customFormat="false" ht="70.5" hidden="false" customHeight="true" outlineLevel="0" collapsed="false">
      <c r="A18" s="5" t="s">
        <v>279</v>
      </c>
      <c r="B18" s="23" t="s">
        <v>1608</v>
      </c>
      <c r="C18" s="5" t="n">
        <v>100</v>
      </c>
      <c r="D18" s="5" t="s">
        <v>1609</v>
      </c>
      <c r="E18" s="22" t="s">
        <v>194</v>
      </c>
      <c r="F18" s="5" t="s">
        <v>1610</v>
      </c>
      <c r="G18" s="5" t="s">
        <v>1611</v>
      </c>
      <c r="H18" s="5" t="s">
        <v>1556</v>
      </c>
      <c r="I18" s="23" t="s">
        <v>307</v>
      </c>
      <c r="J18" s="18"/>
      <c r="K18" s="18"/>
      <c r="L18" s="5" t="str">
        <f aca="false">IF(J18&lt;&gt;"",J18,IF($J$15="Freigeben","Freigeben",""))</f>
        <v/>
      </c>
    </row>
    <row r="19" customFormat="false" ht="70.5" hidden="false" customHeight="true" outlineLevel="0" collapsed="false">
      <c r="A19" s="5" t="s">
        <v>279</v>
      </c>
      <c r="B19" s="23" t="s">
        <v>1612</v>
      </c>
      <c r="C19" s="5" t="n">
        <v>100</v>
      </c>
      <c r="D19" s="5" t="s">
        <v>1613</v>
      </c>
      <c r="E19" s="22" t="s">
        <v>194</v>
      </c>
      <c r="F19" s="5" t="s">
        <v>1614</v>
      </c>
      <c r="G19" s="5" t="s">
        <v>1615</v>
      </c>
      <c r="H19" s="5" t="s">
        <v>1556</v>
      </c>
      <c r="I19" s="23" t="s">
        <v>307</v>
      </c>
      <c r="J19" s="18"/>
      <c r="K19" s="18"/>
      <c r="L19" s="5" t="str">
        <f aca="false">IF(J19&lt;&gt;"",J19,IF($J$15="Freigeben","Freigeben",""))</f>
        <v/>
      </c>
    </row>
    <row r="20" customFormat="false" ht="43.5" hidden="false" customHeight="true" outlineLevel="0" collapsed="false">
      <c r="A20" s="5" t="s">
        <v>279</v>
      </c>
      <c r="B20" s="5" t="s">
        <v>1616</v>
      </c>
      <c r="C20" s="5" t="n">
        <v>1</v>
      </c>
      <c r="D20" s="5" t="s">
        <v>1617</v>
      </c>
      <c r="E20" s="16" t="s">
        <v>295</v>
      </c>
      <c r="F20" s="5" t="s">
        <v>296</v>
      </c>
      <c r="G20" s="5"/>
      <c r="H20" s="5" t="s">
        <v>297</v>
      </c>
      <c r="I20" s="5" t="s">
        <v>298</v>
      </c>
      <c r="J20" s="18"/>
      <c r="K20" s="18"/>
      <c r="L20" s="5" t="str">
        <f aca="false">IF(J20&lt;&gt;"",J20,IF($J$15="Freigeben","Freigeben",""))</f>
        <v/>
      </c>
    </row>
    <row r="21" customFormat="false" ht="97.5" hidden="false" customHeight="true" outlineLevel="0" collapsed="false">
      <c r="A21" s="19" t="s">
        <v>274</v>
      </c>
      <c r="B21" s="19" t="s">
        <v>1618</v>
      </c>
      <c r="C21" s="20"/>
      <c r="D21" s="20" t="s">
        <v>1619</v>
      </c>
      <c r="E21" s="20"/>
      <c r="F21" s="20"/>
      <c r="G21" s="20"/>
      <c r="H21" s="20" t="s">
        <v>1620</v>
      </c>
      <c r="I21" s="20" t="s">
        <v>1621</v>
      </c>
      <c r="J21" s="18"/>
      <c r="K21" s="20"/>
      <c r="L21" s="20"/>
    </row>
    <row r="22" customFormat="false" ht="43.5" hidden="false" customHeight="true" outlineLevel="0" collapsed="false">
      <c r="A22" s="24" t="s">
        <v>279</v>
      </c>
      <c r="B22" s="24" t="s">
        <v>1622</v>
      </c>
      <c r="C22" s="24" t="n">
        <v>100</v>
      </c>
      <c r="D22" s="24" t="s">
        <v>1623</v>
      </c>
      <c r="E22" s="24" t="s">
        <v>194</v>
      </c>
      <c r="F22" s="24" t="s">
        <v>1624</v>
      </c>
      <c r="G22" s="24" t="s">
        <v>1625</v>
      </c>
      <c r="H22" s="24" t="s">
        <v>1626</v>
      </c>
      <c r="I22" s="24" t="s">
        <v>427</v>
      </c>
      <c r="J22" s="24"/>
      <c r="K22" s="24"/>
      <c r="L22" s="24"/>
    </row>
    <row r="23" customFormat="false" ht="43.5" hidden="false" customHeight="true" outlineLevel="0" collapsed="false">
      <c r="A23" s="24" t="s">
        <v>279</v>
      </c>
      <c r="B23" s="24" t="s">
        <v>1627</v>
      </c>
      <c r="C23" s="24" t="n">
        <v>100</v>
      </c>
      <c r="D23" s="24" t="s">
        <v>1628</v>
      </c>
      <c r="E23" s="24" t="s">
        <v>194</v>
      </c>
      <c r="F23" s="24" t="s">
        <v>1629</v>
      </c>
      <c r="G23" s="24" t="s">
        <v>1630</v>
      </c>
      <c r="H23" s="24" t="s">
        <v>1626</v>
      </c>
      <c r="I23" s="24" t="s">
        <v>427</v>
      </c>
      <c r="J23" s="24"/>
      <c r="K23" s="24"/>
      <c r="L23" s="24"/>
    </row>
    <row r="24" customFormat="false" ht="43.5" hidden="false" customHeight="true" outlineLevel="0" collapsed="false">
      <c r="A24" s="5" t="s">
        <v>279</v>
      </c>
      <c r="B24" s="5" t="s">
        <v>1631</v>
      </c>
      <c r="C24" s="5" t="n">
        <v>1</v>
      </c>
      <c r="D24" s="5" t="s">
        <v>1632</v>
      </c>
      <c r="E24" s="16" t="s">
        <v>295</v>
      </c>
      <c r="F24" s="5" t="s">
        <v>296</v>
      </c>
      <c r="G24" s="5"/>
      <c r="H24" s="5" t="s">
        <v>297</v>
      </c>
      <c r="I24" s="5" t="s">
        <v>298</v>
      </c>
      <c r="J24" s="18"/>
      <c r="K24" s="18"/>
      <c r="L24" s="5" t="str">
        <f aca="false">IF(J24&lt;&gt;"",J24,IF($J$21="Freigeben","Freigeben",""))</f>
        <v/>
      </c>
    </row>
    <row r="25" customFormat="false" ht="97.5" hidden="false" customHeight="true" outlineLevel="0" collapsed="false">
      <c r="A25" s="19" t="s">
        <v>274</v>
      </c>
      <c r="B25" s="19" t="s">
        <v>1633</v>
      </c>
      <c r="C25" s="20"/>
      <c r="D25" s="20" t="s">
        <v>1634</v>
      </c>
      <c r="E25" s="20"/>
      <c r="F25" s="20"/>
      <c r="G25" s="20"/>
      <c r="H25" s="20" t="s">
        <v>1635</v>
      </c>
      <c r="I25" s="20" t="s">
        <v>460</v>
      </c>
      <c r="J25" s="18"/>
      <c r="K25" s="20"/>
      <c r="L25" s="20"/>
    </row>
    <row r="26" customFormat="false" ht="43.5" hidden="false" customHeight="true" outlineLevel="0" collapsed="false">
      <c r="A26" s="5" t="s">
        <v>279</v>
      </c>
      <c r="B26" s="5" t="s">
        <v>1636</v>
      </c>
      <c r="C26" s="5" t="n">
        <v>100</v>
      </c>
      <c r="D26" s="5" t="s">
        <v>1637</v>
      </c>
      <c r="E26" s="22" t="s">
        <v>194</v>
      </c>
      <c r="F26" s="5" t="s">
        <v>1638</v>
      </c>
      <c r="G26" s="5" t="s">
        <v>1639</v>
      </c>
      <c r="H26" s="5" t="s">
        <v>292</v>
      </c>
      <c r="I26" s="5" t="s">
        <v>284</v>
      </c>
      <c r="J26" s="18"/>
      <c r="K26" s="18"/>
      <c r="L26" s="5" t="str">
        <f aca="false">IF(J26&lt;&gt;"",J26,IF($J$25="Freigeben","Freigeben",""))</f>
        <v/>
      </c>
    </row>
    <row r="27" customFormat="false" ht="43.5" hidden="false" customHeight="true" outlineLevel="0" collapsed="false">
      <c r="A27" s="5" t="s">
        <v>279</v>
      </c>
      <c r="B27" s="5" t="s">
        <v>1640</v>
      </c>
      <c r="C27" s="5" t="n">
        <v>100</v>
      </c>
      <c r="D27" s="5" t="s">
        <v>1641</v>
      </c>
      <c r="E27" s="22" t="s">
        <v>194</v>
      </c>
      <c r="F27" s="5" t="s">
        <v>1642</v>
      </c>
      <c r="G27" s="5" t="s">
        <v>1643</v>
      </c>
      <c r="H27" s="5" t="s">
        <v>292</v>
      </c>
      <c r="I27" s="5" t="s">
        <v>284</v>
      </c>
      <c r="J27" s="18"/>
      <c r="K27" s="18"/>
      <c r="L27" s="5" t="str">
        <f aca="false">IF(J27&lt;&gt;"",J27,IF($J$25="Freigeben","Freigeben",""))</f>
        <v/>
      </c>
    </row>
    <row r="28" customFormat="false" ht="30" hidden="false" customHeight="true" outlineLevel="0" collapsed="false">
      <c r="A28" s="5" t="s">
        <v>279</v>
      </c>
      <c r="B28" s="5" t="s">
        <v>1644</v>
      </c>
      <c r="C28" s="5" t="n">
        <v>100</v>
      </c>
      <c r="D28" s="5" t="s">
        <v>1645</v>
      </c>
      <c r="E28" s="22" t="s">
        <v>194</v>
      </c>
      <c r="F28" s="5" t="s">
        <v>1646</v>
      </c>
      <c r="G28" s="5" t="s">
        <v>1647</v>
      </c>
      <c r="H28" s="5" t="s">
        <v>292</v>
      </c>
      <c r="I28" s="5" t="s">
        <v>284</v>
      </c>
      <c r="J28" s="18"/>
      <c r="K28" s="18"/>
      <c r="L28" s="5" t="str">
        <f aca="false">IF(J28&lt;&gt;"",J28,IF($J$25="Freigeben","Freigeben",""))</f>
        <v/>
      </c>
    </row>
    <row r="29" customFormat="false" ht="30" hidden="false" customHeight="true" outlineLevel="0" collapsed="false">
      <c r="A29" s="5" t="s">
        <v>279</v>
      </c>
      <c r="B29" s="5" t="s">
        <v>1648</v>
      </c>
      <c r="C29" s="5" t="n">
        <v>100</v>
      </c>
      <c r="D29" s="5" t="s">
        <v>1649</v>
      </c>
      <c r="E29" s="22" t="s">
        <v>194</v>
      </c>
      <c r="F29" s="5" t="s">
        <v>1650</v>
      </c>
      <c r="G29" s="5" t="s">
        <v>1651</v>
      </c>
      <c r="H29" s="5" t="s">
        <v>292</v>
      </c>
      <c r="I29" s="5" t="s">
        <v>284</v>
      </c>
      <c r="J29" s="18"/>
      <c r="K29" s="18"/>
      <c r="L29" s="5" t="str">
        <f aca="false">IF(J29&lt;&gt;"",J29,IF($J$25="Freigeben","Freigeben",""))</f>
        <v/>
      </c>
    </row>
    <row r="30" customFormat="false" ht="43.5" hidden="false" customHeight="true" outlineLevel="0" collapsed="false">
      <c r="A30" s="5" t="s">
        <v>279</v>
      </c>
      <c r="B30" s="5" t="s">
        <v>1652</v>
      </c>
      <c r="C30" s="5" t="n">
        <v>1</v>
      </c>
      <c r="D30" s="5" t="s">
        <v>1653</v>
      </c>
      <c r="E30" s="16" t="s">
        <v>295</v>
      </c>
      <c r="F30" s="5" t="s">
        <v>296</v>
      </c>
      <c r="G30" s="5"/>
      <c r="H30" s="5" t="s">
        <v>297</v>
      </c>
      <c r="I30" s="5" t="s">
        <v>298</v>
      </c>
      <c r="J30" s="18"/>
      <c r="K30" s="18"/>
      <c r="L30" s="5" t="str">
        <f aca="false">IF(J30&lt;&gt;"",J30,IF($J$25="Freigeben","Freigeben",""))</f>
        <v/>
      </c>
    </row>
    <row r="31" customFormat="false" ht="97.5" hidden="false" customHeight="true" outlineLevel="0" collapsed="false">
      <c r="A31" s="19" t="s">
        <v>274</v>
      </c>
      <c r="B31" s="19" t="s">
        <v>1654</v>
      </c>
      <c r="C31" s="20"/>
      <c r="D31" s="20" t="s">
        <v>1655</v>
      </c>
      <c r="E31" s="20"/>
      <c r="F31" s="20"/>
      <c r="G31" s="20"/>
      <c r="H31" s="20" t="s">
        <v>1656</v>
      </c>
      <c r="I31" s="20" t="s">
        <v>442</v>
      </c>
      <c r="J31" s="18"/>
      <c r="K31" s="20"/>
      <c r="L31" s="20"/>
    </row>
    <row r="32" customFormat="false" ht="97.5" hidden="false" customHeight="true" outlineLevel="0" collapsed="false">
      <c r="A32" s="5" t="s">
        <v>279</v>
      </c>
      <c r="B32" s="23" t="s">
        <v>1657</v>
      </c>
      <c r="C32" s="5" t="n">
        <v>210</v>
      </c>
      <c r="D32" s="5" t="s">
        <v>1658</v>
      </c>
      <c r="E32" s="21" t="s">
        <v>128</v>
      </c>
      <c r="F32" s="5" t="s">
        <v>1659</v>
      </c>
      <c r="G32" s="5" t="s">
        <v>1660</v>
      </c>
      <c r="H32" s="5" t="s">
        <v>1661</v>
      </c>
      <c r="I32" s="23" t="s">
        <v>877</v>
      </c>
      <c r="J32" s="18"/>
      <c r="K32" s="18"/>
      <c r="L32" s="5" t="str">
        <f aca="false">IF(J32&lt;&gt;"",J32,IF($J$31="Freigeben","Freigeben",""))</f>
        <v/>
      </c>
    </row>
    <row r="33" customFormat="false" ht="97.5" hidden="false" customHeight="true" outlineLevel="0" collapsed="false">
      <c r="A33" s="24" t="s">
        <v>279</v>
      </c>
      <c r="B33" s="24" t="s">
        <v>1662</v>
      </c>
      <c r="C33" s="24" t="n">
        <v>200</v>
      </c>
      <c r="D33" s="24" t="s">
        <v>1663</v>
      </c>
      <c r="E33" s="24" t="s">
        <v>194</v>
      </c>
      <c r="F33" s="24" t="s">
        <v>1664</v>
      </c>
      <c r="G33" s="24" t="s">
        <v>1665</v>
      </c>
      <c r="H33" s="24" t="s">
        <v>1666</v>
      </c>
      <c r="I33" s="24" t="s">
        <v>427</v>
      </c>
      <c r="J33" s="24"/>
      <c r="K33" s="24"/>
      <c r="L33" s="24"/>
    </row>
    <row r="34" customFormat="false" ht="57" hidden="false" customHeight="true" outlineLevel="0" collapsed="false">
      <c r="A34" s="5" t="s">
        <v>279</v>
      </c>
      <c r="B34" s="23" t="s">
        <v>1667</v>
      </c>
      <c r="C34" s="5" t="n">
        <v>100</v>
      </c>
      <c r="D34" s="5" t="s">
        <v>1668</v>
      </c>
      <c r="E34" s="21" t="s">
        <v>128</v>
      </c>
      <c r="F34" s="5" t="s">
        <v>1669</v>
      </c>
      <c r="G34" s="5" t="s">
        <v>1670</v>
      </c>
      <c r="H34" s="5" t="s">
        <v>1671</v>
      </c>
      <c r="I34" s="23" t="s">
        <v>335</v>
      </c>
      <c r="J34" s="18"/>
      <c r="K34" s="18"/>
      <c r="L34" s="5" t="str">
        <f aca="false">IF(J34&lt;&gt;"",J34,IF($J$31="Freigeben","Freigeben",""))</f>
        <v/>
      </c>
    </row>
    <row r="35" customFormat="false" ht="43.5" hidden="false" customHeight="true" outlineLevel="0" collapsed="false">
      <c r="A35" s="5" t="s">
        <v>279</v>
      </c>
      <c r="B35" s="5" t="s">
        <v>1672</v>
      </c>
      <c r="C35" s="5" t="n">
        <v>1</v>
      </c>
      <c r="D35" s="5" t="s">
        <v>1673</v>
      </c>
      <c r="E35" s="16" t="s">
        <v>295</v>
      </c>
      <c r="F35" s="5" t="s">
        <v>296</v>
      </c>
      <c r="G35" s="5"/>
      <c r="H35" s="5" t="s">
        <v>297</v>
      </c>
      <c r="I35" s="5" t="s">
        <v>298</v>
      </c>
      <c r="J35" s="18"/>
      <c r="K35" s="18"/>
      <c r="L35" s="5" t="str">
        <f aca="false">IF(J35&lt;&gt;"",J35,IF($J$31="Freigeben","Freigeben",""))</f>
        <v/>
      </c>
    </row>
    <row r="36" customFormat="false" ht="97.5" hidden="false" customHeight="true" outlineLevel="0" collapsed="false">
      <c r="A36" s="19" t="s">
        <v>274</v>
      </c>
      <c r="B36" s="19" t="s">
        <v>1674</v>
      </c>
      <c r="C36" s="20"/>
      <c r="D36" s="20" t="s">
        <v>1675</v>
      </c>
      <c r="E36" s="20"/>
      <c r="F36" s="20"/>
      <c r="G36" s="20"/>
      <c r="H36" s="20" t="s">
        <v>1676</v>
      </c>
      <c r="I36" s="20" t="s">
        <v>322</v>
      </c>
      <c r="J36" s="18"/>
      <c r="K36" s="20"/>
      <c r="L36" s="20"/>
    </row>
    <row r="37" customFormat="false" ht="43.5" hidden="false" customHeight="true" outlineLevel="0" collapsed="false">
      <c r="A37" s="5" t="s">
        <v>279</v>
      </c>
      <c r="B37" s="23" t="s">
        <v>1677</v>
      </c>
      <c r="C37" s="5" t="n">
        <v>100</v>
      </c>
      <c r="D37" s="5" t="s">
        <v>1678</v>
      </c>
      <c r="E37" s="21" t="s">
        <v>128</v>
      </c>
      <c r="F37" s="5" t="s">
        <v>1679</v>
      </c>
      <c r="G37" s="5" t="s">
        <v>1680</v>
      </c>
      <c r="H37" s="5" t="s">
        <v>1681</v>
      </c>
      <c r="I37" s="23" t="s">
        <v>307</v>
      </c>
      <c r="J37" s="18"/>
      <c r="K37" s="18"/>
      <c r="L37" s="5" t="str">
        <f aca="false">IF(J37&lt;&gt;"",J37,IF($J$36="Freigeben","Freigeben",""))</f>
        <v/>
      </c>
    </row>
    <row r="38" customFormat="false" ht="43.5" hidden="false" customHeight="true" outlineLevel="0" collapsed="false">
      <c r="A38" s="5" t="s">
        <v>279</v>
      </c>
      <c r="B38" s="23" t="s">
        <v>1682</v>
      </c>
      <c r="C38" s="5" t="n">
        <v>100</v>
      </c>
      <c r="D38" s="5" t="s">
        <v>1683</v>
      </c>
      <c r="E38" s="21" t="s">
        <v>128</v>
      </c>
      <c r="F38" s="5" t="s">
        <v>1679</v>
      </c>
      <c r="G38" s="5" t="s">
        <v>1680</v>
      </c>
      <c r="H38" s="5" t="s">
        <v>1681</v>
      </c>
      <c r="I38" s="23" t="s">
        <v>307</v>
      </c>
      <c r="J38" s="18"/>
      <c r="K38" s="18"/>
      <c r="L38" s="5" t="str">
        <f aca="false">IF(J38&lt;&gt;"",J38,IF($J$36="Freigeben","Freigeben",""))</f>
        <v/>
      </c>
    </row>
    <row r="39" customFormat="false" ht="43.5" hidden="false" customHeight="true" outlineLevel="0" collapsed="false">
      <c r="A39" s="5" t="s">
        <v>279</v>
      </c>
      <c r="B39" s="23" t="s">
        <v>1684</v>
      </c>
      <c r="C39" s="5" t="n">
        <v>100</v>
      </c>
      <c r="D39" s="5" t="s">
        <v>1685</v>
      </c>
      <c r="E39" s="21" t="s">
        <v>128</v>
      </c>
      <c r="F39" s="5" t="s">
        <v>1686</v>
      </c>
      <c r="G39" s="5" t="s">
        <v>1687</v>
      </c>
      <c r="H39" s="5" t="s">
        <v>1681</v>
      </c>
      <c r="I39" s="23" t="s">
        <v>307</v>
      </c>
      <c r="J39" s="18"/>
      <c r="K39" s="18"/>
      <c r="L39" s="5" t="str">
        <f aca="false">IF(J39&lt;&gt;"",J39,IF($J$36="Freigeben","Freigeben",""))</f>
        <v/>
      </c>
    </row>
    <row r="40" customFormat="false" ht="43.5" hidden="false" customHeight="true" outlineLevel="0" collapsed="false">
      <c r="A40" s="5" t="s">
        <v>279</v>
      </c>
      <c r="B40" s="23" t="s">
        <v>1688</v>
      </c>
      <c r="C40" s="5" t="n">
        <v>100</v>
      </c>
      <c r="D40" s="5" t="s">
        <v>1689</v>
      </c>
      <c r="E40" s="22" t="s">
        <v>194</v>
      </c>
      <c r="F40" s="5" t="s">
        <v>1690</v>
      </c>
      <c r="G40" s="5" t="s">
        <v>1691</v>
      </c>
      <c r="H40" s="5" t="s">
        <v>1681</v>
      </c>
      <c r="I40" s="23" t="s">
        <v>307</v>
      </c>
      <c r="J40" s="18"/>
      <c r="K40" s="18"/>
      <c r="L40" s="5" t="str">
        <f aca="false">IF(J40&lt;&gt;"",J40,IF($J$36="Freigeben","Freigeben",""))</f>
        <v/>
      </c>
    </row>
    <row r="41" customFormat="false" ht="43.5" hidden="false" customHeight="true" outlineLevel="0" collapsed="false">
      <c r="A41" s="5" t="s">
        <v>279</v>
      </c>
      <c r="B41" s="23" t="s">
        <v>1692</v>
      </c>
      <c r="C41" s="5" t="n">
        <v>100</v>
      </c>
      <c r="D41" s="5" t="s">
        <v>1693</v>
      </c>
      <c r="E41" s="22" t="s">
        <v>194</v>
      </c>
      <c r="F41" s="5" t="s">
        <v>1694</v>
      </c>
      <c r="G41" s="5" t="s">
        <v>1695</v>
      </c>
      <c r="H41" s="5" t="s">
        <v>1681</v>
      </c>
      <c r="I41" s="23" t="s">
        <v>307</v>
      </c>
      <c r="J41" s="18"/>
      <c r="K41" s="18"/>
      <c r="L41" s="5" t="str">
        <f aca="false">IF(J41&lt;&gt;"",J41,IF($J$36="Freigeben","Freigeben",""))</f>
        <v/>
      </c>
    </row>
    <row r="42" customFormat="false" ht="43.5" hidden="false" customHeight="true" outlineLevel="0" collapsed="false">
      <c r="A42" s="5" t="s">
        <v>279</v>
      </c>
      <c r="B42" s="5" t="s">
        <v>1696</v>
      </c>
      <c r="C42" s="5" t="n">
        <v>1</v>
      </c>
      <c r="D42" s="5" t="s">
        <v>1697</v>
      </c>
      <c r="E42" s="16" t="s">
        <v>295</v>
      </c>
      <c r="F42" s="5" t="s">
        <v>296</v>
      </c>
      <c r="G42" s="5"/>
      <c r="H42" s="5" t="s">
        <v>297</v>
      </c>
      <c r="I42" s="5" t="s">
        <v>298</v>
      </c>
      <c r="J42" s="18"/>
      <c r="K42" s="18"/>
      <c r="L42" s="5" t="str">
        <f aca="false">IF(J42&lt;&gt;"",J42,IF($J$36="Freigeben","Freigeben",""))</f>
        <v/>
      </c>
    </row>
    <row r="43" customFormat="false" ht="97.5" hidden="false" customHeight="true" outlineLevel="0" collapsed="false">
      <c r="A43" s="19" t="s">
        <v>274</v>
      </c>
      <c r="B43" s="19" t="s">
        <v>1698</v>
      </c>
      <c r="C43" s="20"/>
      <c r="D43" s="20" t="s">
        <v>1699</v>
      </c>
      <c r="E43" s="20"/>
      <c r="F43" s="20"/>
      <c r="G43" s="20"/>
      <c r="H43" s="20" t="s">
        <v>1700</v>
      </c>
      <c r="I43" s="20" t="s">
        <v>366</v>
      </c>
      <c r="J43" s="18"/>
      <c r="K43" s="20"/>
      <c r="L43" s="20"/>
    </row>
    <row r="44" customFormat="false" ht="57" hidden="false" customHeight="true" outlineLevel="0" collapsed="false">
      <c r="A44" s="5" t="s">
        <v>279</v>
      </c>
      <c r="B44" s="23" t="s">
        <v>1701</v>
      </c>
      <c r="C44" s="5" t="n">
        <v>100</v>
      </c>
      <c r="D44" s="5" t="s">
        <v>1702</v>
      </c>
      <c r="E44" s="21" t="s">
        <v>128</v>
      </c>
      <c r="F44" s="5" t="s">
        <v>1703</v>
      </c>
      <c r="G44" s="5" t="s">
        <v>1704</v>
      </c>
      <c r="H44" s="5" t="s">
        <v>1681</v>
      </c>
      <c r="I44" s="23" t="s">
        <v>335</v>
      </c>
      <c r="J44" s="18"/>
      <c r="K44" s="18"/>
      <c r="L44" s="5" t="str">
        <f aca="false">IF(J44&lt;&gt;"",J44,IF($J$43="Freigeben","Freigeben",""))</f>
        <v/>
      </c>
    </row>
    <row r="45" customFormat="false" ht="43.5" hidden="false" customHeight="true" outlineLevel="0" collapsed="false">
      <c r="A45" s="5" t="s">
        <v>279</v>
      </c>
      <c r="B45" s="23" t="s">
        <v>1705</v>
      </c>
      <c r="C45" s="5" t="n">
        <v>100</v>
      </c>
      <c r="D45" s="5" t="s">
        <v>1706</v>
      </c>
      <c r="E45" s="22" t="s">
        <v>194</v>
      </c>
      <c r="F45" s="5" t="s">
        <v>1707</v>
      </c>
      <c r="G45" s="5" t="s">
        <v>1708</v>
      </c>
      <c r="H45" s="5" t="s">
        <v>1681</v>
      </c>
      <c r="I45" s="23" t="s">
        <v>335</v>
      </c>
      <c r="J45" s="18"/>
      <c r="K45" s="18"/>
      <c r="L45" s="5" t="str">
        <f aca="false">IF(J45&lt;&gt;"",J45,IF($J$43="Freigeben","Freigeben",""))</f>
        <v/>
      </c>
    </row>
    <row r="46" customFormat="false" ht="43.5" hidden="false" customHeight="true" outlineLevel="0" collapsed="false">
      <c r="A46" s="5" t="s">
        <v>279</v>
      </c>
      <c r="B46" s="5" t="s">
        <v>1709</v>
      </c>
      <c r="C46" s="5" t="n">
        <v>1</v>
      </c>
      <c r="D46" s="5" t="s">
        <v>1710</v>
      </c>
      <c r="E46" s="16" t="s">
        <v>295</v>
      </c>
      <c r="F46" s="5" t="s">
        <v>296</v>
      </c>
      <c r="G46" s="5"/>
      <c r="H46" s="5" t="s">
        <v>297</v>
      </c>
      <c r="I46" s="5" t="s">
        <v>298</v>
      </c>
      <c r="J46" s="18"/>
      <c r="K46" s="18"/>
      <c r="L46" s="5" t="str">
        <f aca="false">IF(J46&lt;&gt;"",J46,IF($J$43="Freigeben","Freigeben",""))</f>
        <v/>
      </c>
    </row>
    <row r="47" customFormat="false" ht="151.5" hidden="false" customHeight="true" outlineLevel="0" collapsed="false">
      <c r="A47" s="19" t="s">
        <v>274</v>
      </c>
      <c r="B47" s="19" t="s">
        <v>1711</v>
      </c>
      <c r="C47" s="20"/>
      <c r="D47" s="20" t="s">
        <v>1712</v>
      </c>
      <c r="E47" s="20"/>
      <c r="F47" s="20"/>
      <c r="G47" s="20"/>
      <c r="H47" s="20" t="s">
        <v>1713</v>
      </c>
      <c r="I47" s="20" t="s">
        <v>460</v>
      </c>
      <c r="J47" s="18"/>
      <c r="K47" s="20"/>
      <c r="L47" s="20"/>
    </row>
    <row r="48" customFormat="false" ht="43.5" hidden="false" customHeight="true" outlineLevel="0" collapsed="false">
      <c r="A48" s="5" t="s">
        <v>279</v>
      </c>
      <c r="B48" s="23" t="s">
        <v>1714</v>
      </c>
      <c r="C48" s="5" t="n">
        <v>100</v>
      </c>
      <c r="D48" s="5" t="s">
        <v>1715</v>
      </c>
      <c r="E48" s="22" t="s">
        <v>194</v>
      </c>
      <c r="F48" s="5" t="s">
        <v>1716</v>
      </c>
      <c r="G48" s="5" t="s">
        <v>1717</v>
      </c>
      <c r="H48" s="5" t="s">
        <v>1681</v>
      </c>
      <c r="I48" s="23" t="s">
        <v>307</v>
      </c>
      <c r="J48" s="18"/>
      <c r="K48" s="18"/>
      <c r="L48" s="5" t="str">
        <f aca="false">IF(J48&lt;&gt;"",J48,IF($J$47="Freigeben","Freigeben",""))</f>
        <v/>
      </c>
    </row>
    <row r="49" customFormat="false" ht="111" hidden="false" customHeight="true" outlineLevel="0" collapsed="false">
      <c r="A49" s="5" t="s">
        <v>279</v>
      </c>
      <c r="B49" s="23" t="s">
        <v>1718</v>
      </c>
      <c r="C49" s="5" t="n">
        <v>100</v>
      </c>
      <c r="D49" s="5" t="s">
        <v>1719</v>
      </c>
      <c r="E49" s="22" t="s">
        <v>194</v>
      </c>
      <c r="F49" s="5" t="s">
        <v>1720</v>
      </c>
      <c r="G49" s="5" t="s">
        <v>1721</v>
      </c>
      <c r="H49" s="5" t="s">
        <v>1722</v>
      </c>
      <c r="I49" s="23" t="s">
        <v>307</v>
      </c>
      <c r="J49" s="18"/>
      <c r="K49" s="18"/>
      <c r="L49" s="5" t="str">
        <f aca="false">IF(J49&lt;&gt;"",J49,IF($J$47="Freigeben","Freigeben",""))</f>
        <v/>
      </c>
    </row>
    <row r="50" customFormat="false" ht="84" hidden="false" customHeight="true" outlineLevel="0" collapsed="false">
      <c r="A50" s="5" t="s">
        <v>279</v>
      </c>
      <c r="B50" s="23" t="s">
        <v>1723</v>
      </c>
      <c r="C50" s="5" t="n">
        <v>100</v>
      </c>
      <c r="D50" s="5" t="s">
        <v>1724</v>
      </c>
      <c r="E50" s="22" t="s">
        <v>194</v>
      </c>
      <c r="F50" s="5" t="s">
        <v>1725</v>
      </c>
      <c r="G50" s="5" t="s">
        <v>1726</v>
      </c>
      <c r="H50" s="5" t="s">
        <v>1727</v>
      </c>
      <c r="I50" s="23" t="s">
        <v>307</v>
      </c>
      <c r="J50" s="18"/>
      <c r="K50" s="18"/>
      <c r="L50" s="5" t="str">
        <f aca="false">IF(J50&lt;&gt;"",J50,IF($J$47="Freigeben","Freigeben",""))</f>
        <v/>
      </c>
    </row>
    <row r="51" customFormat="false" ht="43.5" hidden="false" customHeight="true" outlineLevel="0" collapsed="false">
      <c r="A51" s="5" t="s">
        <v>279</v>
      </c>
      <c r="B51" s="23" t="s">
        <v>1728</v>
      </c>
      <c r="C51" s="5" t="n">
        <v>100</v>
      </c>
      <c r="D51" s="5" t="s">
        <v>1729</v>
      </c>
      <c r="E51" s="21" t="s">
        <v>128</v>
      </c>
      <c r="F51" s="5" t="s">
        <v>1730</v>
      </c>
      <c r="G51" s="5" t="s">
        <v>1731</v>
      </c>
      <c r="H51" s="5" t="s">
        <v>1681</v>
      </c>
      <c r="I51" s="23" t="s">
        <v>307</v>
      </c>
      <c r="J51" s="18"/>
      <c r="K51" s="18"/>
      <c r="L51" s="5" t="str">
        <f aca="false">IF(J51&lt;&gt;"",J51,IF($J$47="Freigeben","Freigeben",""))</f>
        <v/>
      </c>
    </row>
    <row r="52" customFormat="false" ht="43.5" hidden="false" customHeight="true" outlineLevel="0" collapsed="false">
      <c r="A52" s="5" t="s">
        <v>279</v>
      </c>
      <c r="B52" s="5" t="s">
        <v>1732</v>
      </c>
      <c r="C52" s="5" t="n">
        <v>1</v>
      </c>
      <c r="D52" s="5" t="s">
        <v>1733</v>
      </c>
      <c r="E52" s="16" t="s">
        <v>295</v>
      </c>
      <c r="F52" s="5" t="s">
        <v>296</v>
      </c>
      <c r="G52" s="5"/>
      <c r="H52" s="5" t="s">
        <v>297</v>
      </c>
      <c r="I52" s="5" t="s">
        <v>298</v>
      </c>
      <c r="J52" s="18"/>
      <c r="K52" s="18"/>
      <c r="L52" s="5" t="str">
        <f aca="false">IF(J52&lt;&gt;"",J52,IF($J$47="Freigeben","Freigeben",""))</f>
        <v/>
      </c>
    </row>
    <row r="53" customFormat="false" ht="111" hidden="false" customHeight="true" outlineLevel="0" collapsed="false">
      <c r="A53" s="19" t="s">
        <v>274</v>
      </c>
      <c r="B53" s="19" t="s">
        <v>1734</v>
      </c>
      <c r="C53" s="20"/>
      <c r="D53" s="20" t="s">
        <v>1735</v>
      </c>
      <c r="E53" s="20"/>
      <c r="F53" s="20"/>
      <c r="G53" s="20"/>
      <c r="H53" s="20" t="s">
        <v>1736</v>
      </c>
      <c r="I53" s="20" t="s">
        <v>278</v>
      </c>
      <c r="J53" s="18"/>
      <c r="K53" s="20"/>
      <c r="L53" s="20"/>
    </row>
    <row r="54" customFormat="false" ht="43.5" hidden="false" customHeight="true" outlineLevel="0" collapsed="false">
      <c r="A54" s="5" t="s">
        <v>279</v>
      </c>
      <c r="B54" s="23" t="s">
        <v>1737</v>
      </c>
      <c r="C54" s="5" t="n">
        <v>100</v>
      </c>
      <c r="D54" s="5" t="s">
        <v>1738</v>
      </c>
      <c r="E54" s="21" t="s">
        <v>128</v>
      </c>
      <c r="F54" s="5" t="s">
        <v>1739</v>
      </c>
      <c r="G54" s="5" t="s">
        <v>1740</v>
      </c>
      <c r="H54" s="5" t="s">
        <v>1681</v>
      </c>
      <c r="I54" s="23" t="s">
        <v>335</v>
      </c>
      <c r="J54" s="18"/>
      <c r="K54" s="18"/>
      <c r="L54" s="5" t="str">
        <f aca="false">IF(J54&lt;&gt;"",J54,IF($J$53="Freigeben","Freigeben",""))</f>
        <v/>
      </c>
    </row>
    <row r="55" customFormat="false" ht="43.5" hidden="false" customHeight="true" outlineLevel="0" collapsed="false">
      <c r="A55" s="5" t="s">
        <v>279</v>
      </c>
      <c r="B55" s="23" t="s">
        <v>1741</v>
      </c>
      <c r="C55" s="5" t="n">
        <v>100</v>
      </c>
      <c r="D55" s="5" t="s">
        <v>1742</v>
      </c>
      <c r="E55" s="22" t="s">
        <v>194</v>
      </c>
      <c r="F55" s="5" t="s">
        <v>1743</v>
      </c>
      <c r="G55" s="5" t="s">
        <v>1744</v>
      </c>
      <c r="H55" s="5" t="s">
        <v>1681</v>
      </c>
      <c r="I55" s="23" t="s">
        <v>335</v>
      </c>
      <c r="J55" s="18"/>
      <c r="K55" s="18"/>
      <c r="L55" s="5" t="str">
        <f aca="false">IF(J55&lt;&gt;"",J55,IF($J$53="Freigeben","Freigeben",""))</f>
        <v/>
      </c>
    </row>
    <row r="56" customFormat="false" ht="43.5" hidden="false" customHeight="true" outlineLevel="0" collapsed="false">
      <c r="A56" s="5" t="s">
        <v>279</v>
      </c>
      <c r="B56" s="23" t="s">
        <v>1745</v>
      </c>
      <c r="C56" s="5" t="n">
        <v>100</v>
      </c>
      <c r="D56" s="5" t="s">
        <v>1746</v>
      </c>
      <c r="E56" s="22" t="s">
        <v>194</v>
      </c>
      <c r="F56" s="5" t="s">
        <v>1747</v>
      </c>
      <c r="G56" s="5" t="s">
        <v>1748</v>
      </c>
      <c r="H56" s="5" t="s">
        <v>1681</v>
      </c>
      <c r="I56" s="23" t="s">
        <v>335</v>
      </c>
      <c r="J56" s="18"/>
      <c r="K56" s="18"/>
      <c r="L56" s="5" t="str">
        <f aca="false">IF(J56&lt;&gt;"",J56,IF($J$53="Freigeben","Freigeben",""))</f>
        <v/>
      </c>
    </row>
    <row r="57" customFormat="false" ht="43.5" hidden="false" customHeight="true" outlineLevel="0" collapsed="false">
      <c r="A57" s="5" t="s">
        <v>279</v>
      </c>
      <c r="B57" s="5" t="s">
        <v>1749</v>
      </c>
      <c r="C57" s="5" t="n">
        <v>1</v>
      </c>
      <c r="D57" s="5" t="s">
        <v>1750</v>
      </c>
      <c r="E57" s="16" t="s">
        <v>295</v>
      </c>
      <c r="F57" s="5" t="s">
        <v>296</v>
      </c>
      <c r="G57" s="5"/>
      <c r="H57" s="5" t="s">
        <v>297</v>
      </c>
      <c r="I57" s="5" t="s">
        <v>298</v>
      </c>
      <c r="J57" s="18"/>
      <c r="K57" s="18"/>
      <c r="L57" s="5" t="str">
        <f aca="false">IF(J57&lt;&gt;"",J57,IF($J$53="Freigeben","Freigeben",""))</f>
        <v/>
      </c>
    </row>
    <row r="58" customFormat="false" ht="111" hidden="false" customHeight="true" outlineLevel="0" collapsed="false">
      <c r="A58" s="19" t="s">
        <v>274</v>
      </c>
      <c r="B58" s="19" t="s">
        <v>1751</v>
      </c>
      <c r="C58" s="20"/>
      <c r="D58" s="20" t="s">
        <v>1752</v>
      </c>
      <c r="E58" s="20"/>
      <c r="F58" s="20"/>
      <c r="G58" s="20"/>
      <c r="H58" s="20" t="s">
        <v>1753</v>
      </c>
      <c r="I58" s="20" t="s">
        <v>628</v>
      </c>
      <c r="J58" s="18"/>
      <c r="K58" s="20"/>
      <c r="L58" s="20"/>
    </row>
    <row r="59" customFormat="false" ht="43.5" hidden="false" customHeight="true" outlineLevel="0" collapsed="false">
      <c r="A59" s="5" t="s">
        <v>279</v>
      </c>
      <c r="B59" s="23" t="s">
        <v>1754</v>
      </c>
      <c r="C59" s="5" t="n">
        <v>100</v>
      </c>
      <c r="D59" s="5" t="s">
        <v>1755</v>
      </c>
      <c r="E59" s="21" t="s">
        <v>128</v>
      </c>
      <c r="F59" s="5" t="s">
        <v>1756</v>
      </c>
      <c r="G59" s="5" t="s">
        <v>1757</v>
      </c>
      <c r="H59" s="5" t="s">
        <v>1681</v>
      </c>
      <c r="I59" s="23" t="s">
        <v>335</v>
      </c>
      <c r="J59" s="18"/>
      <c r="K59" s="18"/>
      <c r="L59" s="5" t="str">
        <f aca="false">IF(J59&lt;&gt;"",J59,IF($J$58="Freigeben","Freigeben",""))</f>
        <v/>
      </c>
    </row>
    <row r="60" customFormat="false" ht="43.5" hidden="false" customHeight="true" outlineLevel="0" collapsed="false">
      <c r="A60" s="5" t="s">
        <v>279</v>
      </c>
      <c r="B60" s="5" t="s">
        <v>1758</v>
      </c>
      <c r="C60" s="5" t="n">
        <v>1</v>
      </c>
      <c r="D60" s="5" t="s">
        <v>1759</v>
      </c>
      <c r="E60" s="16" t="s">
        <v>295</v>
      </c>
      <c r="F60" s="5" t="s">
        <v>296</v>
      </c>
      <c r="G60" s="5"/>
      <c r="H60" s="5" t="s">
        <v>297</v>
      </c>
      <c r="I60" s="5" t="s">
        <v>298</v>
      </c>
      <c r="J60" s="18"/>
      <c r="K60" s="18"/>
      <c r="L60" s="5" t="str">
        <f aca="false">IF(J60&lt;&gt;"",J60,IF($J$58="Freigeben","Freigeben",""))</f>
        <v/>
      </c>
    </row>
    <row r="61" customFormat="false" ht="97.5" hidden="false" customHeight="true" outlineLevel="0" collapsed="false">
      <c r="A61" s="19" t="s">
        <v>274</v>
      </c>
      <c r="B61" s="19" t="s">
        <v>1760</v>
      </c>
      <c r="C61" s="20"/>
      <c r="D61" s="20" t="s">
        <v>1761</v>
      </c>
      <c r="E61" s="20"/>
      <c r="F61" s="20"/>
      <c r="G61" s="20"/>
      <c r="H61" s="20" t="s">
        <v>1762</v>
      </c>
      <c r="I61" s="20" t="s">
        <v>366</v>
      </c>
      <c r="J61" s="18"/>
      <c r="K61" s="20"/>
      <c r="L61" s="20"/>
    </row>
    <row r="62" customFormat="false" ht="57" hidden="false" customHeight="true" outlineLevel="0" collapsed="false">
      <c r="A62" s="5" t="s">
        <v>279</v>
      </c>
      <c r="B62" s="23" t="s">
        <v>1763</v>
      </c>
      <c r="C62" s="5" t="n">
        <v>100</v>
      </c>
      <c r="D62" s="5" t="s">
        <v>1764</v>
      </c>
      <c r="E62" s="21" t="s">
        <v>128</v>
      </c>
      <c r="F62" s="5" t="s">
        <v>1765</v>
      </c>
      <c r="G62" s="5" t="s">
        <v>1766</v>
      </c>
      <c r="H62" s="5" t="s">
        <v>1681</v>
      </c>
      <c r="I62" s="23" t="s">
        <v>335</v>
      </c>
      <c r="J62" s="18"/>
      <c r="K62" s="18"/>
      <c r="L62" s="5" t="str">
        <f aca="false">IF(J62&lt;&gt;"",J62,IF($J$61="Freigeben","Freigeben",""))</f>
        <v/>
      </c>
    </row>
    <row r="63" customFormat="false" ht="57" hidden="false" customHeight="true" outlineLevel="0" collapsed="false">
      <c r="A63" s="5" t="s">
        <v>279</v>
      </c>
      <c r="B63" s="5" t="s">
        <v>1767</v>
      </c>
      <c r="C63" s="5" t="n">
        <v>100</v>
      </c>
      <c r="D63" s="5" t="s">
        <v>1768</v>
      </c>
      <c r="E63" s="15" t="s">
        <v>215</v>
      </c>
      <c r="F63" s="5" t="s">
        <v>1769</v>
      </c>
      <c r="G63" s="5" t="s">
        <v>1770</v>
      </c>
      <c r="H63" s="5" t="s">
        <v>292</v>
      </c>
      <c r="I63" s="5" t="s">
        <v>284</v>
      </c>
      <c r="J63" s="18"/>
      <c r="K63" s="18"/>
      <c r="L63" s="5" t="str">
        <f aca="false">IF(J63&lt;&gt;"",J63,IF($J$61="Freigeben","Freigeben",""))</f>
        <v/>
      </c>
    </row>
    <row r="64" customFormat="false" ht="43.5" hidden="false" customHeight="true" outlineLevel="0" collapsed="false">
      <c r="A64" s="5" t="s">
        <v>279</v>
      </c>
      <c r="B64" s="5" t="s">
        <v>1771</v>
      </c>
      <c r="C64" s="5" t="n">
        <v>1</v>
      </c>
      <c r="D64" s="5" t="s">
        <v>1772</v>
      </c>
      <c r="E64" s="16" t="s">
        <v>295</v>
      </c>
      <c r="F64" s="5" t="s">
        <v>296</v>
      </c>
      <c r="G64" s="5"/>
      <c r="H64" s="5" t="s">
        <v>297</v>
      </c>
      <c r="I64" s="5" t="s">
        <v>298</v>
      </c>
      <c r="J64" s="18"/>
      <c r="K64" s="18"/>
      <c r="L64" s="5" t="str">
        <f aca="false">IF(J64&lt;&gt;"",J64,IF($J$61="Freigeben","Freigeben",""))</f>
        <v/>
      </c>
    </row>
    <row r="65" customFormat="false" ht="111" hidden="false" customHeight="true" outlineLevel="0" collapsed="false">
      <c r="A65" s="19" t="s">
        <v>274</v>
      </c>
      <c r="B65" s="19" t="s">
        <v>1773</v>
      </c>
      <c r="C65" s="20"/>
      <c r="D65" s="20" t="s">
        <v>1774</v>
      </c>
      <c r="E65" s="20"/>
      <c r="F65" s="20"/>
      <c r="G65" s="20"/>
      <c r="H65" s="20" t="s">
        <v>1775</v>
      </c>
      <c r="I65" s="20" t="s">
        <v>366</v>
      </c>
      <c r="J65" s="18"/>
      <c r="K65" s="20"/>
      <c r="L65" s="20"/>
    </row>
    <row r="66" customFormat="false" ht="43.5" hidden="false" customHeight="true" outlineLevel="0" collapsed="false">
      <c r="A66" s="5" t="s">
        <v>279</v>
      </c>
      <c r="B66" s="23" t="s">
        <v>1776</v>
      </c>
      <c r="C66" s="5" t="n">
        <v>100</v>
      </c>
      <c r="D66" s="5" t="s">
        <v>1777</v>
      </c>
      <c r="E66" s="22" t="s">
        <v>194</v>
      </c>
      <c r="F66" s="5" t="s">
        <v>1778</v>
      </c>
      <c r="G66" s="5" t="s">
        <v>1779</v>
      </c>
      <c r="H66" s="5" t="s">
        <v>1681</v>
      </c>
      <c r="I66" s="23" t="s">
        <v>335</v>
      </c>
      <c r="J66" s="18"/>
      <c r="K66" s="18"/>
      <c r="L66" s="5" t="str">
        <f aca="false">IF(J66&lt;&gt;"",J66,IF($J$65="Freigeben","Freigeben",""))</f>
        <v/>
      </c>
    </row>
    <row r="67" customFormat="false" ht="43.5" hidden="false" customHeight="true" outlineLevel="0" collapsed="false">
      <c r="A67" s="5" t="s">
        <v>279</v>
      </c>
      <c r="B67" s="23" t="s">
        <v>1780</v>
      </c>
      <c r="C67" s="5" t="n">
        <v>100</v>
      </c>
      <c r="D67" s="5" t="s">
        <v>1781</v>
      </c>
      <c r="E67" s="22" t="s">
        <v>194</v>
      </c>
      <c r="F67" s="5" t="s">
        <v>1782</v>
      </c>
      <c r="G67" s="5" t="s">
        <v>1783</v>
      </c>
      <c r="H67" s="5" t="s">
        <v>1681</v>
      </c>
      <c r="I67" s="23" t="s">
        <v>335</v>
      </c>
      <c r="J67" s="18"/>
      <c r="K67" s="18"/>
      <c r="L67" s="5" t="str">
        <f aca="false">IF(J67&lt;&gt;"",J67,IF($J$65="Freigeben","Freigeben",""))</f>
        <v/>
      </c>
    </row>
    <row r="68" customFormat="false" ht="43.5" hidden="false" customHeight="true" outlineLevel="0" collapsed="false">
      <c r="A68" s="5" t="s">
        <v>279</v>
      </c>
      <c r="B68" s="5" t="s">
        <v>1784</v>
      </c>
      <c r="C68" s="5" t="n">
        <v>1</v>
      </c>
      <c r="D68" s="5" t="s">
        <v>1785</v>
      </c>
      <c r="E68" s="16" t="s">
        <v>295</v>
      </c>
      <c r="F68" s="5" t="s">
        <v>296</v>
      </c>
      <c r="G68" s="5"/>
      <c r="H68" s="5" t="s">
        <v>297</v>
      </c>
      <c r="I68" s="5" t="s">
        <v>298</v>
      </c>
      <c r="J68" s="18"/>
      <c r="K68" s="18"/>
      <c r="L68" s="5" t="str">
        <f aca="false">IF(J68&lt;&gt;"",J68,IF($J$65="Freigeben","Freigeben",""))</f>
        <v/>
      </c>
    </row>
    <row r="69" customFormat="false" ht="97.5" hidden="false" customHeight="true" outlineLevel="0" collapsed="false">
      <c r="A69" s="19" t="s">
        <v>274</v>
      </c>
      <c r="B69" s="19" t="s">
        <v>1786</v>
      </c>
      <c r="C69" s="20"/>
      <c r="D69" s="20" t="s">
        <v>1787</v>
      </c>
      <c r="E69" s="20"/>
      <c r="F69" s="20"/>
      <c r="G69" s="20"/>
      <c r="H69" s="20" t="s">
        <v>1788</v>
      </c>
      <c r="I69" s="20" t="s">
        <v>1621</v>
      </c>
      <c r="J69" s="18"/>
      <c r="K69" s="20"/>
      <c r="L69" s="20"/>
    </row>
    <row r="70" customFormat="false" ht="57" hidden="false" customHeight="true" outlineLevel="0" collapsed="false">
      <c r="A70" s="24" t="s">
        <v>279</v>
      </c>
      <c r="B70" s="24" t="s">
        <v>1789</v>
      </c>
      <c r="C70" s="24" t="n">
        <v>200</v>
      </c>
      <c r="D70" s="24" t="s">
        <v>1790</v>
      </c>
      <c r="E70" s="24" t="s">
        <v>128</v>
      </c>
      <c r="F70" s="24" t="s">
        <v>1791</v>
      </c>
      <c r="G70" s="24" t="s">
        <v>1792</v>
      </c>
      <c r="H70" s="24" t="s">
        <v>1793</v>
      </c>
      <c r="I70" s="24" t="s">
        <v>427</v>
      </c>
      <c r="J70" s="24"/>
      <c r="K70" s="24"/>
      <c r="L70" s="24"/>
    </row>
    <row r="71" customFormat="false" ht="30" hidden="false" customHeight="true" outlineLevel="0" collapsed="false">
      <c r="A71" s="24" t="s">
        <v>279</v>
      </c>
      <c r="B71" s="24" t="s">
        <v>1794</v>
      </c>
      <c r="C71" s="24" t="n">
        <v>100</v>
      </c>
      <c r="D71" s="24" t="s">
        <v>1795</v>
      </c>
      <c r="E71" s="24" t="s">
        <v>194</v>
      </c>
      <c r="F71" s="24" t="s">
        <v>1796</v>
      </c>
      <c r="G71" s="24" t="s">
        <v>1797</v>
      </c>
      <c r="H71" s="24" t="s">
        <v>1793</v>
      </c>
      <c r="I71" s="24" t="s">
        <v>427</v>
      </c>
      <c r="J71" s="24"/>
      <c r="K71" s="24"/>
      <c r="L71" s="24"/>
    </row>
    <row r="72" customFormat="false" ht="43.5" hidden="false" customHeight="true" outlineLevel="0" collapsed="false">
      <c r="A72" s="5" t="s">
        <v>279</v>
      </c>
      <c r="B72" s="5" t="s">
        <v>1798</v>
      </c>
      <c r="C72" s="5" t="n">
        <v>1</v>
      </c>
      <c r="D72" s="5" t="s">
        <v>1799</v>
      </c>
      <c r="E72" s="16" t="s">
        <v>295</v>
      </c>
      <c r="F72" s="5" t="s">
        <v>296</v>
      </c>
      <c r="G72" s="5"/>
      <c r="H72" s="5" t="s">
        <v>297</v>
      </c>
      <c r="I72" s="5" t="s">
        <v>298</v>
      </c>
      <c r="J72" s="18"/>
      <c r="K72" s="18"/>
      <c r="L72" s="5" t="str">
        <f aca="false">IF(J72&lt;&gt;"",J72,IF($J$69="Freigeben","Freigeben",""))</f>
        <v/>
      </c>
    </row>
    <row r="73" customFormat="false" ht="97.5" hidden="false" customHeight="true" outlineLevel="0" collapsed="false">
      <c r="A73" s="19" t="s">
        <v>274</v>
      </c>
      <c r="B73" s="19" t="s">
        <v>1800</v>
      </c>
      <c r="C73" s="20"/>
      <c r="D73" s="20" t="s">
        <v>1801</v>
      </c>
      <c r="E73" s="20"/>
      <c r="F73" s="20"/>
      <c r="G73" s="20"/>
      <c r="H73" s="20" t="s">
        <v>1802</v>
      </c>
      <c r="I73" s="20" t="s">
        <v>628</v>
      </c>
      <c r="J73" s="18"/>
      <c r="K73" s="20"/>
      <c r="L73" s="20"/>
    </row>
    <row r="74" customFormat="false" ht="30" hidden="false" customHeight="true" outlineLevel="0" collapsed="false">
      <c r="A74" s="5" t="s">
        <v>279</v>
      </c>
      <c r="B74" s="5" t="s">
        <v>1803</v>
      </c>
      <c r="C74" s="5" t="n">
        <v>100</v>
      </c>
      <c r="D74" s="5" t="s">
        <v>1804</v>
      </c>
      <c r="E74" s="22" t="s">
        <v>194</v>
      </c>
      <c r="F74" s="5" t="s">
        <v>1805</v>
      </c>
      <c r="G74" s="5" t="s">
        <v>1806</v>
      </c>
      <c r="H74" s="5" t="s">
        <v>292</v>
      </c>
      <c r="I74" s="5" t="s">
        <v>284</v>
      </c>
      <c r="J74" s="18"/>
      <c r="K74" s="18"/>
      <c r="L74" s="5" t="str">
        <f aca="false">IF(J74&lt;&gt;"",J74,IF($J$73="Freigeben","Freigeben",""))</f>
        <v/>
      </c>
    </row>
    <row r="75" customFormat="false" ht="43.5" hidden="false" customHeight="true" outlineLevel="0" collapsed="false">
      <c r="A75" s="5" t="s">
        <v>279</v>
      </c>
      <c r="B75" s="5" t="s">
        <v>1807</v>
      </c>
      <c r="C75" s="5" t="n">
        <v>1</v>
      </c>
      <c r="D75" s="5" t="s">
        <v>1808</v>
      </c>
      <c r="E75" s="16" t="s">
        <v>295</v>
      </c>
      <c r="F75" s="5" t="s">
        <v>296</v>
      </c>
      <c r="G75" s="5"/>
      <c r="H75" s="5" t="s">
        <v>297</v>
      </c>
      <c r="I75" s="5" t="s">
        <v>298</v>
      </c>
      <c r="J75" s="18"/>
      <c r="K75" s="18"/>
      <c r="L75" s="5" t="str">
        <f aca="false">IF(J75&lt;&gt;"",J75,IF($J$73="Freigeben","Freigeben",""))</f>
        <v/>
      </c>
    </row>
  </sheetData>
  <sheetProtection sheet="true" formatColumns="false" formatRows="false" sort="false" autoFilter="false"/>
  <autoFilter ref="A1:L75"/>
  <conditionalFormatting sqref="K2:K75">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9 J15 J21 J25 J31 J36 J43 J47 J53 J58 J61 J65 J69 J73"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3:J8 J10:J14 J16:J20 J24 J26:J30 J32 J34:J35 J37:J42 J44:J46 J48:J52 J54:J57 J59:J60 J62:J64 J66:J68 J72 J74:J75"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111" hidden="false" customHeight="true" outlineLevel="0" collapsed="false">
      <c r="A2" s="19" t="s">
        <v>274</v>
      </c>
      <c r="B2" s="19" t="s">
        <v>1809</v>
      </c>
      <c r="C2" s="20"/>
      <c r="D2" s="20" t="s">
        <v>1810</v>
      </c>
      <c r="E2" s="20"/>
      <c r="F2" s="20"/>
      <c r="G2" s="20"/>
      <c r="H2" s="20" t="s">
        <v>1811</v>
      </c>
      <c r="I2" s="20" t="s">
        <v>1812</v>
      </c>
      <c r="J2" s="18"/>
      <c r="K2" s="20"/>
      <c r="L2" s="20"/>
    </row>
    <row r="3" customFormat="false" ht="43.5" hidden="false" customHeight="true" outlineLevel="0" collapsed="false">
      <c r="A3" s="24" t="s">
        <v>279</v>
      </c>
      <c r="B3" s="24" t="s">
        <v>1813</v>
      </c>
      <c r="C3" s="24" t="n">
        <v>100</v>
      </c>
      <c r="D3" s="24" t="s">
        <v>1814</v>
      </c>
      <c r="E3" s="24" t="s">
        <v>194</v>
      </c>
      <c r="F3" s="24" t="s">
        <v>1815</v>
      </c>
      <c r="G3" s="24" t="s">
        <v>1816</v>
      </c>
      <c r="H3" s="24" t="s">
        <v>1817</v>
      </c>
      <c r="I3" s="24" t="s">
        <v>427</v>
      </c>
      <c r="J3" s="24"/>
      <c r="K3" s="24"/>
      <c r="L3" s="24"/>
    </row>
    <row r="4" customFormat="false" ht="43.5" hidden="false" customHeight="true" outlineLevel="0" collapsed="false">
      <c r="A4" s="24" t="s">
        <v>279</v>
      </c>
      <c r="B4" s="24" t="s">
        <v>1818</v>
      </c>
      <c r="C4" s="24" t="n">
        <v>100</v>
      </c>
      <c r="D4" s="24" t="s">
        <v>1819</v>
      </c>
      <c r="E4" s="24" t="s">
        <v>128</v>
      </c>
      <c r="F4" s="24" t="s">
        <v>1815</v>
      </c>
      <c r="G4" s="24" t="s">
        <v>1816</v>
      </c>
      <c r="H4" s="24" t="s">
        <v>1817</v>
      </c>
      <c r="I4" s="24" t="s">
        <v>427</v>
      </c>
      <c r="J4" s="24"/>
      <c r="K4" s="24"/>
      <c r="L4" s="24"/>
    </row>
    <row r="5" customFormat="false" ht="43.5" hidden="false" customHeight="true" outlineLevel="0" collapsed="false">
      <c r="A5" s="24" t="s">
        <v>279</v>
      </c>
      <c r="B5" s="24" t="s">
        <v>1820</v>
      </c>
      <c r="C5" s="24" t="n">
        <v>100</v>
      </c>
      <c r="D5" s="24" t="s">
        <v>1821</v>
      </c>
      <c r="E5" s="24" t="s">
        <v>128</v>
      </c>
      <c r="F5" s="24" t="s">
        <v>1815</v>
      </c>
      <c r="G5" s="24" t="s">
        <v>1816</v>
      </c>
      <c r="H5" s="24" t="s">
        <v>1817</v>
      </c>
      <c r="I5" s="24" t="s">
        <v>427</v>
      </c>
      <c r="J5" s="24"/>
      <c r="K5" s="24"/>
      <c r="L5" s="24"/>
    </row>
    <row r="6" customFormat="false" ht="43.5" hidden="false" customHeight="true" outlineLevel="0" collapsed="false">
      <c r="A6" s="24" t="s">
        <v>279</v>
      </c>
      <c r="B6" s="24" t="s">
        <v>1822</v>
      </c>
      <c r="C6" s="24" t="n">
        <v>100</v>
      </c>
      <c r="D6" s="24" t="s">
        <v>1823</v>
      </c>
      <c r="E6" s="24" t="s">
        <v>128</v>
      </c>
      <c r="F6" s="24" t="s">
        <v>1815</v>
      </c>
      <c r="G6" s="24" t="s">
        <v>1816</v>
      </c>
      <c r="H6" s="24" t="s">
        <v>1817</v>
      </c>
      <c r="I6" s="24" t="s">
        <v>427</v>
      </c>
      <c r="J6" s="24"/>
      <c r="K6" s="24"/>
      <c r="L6" s="24"/>
    </row>
    <row r="7" customFormat="false" ht="43.5" hidden="false" customHeight="true" outlineLevel="0" collapsed="false">
      <c r="A7" s="24" t="s">
        <v>279</v>
      </c>
      <c r="B7" s="24" t="s">
        <v>1824</v>
      </c>
      <c r="C7" s="24" t="n">
        <v>100</v>
      </c>
      <c r="D7" s="24" t="s">
        <v>1825</v>
      </c>
      <c r="E7" s="24" t="s">
        <v>128</v>
      </c>
      <c r="F7" s="24" t="s">
        <v>1815</v>
      </c>
      <c r="G7" s="24" t="s">
        <v>1816</v>
      </c>
      <c r="H7" s="24" t="s">
        <v>1817</v>
      </c>
      <c r="I7" s="24" t="s">
        <v>427</v>
      </c>
      <c r="J7" s="24"/>
      <c r="K7" s="24"/>
      <c r="L7" s="24"/>
    </row>
    <row r="8" customFormat="false" ht="43.5" hidden="false" customHeight="true" outlineLevel="0" collapsed="false">
      <c r="A8" s="24" t="s">
        <v>279</v>
      </c>
      <c r="B8" s="24" t="s">
        <v>1826</v>
      </c>
      <c r="C8" s="24" t="n">
        <v>100</v>
      </c>
      <c r="D8" s="24" t="s">
        <v>1827</v>
      </c>
      <c r="E8" s="24" t="s">
        <v>128</v>
      </c>
      <c r="F8" s="24" t="s">
        <v>1815</v>
      </c>
      <c r="G8" s="24" t="s">
        <v>1816</v>
      </c>
      <c r="H8" s="24" t="s">
        <v>1817</v>
      </c>
      <c r="I8" s="24" t="s">
        <v>427</v>
      </c>
      <c r="J8" s="24"/>
      <c r="K8" s="24"/>
      <c r="L8" s="24"/>
    </row>
    <row r="9" customFormat="false" ht="43.5" hidden="false" customHeight="true" outlineLevel="0" collapsed="false">
      <c r="A9" s="24" t="s">
        <v>279</v>
      </c>
      <c r="B9" s="24" t="s">
        <v>1828</v>
      </c>
      <c r="C9" s="24" t="n">
        <v>100</v>
      </c>
      <c r="D9" s="24" t="s">
        <v>1829</v>
      </c>
      <c r="E9" s="24" t="s">
        <v>194</v>
      </c>
      <c r="F9" s="24" t="s">
        <v>1815</v>
      </c>
      <c r="G9" s="24" t="s">
        <v>1816</v>
      </c>
      <c r="H9" s="24" t="s">
        <v>1817</v>
      </c>
      <c r="I9" s="24" t="s">
        <v>427</v>
      </c>
      <c r="J9" s="24"/>
      <c r="K9" s="24"/>
      <c r="L9" s="24"/>
    </row>
    <row r="10" customFormat="false" ht="43.5" hidden="false" customHeight="true" outlineLevel="0" collapsed="false">
      <c r="A10" s="24" t="s">
        <v>279</v>
      </c>
      <c r="B10" s="24" t="s">
        <v>1830</v>
      </c>
      <c r="C10" s="24" t="n">
        <v>100</v>
      </c>
      <c r="D10" s="24" t="s">
        <v>1831</v>
      </c>
      <c r="E10" s="24" t="s">
        <v>194</v>
      </c>
      <c r="F10" s="24" t="s">
        <v>1815</v>
      </c>
      <c r="G10" s="24" t="s">
        <v>1816</v>
      </c>
      <c r="H10" s="24" t="s">
        <v>1817</v>
      </c>
      <c r="I10" s="24" t="s">
        <v>427</v>
      </c>
      <c r="J10" s="24"/>
      <c r="K10" s="24"/>
      <c r="L10" s="24"/>
    </row>
    <row r="11" customFormat="false" ht="43.5" hidden="false" customHeight="true" outlineLevel="0" collapsed="false">
      <c r="A11" s="24" t="s">
        <v>279</v>
      </c>
      <c r="B11" s="24" t="s">
        <v>1832</v>
      </c>
      <c r="C11" s="24" t="n">
        <v>100</v>
      </c>
      <c r="D11" s="24" t="s">
        <v>1833</v>
      </c>
      <c r="E11" s="24" t="s">
        <v>128</v>
      </c>
      <c r="F11" s="24" t="s">
        <v>1815</v>
      </c>
      <c r="G11" s="24" t="s">
        <v>1816</v>
      </c>
      <c r="H11" s="24" t="s">
        <v>1817</v>
      </c>
      <c r="I11" s="24" t="s">
        <v>427</v>
      </c>
      <c r="J11" s="24"/>
      <c r="K11" s="24"/>
      <c r="L11" s="24"/>
    </row>
    <row r="12" customFormat="false" ht="43.5" hidden="false" customHeight="true" outlineLevel="0" collapsed="false">
      <c r="A12" s="24" t="s">
        <v>279</v>
      </c>
      <c r="B12" s="24" t="s">
        <v>1834</v>
      </c>
      <c r="C12" s="24" t="n">
        <v>100</v>
      </c>
      <c r="D12" s="24" t="s">
        <v>1835</v>
      </c>
      <c r="E12" s="24" t="s">
        <v>194</v>
      </c>
      <c r="F12" s="24" t="s">
        <v>1815</v>
      </c>
      <c r="G12" s="24" t="s">
        <v>1816</v>
      </c>
      <c r="H12" s="24" t="s">
        <v>1817</v>
      </c>
      <c r="I12" s="24" t="s">
        <v>427</v>
      </c>
      <c r="J12" s="24"/>
      <c r="K12" s="24"/>
      <c r="L12" s="24"/>
    </row>
    <row r="13" customFormat="false" ht="43.5" hidden="false" customHeight="true" outlineLevel="0" collapsed="false">
      <c r="A13" s="5" t="s">
        <v>279</v>
      </c>
      <c r="B13" s="5" t="s">
        <v>1836</v>
      </c>
      <c r="C13" s="5" t="n">
        <v>1</v>
      </c>
      <c r="D13" s="5" t="s">
        <v>1837</v>
      </c>
      <c r="E13" s="16" t="s">
        <v>295</v>
      </c>
      <c r="F13" s="5" t="s">
        <v>296</v>
      </c>
      <c r="G13" s="5"/>
      <c r="H13" s="5" t="s">
        <v>297</v>
      </c>
      <c r="I13" s="5" t="s">
        <v>298</v>
      </c>
      <c r="J13" s="18"/>
      <c r="K13" s="18"/>
      <c r="L13" s="5" t="str">
        <f aca="false">IF(J13&lt;&gt;"",J13,IF($J$2="Freigeben","Freigeben",""))</f>
        <v/>
      </c>
    </row>
  </sheetData>
  <sheetProtection sheet="true" formatColumns="false" formatRows="false" sort="false" autoFilter="false"/>
  <autoFilter ref="A1:L13"/>
  <conditionalFormatting sqref="K2:K13">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13"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6"/>
    <col collapsed="false" customWidth="true" hidden="false" outlineLevel="0" max="4" min="4" style="0" width="72"/>
    <col collapsed="false" customWidth="true" hidden="false" outlineLevel="0" max="5" min="5" style="0" width="12"/>
    <col collapsed="false" customWidth="true" hidden="false" outlineLevel="0" max="8" min="6" style="0" width="38"/>
    <col collapsed="false" customWidth="true" hidden="false" outlineLevel="0" max="9" min="9" style="0" width="18"/>
    <col collapsed="false" customWidth="true" hidden="false" outlineLevel="0" max="10" min="10" style="0" width="14"/>
    <col collapsed="false" customWidth="true" hidden="false" outlineLevel="0" max="11" min="11" style="0" width="40"/>
    <col collapsed="false" customWidth="true" hidden="true" outlineLevel="0" max="12" min="12" style="0" width="12"/>
  </cols>
  <sheetData>
    <row r="1" customFormat="false" ht="15" hidden="false" customHeight="false" outlineLevel="0" collapsed="false">
      <c r="A1" s="4" t="s">
        <v>262</v>
      </c>
      <c r="B1" s="4" t="s">
        <v>263</v>
      </c>
      <c r="C1" s="4" t="s">
        <v>264</v>
      </c>
      <c r="D1" s="4" t="s">
        <v>265</v>
      </c>
      <c r="E1" s="4" t="s">
        <v>266</v>
      </c>
      <c r="F1" s="4" t="s">
        <v>267</v>
      </c>
      <c r="G1" s="4" t="s">
        <v>268</v>
      </c>
      <c r="H1" s="4" t="s">
        <v>269</v>
      </c>
      <c r="I1" s="4" t="s">
        <v>270</v>
      </c>
      <c r="J1" s="4" t="s">
        <v>271</v>
      </c>
      <c r="K1" s="4" t="s">
        <v>272</v>
      </c>
      <c r="L1" s="4" t="s">
        <v>273</v>
      </c>
    </row>
    <row r="2" customFormat="false" ht="97.5" hidden="false" customHeight="true" outlineLevel="0" collapsed="false">
      <c r="A2" s="19" t="s">
        <v>274</v>
      </c>
      <c r="B2" s="19" t="s">
        <v>1838</v>
      </c>
      <c r="C2" s="20"/>
      <c r="D2" s="20" t="s">
        <v>1839</v>
      </c>
      <c r="E2" s="20"/>
      <c r="F2" s="20"/>
      <c r="G2" s="20"/>
      <c r="H2" s="20" t="s">
        <v>1840</v>
      </c>
      <c r="I2" s="20" t="s">
        <v>604</v>
      </c>
      <c r="J2" s="18"/>
      <c r="K2" s="20"/>
      <c r="L2" s="20"/>
    </row>
    <row r="3" customFormat="false" ht="43.5" hidden="false" customHeight="true" outlineLevel="0" collapsed="false">
      <c r="A3" s="24" t="s">
        <v>279</v>
      </c>
      <c r="B3" s="24" t="s">
        <v>1841</v>
      </c>
      <c r="C3" s="24" t="n">
        <v>100</v>
      </c>
      <c r="D3" s="24" t="s">
        <v>1842</v>
      </c>
      <c r="E3" s="24" t="s">
        <v>128</v>
      </c>
      <c r="F3" s="24" t="s">
        <v>1843</v>
      </c>
      <c r="G3" s="24" t="s">
        <v>1844</v>
      </c>
      <c r="H3" s="24" t="s">
        <v>1845</v>
      </c>
      <c r="I3" s="24" t="s">
        <v>427</v>
      </c>
      <c r="J3" s="24"/>
      <c r="K3" s="24"/>
      <c r="L3" s="24"/>
    </row>
    <row r="4" customFormat="false" ht="43.5" hidden="false" customHeight="true" outlineLevel="0" collapsed="false">
      <c r="A4" s="5" t="s">
        <v>279</v>
      </c>
      <c r="B4" s="5" t="s">
        <v>1846</v>
      </c>
      <c r="C4" s="5" t="n">
        <v>1</v>
      </c>
      <c r="D4" s="5" t="s">
        <v>1847</v>
      </c>
      <c r="E4" s="16" t="s">
        <v>295</v>
      </c>
      <c r="F4" s="5" t="s">
        <v>296</v>
      </c>
      <c r="G4" s="5"/>
      <c r="H4" s="5" t="s">
        <v>297</v>
      </c>
      <c r="I4" s="5" t="s">
        <v>298</v>
      </c>
      <c r="J4" s="18"/>
      <c r="K4" s="18"/>
      <c r="L4" s="5" t="str">
        <f aca="false">IF(J4&lt;&gt;"",J4,IF($J$2="Freigeben","Freigeben",""))</f>
        <v/>
      </c>
    </row>
    <row r="5" customFormat="false" ht="97.5" hidden="false" customHeight="true" outlineLevel="0" collapsed="false">
      <c r="A5" s="19" t="s">
        <v>274</v>
      </c>
      <c r="B5" s="19" t="s">
        <v>1848</v>
      </c>
      <c r="C5" s="20"/>
      <c r="D5" s="20" t="s">
        <v>1849</v>
      </c>
      <c r="E5" s="20"/>
      <c r="F5" s="20"/>
      <c r="G5" s="20"/>
      <c r="H5" s="20" t="s">
        <v>1850</v>
      </c>
      <c r="I5" s="20" t="s">
        <v>1621</v>
      </c>
      <c r="J5" s="18"/>
      <c r="K5" s="20"/>
      <c r="L5" s="20"/>
    </row>
    <row r="6" customFormat="false" ht="43.5" hidden="false" customHeight="true" outlineLevel="0" collapsed="false">
      <c r="A6" s="24" t="s">
        <v>279</v>
      </c>
      <c r="B6" s="24" t="s">
        <v>1851</v>
      </c>
      <c r="C6" s="24" t="n">
        <v>100</v>
      </c>
      <c r="D6" s="24" t="s">
        <v>1852</v>
      </c>
      <c r="E6" s="24" t="s">
        <v>128</v>
      </c>
      <c r="F6" s="24" t="s">
        <v>1853</v>
      </c>
      <c r="G6" s="24" t="s">
        <v>1854</v>
      </c>
      <c r="H6" s="24" t="s">
        <v>1855</v>
      </c>
      <c r="I6" s="24" t="s">
        <v>427</v>
      </c>
      <c r="J6" s="24"/>
      <c r="K6" s="24"/>
      <c r="L6" s="24"/>
    </row>
    <row r="7" customFormat="false" ht="30" hidden="false" customHeight="true" outlineLevel="0" collapsed="false">
      <c r="A7" s="24" t="s">
        <v>279</v>
      </c>
      <c r="B7" s="24" t="s">
        <v>1856</v>
      </c>
      <c r="C7" s="24" t="n">
        <v>100</v>
      </c>
      <c r="D7" s="24" t="s">
        <v>1857</v>
      </c>
      <c r="E7" s="24" t="s">
        <v>194</v>
      </c>
      <c r="F7" s="24" t="s">
        <v>1858</v>
      </c>
      <c r="G7" s="24" t="s">
        <v>1859</v>
      </c>
      <c r="H7" s="24" t="s">
        <v>1860</v>
      </c>
      <c r="I7" s="24" t="s">
        <v>427</v>
      </c>
      <c r="J7" s="24"/>
      <c r="K7" s="24"/>
      <c r="L7" s="24"/>
    </row>
    <row r="8" customFormat="false" ht="43.5" hidden="false" customHeight="true" outlineLevel="0" collapsed="false">
      <c r="A8" s="5" t="s">
        <v>279</v>
      </c>
      <c r="B8" s="5" t="s">
        <v>1861</v>
      </c>
      <c r="C8" s="5" t="n">
        <v>1</v>
      </c>
      <c r="D8" s="5" t="s">
        <v>1862</v>
      </c>
      <c r="E8" s="16" t="s">
        <v>295</v>
      </c>
      <c r="F8" s="5" t="s">
        <v>296</v>
      </c>
      <c r="G8" s="5"/>
      <c r="H8" s="5" t="s">
        <v>297</v>
      </c>
      <c r="I8" s="5" t="s">
        <v>298</v>
      </c>
      <c r="J8" s="18"/>
      <c r="K8" s="18"/>
      <c r="L8" s="5" t="str">
        <f aca="false">IF(J8&lt;&gt;"",J8,IF($J$5="Freigeben","Freigeben",""))</f>
        <v/>
      </c>
    </row>
    <row r="9" customFormat="false" ht="111" hidden="false" customHeight="true" outlineLevel="0" collapsed="false">
      <c r="A9" s="19" t="s">
        <v>274</v>
      </c>
      <c r="B9" s="19" t="s">
        <v>1863</v>
      </c>
      <c r="C9" s="20"/>
      <c r="D9" s="20" t="s">
        <v>1864</v>
      </c>
      <c r="E9" s="20"/>
      <c r="F9" s="20"/>
      <c r="G9" s="20"/>
      <c r="H9" s="20" t="s">
        <v>1865</v>
      </c>
      <c r="I9" s="20" t="s">
        <v>848</v>
      </c>
      <c r="J9" s="18"/>
      <c r="K9" s="20"/>
      <c r="L9" s="20"/>
    </row>
    <row r="10" customFormat="false" ht="30" hidden="false" customHeight="true" outlineLevel="0" collapsed="false">
      <c r="A10" s="24" t="s">
        <v>279</v>
      </c>
      <c r="B10" s="24" t="s">
        <v>1866</v>
      </c>
      <c r="C10" s="24" t="n">
        <v>100</v>
      </c>
      <c r="D10" s="24" t="s">
        <v>1867</v>
      </c>
      <c r="E10" s="24" t="s">
        <v>128</v>
      </c>
      <c r="F10" s="24" t="s">
        <v>1868</v>
      </c>
      <c r="G10" s="24" t="s">
        <v>1869</v>
      </c>
      <c r="H10" s="24" t="s">
        <v>1870</v>
      </c>
      <c r="I10" s="24" t="s">
        <v>427</v>
      </c>
      <c r="J10" s="24"/>
      <c r="K10" s="24"/>
      <c r="L10" s="24"/>
    </row>
    <row r="11" customFormat="false" ht="30" hidden="false" customHeight="true" outlineLevel="0" collapsed="false">
      <c r="A11" s="5" t="s">
        <v>279</v>
      </c>
      <c r="B11" s="5" t="s">
        <v>1871</v>
      </c>
      <c r="C11" s="5" t="n">
        <v>100</v>
      </c>
      <c r="D11" s="5" t="s">
        <v>1872</v>
      </c>
      <c r="E11" s="22" t="s">
        <v>194</v>
      </c>
      <c r="F11" s="5" t="s">
        <v>1873</v>
      </c>
      <c r="G11" s="5" t="s">
        <v>1874</v>
      </c>
      <c r="H11" s="5" t="s">
        <v>292</v>
      </c>
      <c r="I11" s="5" t="s">
        <v>284</v>
      </c>
      <c r="J11" s="18"/>
      <c r="K11" s="18"/>
      <c r="L11" s="5" t="str">
        <f aca="false">IF(J11&lt;&gt;"",J11,IF($J$9="Freigeben","Freigeben",""))</f>
        <v/>
      </c>
    </row>
    <row r="12" customFormat="false" ht="43.5" hidden="false" customHeight="true" outlineLevel="0" collapsed="false">
      <c r="A12" s="5" t="s">
        <v>279</v>
      </c>
      <c r="B12" s="5" t="s">
        <v>1875</v>
      </c>
      <c r="C12" s="5" t="n">
        <v>1</v>
      </c>
      <c r="D12" s="5" t="s">
        <v>1876</v>
      </c>
      <c r="E12" s="16" t="s">
        <v>295</v>
      </c>
      <c r="F12" s="5" t="s">
        <v>296</v>
      </c>
      <c r="G12" s="5"/>
      <c r="H12" s="5" t="s">
        <v>297</v>
      </c>
      <c r="I12" s="5" t="s">
        <v>298</v>
      </c>
      <c r="J12" s="18"/>
      <c r="K12" s="18"/>
      <c r="L12" s="5" t="str">
        <f aca="false">IF(J12&lt;&gt;"",J12,IF($J$9="Freigeben","Freigeben",""))</f>
        <v/>
      </c>
    </row>
    <row r="13" customFormat="false" ht="111" hidden="false" customHeight="true" outlineLevel="0" collapsed="false">
      <c r="A13" s="19" t="s">
        <v>274</v>
      </c>
      <c r="B13" s="19" t="s">
        <v>1877</v>
      </c>
      <c r="C13" s="20"/>
      <c r="D13" s="20" t="s">
        <v>1878</v>
      </c>
      <c r="E13" s="20"/>
      <c r="F13" s="20"/>
      <c r="G13" s="20"/>
      <c r="H13" s="20" t="s">
        <v>1879</v>
      </c>
      <c r="I13" s="20" t="s">
        <v>460</v>
      </c>
      <c r="J13" s="18"/>
      <c r="K13" s="20"/>
      <c r="L13" s="20"/>
    </row>
    <row r="14" customFormat="false" ht="70.5" hidden="false" customHeight="true" outlineLevel="0" collapsed="false">
      <c r="A14" s="5" t="s">
        <v>279</v>
      </c>
      <c r="B14" s="5" t="s">
        <v>1880</v>
      </c>
      <c r="C14" s="5" t="n">
        <v>110</v>
      </c>
      <c r="D14" s="5" t="s">
        <v>1881</v>
      </c>
      <c r="E14" s="21" t="s">
        <v>128</v>
      </c>
      <c r="F14" s="5" t="s">
        <v>1882</v>
      </c>
      <c r="G14" s="5" t="s">
        <v>1883</v>
      </c>
      <c r="H14" s="5" t="s">
        <v>1884</v>
      </c>
      <c r="I14" s="5" t="s">
        <v>284</v>
      </c>
      <c r="J14" s="18"/>
      <c r="K14" s="18"/>
      <c r="L14" s="5" t="str">
        <f aca="false">IF(J14&lt;&gt;"",J14,IF($J$13="Freigeben","Freigeben",""))</f>
        <v/>
      </c>
    </row>
    <row r="15" customFormat="false" ht="57" hidden="false" customHeight="true" outlineLevel="0" collapsed="false">
      <c r="A15" s="5" t="s">
        <v>279</v>
      </c>
      <c r="B15" s="5" t="s">
        <v>1885</v>
      </c>
      <c r="C15" s="5" t="n">
        <v>105</v>
      </c>
      <c r="D15" s="5" t="s">
        <v>1886</v>
      </c>
      <c r="E15" s="22" t="s">
        <v>194</v>
      </c>
      <c r="F15" s="5" t="s">
        <v>1887</v>
      </c>
      <c r="G15" s="5" t="s">
        <v>1888</v>
      </c>
      <c r="H15" s="5" t="s">
        <v>1889</v>
      </c>
      <c r="I15" s="5" t="s">
        <v>284</v>
      </c>
      <c r="J15" s="18"/>
      <c r="K15" s="18"/>
      <c r="L15" s="5" t="str">
        <f aca="false">IF(J15&lt;&gt;"",J15,IF($J$13="Freigeben","Freigeben",""))</f>
        <v/>
      </c>
    </row>
    <row r="16" customFormat="false" ht="70.5" hidden="false" customHeight="true" outlineLevel="0" collapsed="false">
      <c r="A16" s="5" t="s">
        <v>279</v>
      </c>
      <c r="B16" s="23" t="s">
        <v>1890</v>
      </c>
      <c r="C16" s="5" t="n">
        <v>100</v>
      </c>
      <c r="D16" s="5" t="s">
        <v>1891</v>
      </c>
      <c r="E16" s="21" t="s">
        <v>128</v>
      </c>
      <c r="F16" s="5" t="s">
        <v>1892</v>
      </c>
      <c r="G16" s="5" t="s">
        <v>1893</v>
      </c>
      <c r="H16" s="5" t="s">
        <v>1894</v>
      </c>
      <c r="I16" s="23" t="s">
        <v>307</v>
      </c>
      <c r="J16" s="18"/>
      <c r="K16" s="18"/>
      <c r="L16" s="5" t="str">
        <f aca="false">IF(J16&lt;&gt;"",J16,IF($J$13="Freigeben","Freigeben",""))</f>
        <v/>
      </c>
    </row>
    <row r="17" customFormat="false" ht="70.5" hidden="false" customHeight="true" outlineLevel="0" collapsed="false">
      <c r="A17" s="5" t="s">
        <v>279</v>
      </c>
      <c r="B17" s="23" t="s">
        <v>1895</v>
      </c>
      <c r="C17" s="5" t="n">
        <v>100</v>
      </c>
      <c r="D17" s="5" t="s">
        <v>1896</v>
      </c>
      <c r="E17" s="22" t="s">
        <v>194</v>
      </c>
      <c r="F17" s="5" t="s">
        <v>1897</v>
      </c>
      <c r="G17" s="5" t="s">
        <v>1898</v>
      </c>
      <c r="H17" s="5" t="s">
        <v>1894</v>
      </c>
      <c r="I17" s="23" t="s">
        <v>307</v>
      </c>
      <c r="J17" s="18"/>
      <c r="K17" s="18"/>
      <c r="L17" s="5" t="str">
        <f aca="false">IF(J17&lt;&gt;"",J17,IF($J$13="Freigeben","Freigeben",""))</f>
        <v/>
      </c>
    </row>
    <row r="18" customFormat="false" ht="43.5" hidden="false" customHeight="true" outlineLevel="0" collapsed="false">
      <c r="A18" s="5" t="s">
        <v>279</v>
      </c>
      <c r="B18" s="5" t="s">
        <v>1899</v>
      </c>
      <c r="C18" s="5" t="n">
        <v>1</v>
      </c>
      <c r="D18" s="5" t="s">
        <v>1900</v>
      </c>
      <c r="E18" s="16" t="s">
        <v>295</v>
      </c>
      <c r="F18" s="5" t="s">
        <v>296</v>
      </c>
      <c r="G18" s="5"/>
      <c r="H18" s="5" t="s">
        <v>297</v>
      </c>
      <c r="I18" s="5" t="s">
        <v>298</v>
      </c>
      <c r="J18" s="18"/>
      <c r="K18" s="18"/>
      <c r="L18" s="5" t="str">
        <f aca="false">IF(J18&lt;&gt;"",J18,IF($J$13="Freigeben","Freigeben",""))</f>
        <v/>
      </c>
    </row>
    <row r="19" customFormat="false" ht="124.5" hidden="false" customHeight="true" outlineLevel="0" collapsed="false">
      <c r="A19" s="19" t="s">
        <v>274</v>
      </c>
      <c r="B19" s="19" t="s">
        <v>1901</v>
      </c>
      <c r="C19" s="20"/>
      <c r="D19" s="20" t="s">
        <v>1902</v>
      </c>
      <c r="E19" s="20"/>
      <c r="F19" s="20"/>
      <c r="G19" s="20"/>
      <c r="H19" s="20" t="s">
        <v>1903</v>
      </c>
      <c r="I19" s="20" t="s">
        <v>1904</v>
      </c>
      <c r="J19" s="18"/>
      <c r="K19" s="20"/>
      <c r="L19" s="20"/>
    </row>
    <row r="20" customFormat="false" ht="43.5" hidden="false" customHeight="true" outlineLevel="0" collapsed="false">
      <c r="A20" s="24" t="s">
        <v>279</v>
      </c>
      <c r="B20" s="24" t="s">
        <v>1905</v>
      </c>
      <c r="C20" s="24" t="n">
        <v>100</v>
      </c>
      <c r="D20" s="24" t="s">
        <v>1906</v>
      </c>
      <c r="E20" s="24" t="s">
        <v>194</v>
      </c>
      <c r="F20" s="24" t="s">
        <v>1907</v>
      </c>
      <c r="G20" s="24" t="s">
        <v>1908</v>
      </c>
      <c r="H20" s="24" t="s">
        <v>1909</v>
      </c>
      <c r="I20" s="24" t="s">
        <v>427</v>
      </c>
      <c r="J20" s="24"/>
      <c r="K20" s="24"/>
      <c r="L20" s="24"/>
    </row>
    <row r="21" customFormat="false" ht="30" hidden="false" customHeight="true" outlineLevel="0" collapsed="false">
      <c r="A21" s="24" t="s">
        <v>279</v>
      </c>
      <c r="B21" s="24" t="s">
        <v>1910</v>
      </c>
      <c r="C21" s="24" t="n">
        <v>100</v>
      </c>
      <c r="D21" s="24" t="s">
        <v>1911</v>
      </c>
      <c r="E21" s="24" t="s">
        <v>194</v>
      </c>
      <c r="F21" s="24" t="s">
        <v>1912</v>
      </c>
      <c r="G21" s="24" t="s">
        <v>1913</v>
      </c>
      <c r="H21" s="24" t="s">
        <v>1909</v>
      </c>
      <c r="I21" s="24" t="s">
        <v>427</v>
      </c>
      <c r="J21" s="24"/>
      <c r="K21" s="24"/>
      <c r="L21" s="24"/>
    </row>
    <row r="22" customFormat="false" ht="43.5" hidden="false" customHeight="true" outlineLevel="0" collapsed="false">
      <c r="A22" s="24" t="s">
        <v>279</v>
      </c>
      <c r="B22" s="24" t="s">
        <v>1914</v>
      </c>
      <c r="C22" s="24" t="n">
        <v>100</v>
      </c>
      <c r="D22" s="24" t="s">
        <v>1915</v>
      </c>
      <c r="E22" s="24" t="s">
        <v>194</v>
      </c>
      <c r="F22" s="24" t="s">
        <v>1916</v>
      </c>
      <c r="G22" s="24" t="s">
        <v>1917</v>
      </c>
      <c r="H22" s="24" t="s">
        <v>1909</v>
      </c>
      <c r="I22" s="24" t="s">
        <v>427</v>
      </c>
      <c r="J22" s="24"/>
      <c r="K22" s="24"/>
      <c r="L22" s="24"/>
    </row>
    <row r="23" customFormat="false" ht="30" hidden="false" customHeight="true" outlineLevel="0" collapsed="false">
      <c r="A23" s="24" t="s">
        <v>279</v>
      </c>
      <c r="B23" s="24" t="s">
        <v>1918</v>
      </c>
      <c r="C23" s="24" t="n">
        <v>100</v>
      </c>
      <c r="D23" s="24" t="s">
        <v>1919</v>
      </c>
      <c r="E23" s="24" t="s">
        <v>194</v>
      </c>
      <c r="F23" s="24" t="s">
        <v>1920</v>
      </c>
      <c r="G23" s="24" t="s">
        <v>1921</v>
      </c>
      <c r="H23" s="24" t="s">
        <v>1909</v>
      </c>
      <c r="I23" s="24" t="s">
        <v>427</v>
      </c>
      <c r="J23" s="24"/>
      <c r="K23" s="24"/>
      <c r="L23" s="24"/>
    </row>
    <row r="24" customFormat="false" ht="43.5" hidden="false" customHeight="true" outlineLevel="0" collapsed="false">
      <c r="A24" s="5" t="s">
        <v>279</v>
      </c>
      <c r="B24" s="5" t="s">
        <v>1922</v>
      </c>
      <c r="C24" s="5" t="n">
        <v>1</v>
      </c>
      <c r="D24" s="5" t="s">
        <v>1923</v>
      </c>
      <c r="E24" s="16" t="s">
        <v>295</v>
      </c>
      <c r="F24" s="5" t="s">
        <v>296</v>
      </c>
      <c r="G24" s="5"/>
      <c r="H24" s="5" t="s">
        <v>297</v>
      </c>
      <c r="I24" s="5" t="s">
        <v>298</v>
      </c>
      <c r="J24" s="18"/>
      <c r="K24" s="18"/>
      <c r="L24" s="5" t="str">
        <f aca="false">IF(J24&lt;&gt;"",J24,IF($J$19="Freigeben","Freigeben",""))</f>
        <v/>
      </c>
    </row>
    <row r="25" customFormat="false" ht="111" hidden="false" customHeight="true" outlineLevel="0" collapsed="false">
      <c r="A25" s="19" t="s">
        <v>274</v>
      </c>
      <c r="B25" s="19" t="s">
        <v>1924</v>
      </c>
      <c r="C25" s="20"/>
      <c r="D25" s="20" t="s">
        <v>1925</v>
      </c>
      <c r="E25" s="20"/>
      <c r="F25" s="20"/>
      <c r="G25" s="20"/>
      <c r="H25" s="20" t="s">
        <v>1926</v>
      </c>
      <c r="I25" s="20" t="s">
        <v>322</v>
      </c>
      <c r="J25" s="18"/>
      <c r="K25" s="20"/>
      <c r="L25" s="20"/>
    </row>
    <row r="26" customFormat="false" ht="111" hidden="false" customHeight="true" outlineLevel="0" collapsed="false">
      <c r="A26" s="5" t="s">
        <v>279</v>
      </c>
      <c r="B26" s="23" t="s">
        <v>1927</v>
      </c>
      <c r="C26" s="5" t="n">
        <v>300</v>
      </c>
      <c r="D26" s="5" t="s">
        <v>1928</v>
      </c>
      <c r="E26" s="21" t="s">
        <v>128</v>
      </c>
      <c r="F26" s="5" t="s">
        <v>1929</v>
      </c>
      <c r="G26" s="5" t="s">
        <v>1930</v>
      </c>
      <c r="H26" s="5" t="s">
        <v>1931</v>
      </c>
      <c r="I26" s="23" t="s">
        <v>335</v>
      </c>
      <c r="J26" s="18"/>
      <c r="K26" s="18"/>
      <c r="L26" s="5" t="str">
        <f aca="false">IF(J26&lt;&gt;"",J26,IF($J$25="Freigeben","Freigeben",""))</f>
        <v/>
      </c>
    </row>
    <row r="27" customFormat="false" ht="70.5" hidden="false" customHeight="true" outlineLevel="0" collapsed="false">
      <c r="A27" s="5" t="s">
        <v>279</v>
      </c>
      <c r="B27" s="23" t="s">
        <v>1932</v>
      </c>
      <c r="C27" s="5" t="n">
        <v>250</v>
      </c>
      <c r="D27" s="5" t="s">
        <v>1933</v>
      </c>
      <c r="E27" s="21" t="s">
        <v>128</v>
      </c>
      <c r="F27" s="5" t="s">
        <v>1934</v>
      </c>
      <c r="G27" s="5" t="s">
        <v>1935</v>
      </c>
      <c r="H27" s="5" t="s">
        <v>1936</v>
      </c>
      <c r="I27" s="23" t="s">
        <v>335</v>
      </c>
      <c r="J27" s="18"/>
      <c r="K27" s="18"/>
      <c r="L27" s="5" t="str">
        <f aca="false">IF(J27&lt;&gt;"",J27,IF($J$25="Freigeben","Freigeben",""))</f>
        <v/>
      </c>
    </row>
    <row r="28" customFormat="false" ht="111" hidden="false" customHeight="true" outlineLevel="0" collapsed="false">
      <c r="A28" s="5" t="s">
        <v>279</v>
      </c>
      <c r="B28" s="23" t="s">
        <v>1937</v>
      </c>
      <c r="C28" s="5" t="n">
        <v>200</v>
      </c>
      <c r="D28" s="5" t="s">
        <v>1938</v>
      </c>
      <c r="E28" s="22" t="s">
        <v>194</v>
      </c>
      <c r="F28" s="5" t="s">
        <v>1939</v>
      </c>
      <c r="G28" s="5" t="s">
        <v>1940</v>
      </c>
      <c r="H28" s="5" t="s">
        <v>1941</v>
      </c>
      <c r="I28" s="23" t="s">
        <v>335</v>
      </c>
      <c r="J28" s="18"/>
      <c r="K28" s="18"/>
      <c r="L28" s="5" t="str">
        <f aca="false">IF(J28&lt;&gt;"",J28,IF($J$25="Freigeben","Freigeben",""))</f>
        <v/>
      </c>
    </row>
    <row r="29" customFormat="false" ht="70.5" hidden="false" customHeight="true" outlineLevel="0" collapsed="false">
      <c r="A29" s="5" t="s">
        <v>279</v>
      </c>
      <c r="B29" s="23" t="s">
        <v>1942</v>
      </c>
      <c r="C29" s="5" t="n">
        <v>150</v>
      </c>
      <c r="D29" s="5" t="s">
        <v>1943</v>
      </c>
      <c r="E29" s="22" t="s">
        <v>194</v>
      </c>
      <c r="F29" s="5" t="s">
        <v>1944</v>
      </c>
      <c r="G29" s="5" t="s">
        <v>1945</v>
      </c>
      <c r="H29" s="5" t="s">
        <v>1946</v>
      </c>
      <c r="I29" s="23" t="s">
        <v>335</v>
      </c>
      <c r="J29" s="18"/>
      <c r="K29" s="18"/>
      <c r="L29" s="5" t="str">
        <f aca="false">IF(J29&lt;&gt;"",J29,IF($J$25="Freigeben","Freigeben",""))</f>
        <v/>
      </c>
    </row>
    <row r="30" customFormat="false" ht="111" hidden="false" customHeight="true" outlineLevel="0" collapsed="false">
      <c r="A30" s="5" t="s">
        <v>279</v>
      </c>
      <c r="B30" s="23" t="s">
        <v>1947</v>
      </c>
      <c r="C30" s="5" t="n">
        <v>140</v>
      </c>
      <c r="D30" s="5" t="s">
        <v>1948</v>
      </c>
      <c r="E30" s="15" t="s">
        <v>215</v>
      </c>
      <c r="F30" s="5" t="s">
        <v>1949</v>
      </c>
      <c r="G30" s="5" t="s">
        <v>1950</v>
      </c>
      <c r="H30" s="5" t="s">
        <v>1951</v>
      </c>
      <c r="I30" s="23" t="s">
        <v>335</v>
      </c>
      <c r="J30" s="18"/>
      <c r="K30" s="18"/>
      <c r="L30" s="5" t="str">
        <f aca="false">IF(J30&lt;&gt;"",J30,IF($J$25="Freigeben","Freigeben",""))</f>
        <v/>
      </c>
    </row>
    <row r="31" customFormat="false" ht="70.5" hidden="false" customHeight="true" outlineLevel="0" collapsed="false">
      <c r="A31" s="5" t="s">
        <v>279</v>
      </c>
      <c r="B31" s="23" t="s">
        <v>1952</v>
      </c>
      <c r="C31" s="5" t="n">
        <v>1</v>
      </c>
      <c r="D31" s="5" t="s">
        <v>1953</v>
      </c>
      <c r="E31" s="16" t="s">
        <v>295</v>
      </c>
      <c r="F31" s="5" t="s">
        <v>296</v>
      </c>
      <c r="G31" s="5"/>
      <c r="H31" s="5" t="s">
        <v>1946</v>
      </c>
      <c r="I31" s="23" t="s">
        <v>335</v>
      </c>
      <c r="J31" s="18"/>
      <c r="K31" s="18"/>
      <c r="L31" s="5" t="str">
        <f aca="false">IF(J31&lt;&gt;"",J31,IF($J$25="Freigeben","Freigeben",""))</f>
        <v/>
      </c>
    </row>
  </sheetData>
  <sheetProtection sheet="true" formatColumns="false" formatRows="false" sort="false" autoFilter="false"/>
  <autoFilter ref="A1:L31"/>
  <conditionalFormatting sqref="K2:K31">
    <cfRule type="expression" priority="2" aboveAverage="0" equalAverage="0" bottom="0" percent="0" rank="0" text="" dxfId="1">
      <formula>AND(OR(J2="Ändern",J2="Streichen"),K2="")</formula>
    </cfRule>
  </conditionalFormatting>
  <dataValidations count="2">
    <dataValidation allowBlank="true" error="Bitte einen Wert aus der Liste wählen: Freigeben" errorStyle="stop" errorTitle="Ungültige Eingabe" operator="between" prompt="Auswahl: Freigeben" promptTitle="Sammelentscheidung" showDropDown="false" showErrorMessage="true" showInputMessage="true" sqref="J2 J5 J9 J13 J19 J25" type="list">
      <formula1>"Freigeben"</formula1>
      <formula2>0</formula2>
    </dataValidation>
    <dataValidation allowBlank="true" error="Bitte einen Wert aus der Liste wählen: Freigeben, Ändern, Streichen" errorStyle="stop" errorTitle="Ungültige Eingabe" operator="between" prompt="Auswahl: Freigeben, Ändern, Streichen" promptTitle="Entscheidung" showDropDown="false" showErrorMessage="true" showInputMessage="true" sqref="J4 J8 J11:J12 J14:J18 J24 J26:J31" type="list">
      <formula1>"Freigeben,Ändern,Streichen"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 collapsed="false" customWidth="true" hidden="false" outlineLevel="0" max="3" min="3" style="0" width="12"/>
    <col collapsed="false" customWidth="true" hidden="false" outlineLevel="0" max="6" min="4" style="0" width="10"/>
    <col collapsed="false" customWidth="true" hidden="false" outlineLevel="0" max="7" min="7" style="0" width="40"/>
    <col collapsed="false" customWidth="true" hidden="false" outlineLevel="0" max="8" min="8" style="0" width="12"/>
  </cols>
  <sheetData>
    <row r="1" customFormat="false" ht="15" hidden="false" customHeight="false" outlineLevel="0" collapsed="false">
      <c r="A1" s="4" t="s">
        <v>263</v>
      </c>
      <c r="B1" s="4" t="s">
        <v>1954</v>
      </c>
      <c r="C1" s="4" t="s">
        <v>1955</v>
      </c>
      <c r="D1" s="4" t="s">
        <v>1956</v>
      </c>
      <c r="E1" s="4" t="s">
        <v>1957</v>
      </c>
      <c r="F1" s="4" t="s">
        <v>1958</v>
      </c>
      <c r="G1" s="4" t="s">
        <v>1959</v>
      </c>
      <c r="H1" s="4" t="s">
        <v>1960</v>
      </c>
    </row>
    <row r="2" customFormat="false" ht="16.5" hidden="false" customHeight="true" outlineLevel="0" collapsed="false">
      <c r="A2" s="5" t="s">
        <v>1961</v>
      </c>
      <c r="B2" s="5" t="s">
        <v>1962</v>
      </c>
      <c r="C2" s="5" t="s">
        <v>1963</v>
      </c>
      <c r="D2" s="14" t="s">
        <v>1964</v>
      </c>
      <c r="E2" s="5" t="s">
        <v>1964</v>
      </c>
      <c r="F2" s="5"/>
      <c r="G2" s="5" t="s">
        <v>1196</v>
      </c>
      <c r="H2" s="18"/>
    </row>
    <row r="3" customFormat="false" ht="16.5" hidden="false" customHeight="true" outlineLevel="0" collapsed="false">
      <c r="A3" s="5" t="s">
        <v>1965</v>
      </c>
      <c r="B3" s="5" t="s">
        <v>1966</v>
      </c>
      <c r="C3" s="5" t="s">
        <v>1963</v>
      </c>
      <c r="D3" s="14" t="s">
        <v>1964</v>
      </c>
      <c r="E3" s="5" t="s">
        <v>1964</v>
      </c>
      <c r="F3" s="5"/>
      <c r="G3" s="5" t="s">
        <v>513</v>
      </c>
      <c r="H3" s="18"/>
    </row>
    <row r="4" customFormat="false" ht="16.5" hidden="false" customHeight="true" outlineLevel="0" collapsed="false">
      <c r="A4" s="5" t="s">
        <v>1967</v>
      </c>
      <c r="B4" s="5" t="s">
        <v>1968</v>
      </c>
      <c r="C4" s="5" t="s">
        <v>1963</v>
      </c>
      <c r="D4" s="14" t="s">
        <v>1964</v>
      </c>
      <c r="E4" s="5" t="s">
        <v>1964</v>
      </c>
      <c r="F4" s="5"/>
      <c r="G4" s="5" t="s">
        <v>1969</v>
      </c>
      <c r="H4" s="18"/>
    </row>
    <row r="5" customFormat="false" ht="16.5" hidden="false" customHeight="true" outlineLevel="0" collapsed="false">
      <c r="A5" s="5" t="s">
        <v>1970</v>
      </c>
      <c r="B5" s="5" t="s">
        <v>1971</v>
      </c>
      <c r="C5" s="5" t="s">
        <v>1963</v>
      </c>
      <c r="D5" s="14" t="s">
        <v>1964</v>
      </c>
      <c r="E5" s="5" t="s">
        <v>1964</v>
      </c>
      <c r="F5" s="5"/>
      <c r="G5" s="5" t="s">
        <v>577</v>
      </c>
      <c r="H5" s="18"/>
    </row>
    <row r="6" customFormat="false" ht="30" hidden="false" customHeight="true" outlineLevel="0" collapsed="false">
      <c r="A6" s="5" t="s">
        <v>1972</v>
      </c>
      <c r="B6" s="5" t="s">
        <v>1973</v>
      </c>
      <c r="C6" s="5" t="s">
        <v>1963</v>
      </c>
      <c r="D6" s="14" t="s">
        <v>1964</v>
      </c>
      <c r="E6" s="5" t="s">
        <v>1964</v>
      </c>
      <c r="F6" s="5"/>
      <c r="G6" s="5" t="s">
        <v>411</v>
      </c>
      <c r="H6" s="18"/>
    </row>
    <row r="7" customFormat="false" ht="30" hidden="false" customHeight="true" outlineLevel="0" collapsed="false">
      <c r="A7" s="5" t="s">
        <v>1974</v>
      </c>
      <c r="B7" s="5" t="s">
        <v>1975</v>
      </c>
      <c r="C7" s="5" t="s">
        <v>1963</v>
      </c>
      <c r="D7" s="14" t="s">
        <v>1964</v>
      </c>
      <c r="E7" s="5" t="s">
        <v>1964</v>
      </c>
      <c r="F7" s="5"/>
      <c r="G7" s="5" t="s">
        <v>664</v>
      </c>
      <c r="H7" s="18"/>
    </row>
    <row r="8" customFormat="false" ht="16.5" hidden="false" customHeight="true" outlineLevel="0" collapsed="false">
      <c r="A8" s="5" t="s">
        <v>1976</v>
      </c>
      <c r="B8" s="5" t="s">
        <v>1977</v>
      </c>
      <c r="C8" s="5" t="s">
        <v>1963</v>
      </c>
      <c r="D8" s="14" t="s">
        <v>1964</v>
      </c>
      <c r="E8" s="5" t="s">
        <v>1964</v>
      </c>
      <c r="F8" s="5"/>
      <c r="G8" s="5" t="s">
        <v>349</v>
      </c>
      <c r="H8" s="18"/>
    </row>
    <row r="9" customFormat="false" ht="30" hidden="false" customHeight="true" outlineLevel="0" collapsed="false">
      <c r="A9" s="5" t="s">
        <v>1978</v>
      </c>
      <c r="B9" s="5" t="s">
        <v>1979</v>
      </c>
      <c r="C9" s="5" t="s">
        <v>1963</v>
      </c>
      <c r="D9" s="14" t="s">
        <v>1964</v>
      </c>
      <c r="E9" s="5" t="s">
        <v>1964</v>
      </c>
      <c r="F9" s="5"/>
      <c r="G9" s="5" t="s">
        <v>1515</v>
      </c>
      <c r="H9" s="18"/>
    </row>
    <row r="10" customFormat="false" ht="16.5" hidden="false" customHeight="true" outlineLevel="0" collapsed="false">
      <c r="A10" s="5" t="s">
        <v>1980</v>
      </c>
      <c r="B10" s="5" t="s">
        <v>1981</v>
      </c>
      <c r="C10" s="5" t="s">
        <v>1963</v>
      </c>
      <c r="D10" s="14" t="s">
        <v>1964</v>
      </c>
      <c r="E10" s="5" t="s">
        <v>1964</v>
      </c>
      <c r="F10" s="5"/>
      <c r="G10" s="5" t="s">
        <v>1528</v>
      </c>
      <c r="H10" s="18"/>
    </row>
    <row r="11" customFormat="false" ht="43.5" hidden="false" customHeight="true" outlineLevel="0" collapsed="false">
      <c r="A11" s="5" t="s">
        <v>1982</v>
      </c>
      <c r="B11" s="5" t="s">
        <v>1983</v>
      </c>
      <c r="C11" s="5" t="s">
        <v>1963</v>
      </c>
      <c r="D11" s="14" t="s">
        <v>1964</v>
      </c>
      <c r="E11" s="5" t="s">
        <v>1964</v>
      </c>
      <c r="F11" s="5"/>
      <c r="G11" s="5" t="s">
        <v>1544</v>
      </c>
      <c r="H11" s="18"/>
    </row>
    <row r="12" customFormat="false" ht="16.5" hidden="false" customHeight="true" outlineLevel="0" collapsed="false">
      <c r="A12" s="5" t="s">
        <v>1984</v>
      </c>
      <c r="B12" s="5" t="s">
        <v>1985</v>
      </c>
      <c r="C12" s="5" t="s">
        <v>1963</v>
      </c>
      <c r="D12" s="14" t="s">
        <v>1986</v>
      </c>
      <c r="E12" s="5" t="s">
        <v>1964</v>
      </c>
      <c r="F12" s="23" t="s">
        <v>176</v>
      </c>
      <c r="G12" s="5" t="s">
        <v>743</v>
      </c>
      <c r="H12" s="18"/>
    </row>
    <row r="13" customFormat="false" ht="16.5" hidden="false" customHeight="true" outlineLevel="0" collapsed="false">
      <c r="A13" s="5" t="s">
        <v>1987</v>
      </c>
      <c r="B13" s="5" t="s">
        <v>1988</v>
      </c>
      <c r="C13" s="5" t="s">
        <v>1963</v>
      </c>
      <c r="D13" s="14" t="s">
        <v>1986</v>
      </c>
      <c r="E13" s="5" t="s">
        <v>1964</v>
      </c>
      <c r="F13" s="23" t="s">
        <v>176</v>
      </c>
      <c r="G13" s="5" t="s">
        <v>1856</v>
      </c>
      <c r="H13" s="18"/>
    </row>
    <row r="14" customFormat="false" ht="43.5" hidden="false" customHeight="true" outlineLevel="0" collapsed="false">
      <c r="A14" s="5" t="s">
        <v>1989</v>
      </c>
      <c r="B14" s="5" t="s">
        <v>1990</v>
      </c>
      <c r="C14" s="5" t="s">
        <v>1963</v>
      </c>
      <c r="D14" s="14" t="s">
        <v>1986</v>
      </c>
      <c r="E14" s="5" t="s">
        <v>1964</v>
      </c>
      <c r="F14" s="23" t="s">
        <v>176</v>
      </c>
      <c r="G14" s="5" t="s">
        <v>1991</v>
      </c>
      <c r="H14" s="18"/>
    </row>
    <row r="15" customFormat="false" ht="16.5" hidden="false" customHeight="true" outlineLevel="0" collapsed="false">
      <c r="A15" s="5" t="s">
        <v>1992</v>
      </c>
      <c r="B15" s="5" t="s">
        <v>1993</v>
      </c>
      <c r="C15" s="5" t="s">
        <v>1963</v>
      </c>
      <c r="D15" s="14" t="s">
        <v>1986</v>
      </c>
      <c r="E15" s="5" t="s">
        <v>1964</v>
      </c>
      <c r="F15" s="23" t="s">
        <v>176</v>
      </c>
      <c r="G15" s="5" t="s">
        <v>1914</v>
      </c>
      <c r="H15" s="18"/>
    </row>
    <row r="16" customFormat="false" ht="30" hidden="false" customHeight="true" outlineLevel="0" collapsed="false">
      <c r="A16" s="5" t="s">
        <v>1994</v>
      </c>
      <c r="B16" s="5" t="s">
        <v>1995</v>
      </c>
      <c r="C16" s="5" t="s">
        <v>1963</v>
      </c>
      <c r="D16" s="14" t="s">
        <v>1986</v>
      </c>
      <c r="E16" s="5" t="s">
        <v>1964</v>
      </c>
      <c r="F16" s="23" t="s">
        <v>176</v>
      </c>
      <c r="G16" s="5" t="s">
        <v>1851</v>
      </c>
      <c r="H16" s="18"/>
    </row>
    <row r="17" customFormat="false" ht="16.5" hidden="false" customHeight="true" outlineLevel="0" collapsed="false">
      <c r="A17" s="5" t="s">
        <v>1996</v>
      </c>
      <c r="B17" s="5" t="s">
        <v>1997</v>
      </c>
      <c r="C17" s="5" t="s">
        <v>1963</v>
      </c>
      <c r="D17" s="14" t="s">
        <v>1986</v>
      </c>
      <c r="E17" s="5" t="s">
        <v>1964</v>
      </c>
      <c r="F17" s="23" t="s">
        <v>176</v>
      </c>
      <c r="G17" s="5" t="s">
        <v>686</v>
      </c>
      <c r="H17" s="18"/>
    </row>
    <row r="18" customFormat="false" ht="16.5" hidden="false" customHeight="true" outlineLevel="0" collapsed="false">
      <c r="A18" s="5" t="s">
        <v>1998</v>
      </c>
      <c r="B18" s="5" t="s">
        <v>1999</v>
      </c>
      <c r="C18" s="5" t="s">
        <v>1963</v>
      </c>
      <c r="D18" s="14" t="s">
        <v>1964</v>
      </c>
      <c r="E18" s="5" t="s">
        <v>1964</v>
      </c>
      <c r="F18" s="5"/>
      <c r="G18" s="5" t="s">
        <v>678</v>
      </c>
      <c r="H18" s="18"/>
    </row>
    <row r="19" customFormat="false" ht="16.5" hidden="false" customHeight="true" outlineLevel="0" collapsed="false">
      <c r="A19" s="5" t="s">
        <v>2000</v>
      </c>
      <c r="B19" s="5" t="s">
        <v>2001</v>
      </c>
      <c r="C19" s="5" t="s">
        <v>1963</v>
      </c>
      <c r="D19" s="14" t="s">
        <v>1964</v>
      </c>
      <c r="E19" s="5" t="s">
        <v>1964</v>
      </c>
      <c r="F19" s="5"/>
      <c r="G19" s="5" t="s">
        <v>1714</v>
      </c>
      <c r="H19" s="18"/>
    </row>
    <row r="20" customFormat="false" ht="30" hidden="false" customHeight="true" outlineLevel="0" collapsed="false">
      <c r="A20" s="5" t="s">
        <v>2002</v>
      </c>
      <c r="B20" s="5" t="s">
        <v>2003</v>
      </c>
      <c r="C20" s="5" t="s">
        <v>1963</v>
      </c>
      <c r="D20" s="14" t="s">
        <v>1964</v>
      </c>
      <c r="E20" s="5" t="s">
        <v>1964</v>
      </c>
      <c r="F20" s="5"/>
      <c r="G20" s="5" t="s">
        <v>1036</v>
      </c>
      <c r="H20" s="18"/>
    </row>
    <row r="21" customFormat="false" ht="30" hidden="false" customHeight="true" outlineLevel="0" collapsed="false">
      <c r="A21" s="5" t="s">
        <v>2004</v>
      </c>
      <c r="B21" s="5" t="s">
        <v>2005</v>
      </c>
      <c r="C21" s="5" t="s">
        <v>1963</v>
      </c>
      <c r="D21" s="14" t="s">
        <v>1964</v>
      </c>
      <c r="E21" s="5" t="s">
        <v>1964</v>
      </c>
      <c r="F21" s="5"/>
      <c r="G21" s="5" t="s">
        <v>1135</v>
      </c>
      <c r="H21" s="18"/>
    </row>
    <row r="22" customFormat="false" ht="30" hidden="false" customHeight="true" outlineLevel="0" collapsed="false">
      <c r="A22" s="5" t="s">
        <v>2006</v>
      </c>
      <c r="B22" s="5" t="s">
        <v>2007</v>
      </c>
      <c r="C22" s="5" t="s">
        <v>1963</v>
      </c>
      <c r="D22" s="14" t="s">
        <v>1964</v>
      </c>
      <c r="E22" s="5" t="s">
        <v>1964</v>
      </c>
      <c r="F22" s="5"/>
      <c r="G22" s="5" t="s">
        <v>556</v>
      </c>
      <c r="H22" s="18"/>
    </row>
    <row r="23" customFormat="false" ht="16.5" hidden="false" customHeight="true" outlineLevel="0" collapsed="false">
      <c r="A23" s="5" t="s">
        <v>2008</v>
      </c>
      <c r="B23" s="5" t="s">
        <v>2009</v>
      </c>
      <c r="C23" s="5" t="s">
        <v>1963</v>
      </c>
      <c r="D23" s="14" t="s">
        <v>1964</v>
      </c>
      <c r="E23" s="5" t="s">
        <v>1964</v>
      </c>
      <c r="F23" s="5"/>
      <c r="G23" s="5" t="s">
        <v>765</v>
      </c>
      <c r="H23" s="18"/>
    </row>
    <row r="24" customFormat="false" ht="16.5" hidden="false" customHeight="true" outlineLevel="0" collapsed="false">
      <c r="A24" s="5" t="s">
        <v>2010</v>
      </c>
      <c r="B24" s="5" t="s">
        <v>2011</v>
      </c>
      <c r="C24" s="5" t="s">
        <v>1963</v>
      </c>
      <c r="D24" s="14" t="s">
        <v>1964</v>
      </c>
      <c r="E24" s="5" t="s">
        <v>1964</v>
      </c>
      <c r="F24" s="5"/>
      <c r="G24" s="5" t="s">
        <v>2012</v>
      </c>
      <c r="H24" s="18"/>
    </row>
    <row r="25" customFormat="false" ht="16.5" hidden="false" customHeight="true" outlineLevel="0" collapsed="false">
      <c r="A25" s="5" t="s">
        <v>2013</v>
      </c>
      <c r="B25" s="5" t="s">
        <v>2014</v>
      </c>
      <c r="C25" s="5" t="s">
        <v>1963</v>
      </c>
      <c r="D25" s="14" t="s">
        <v>1986</v>
      </c>
      <c r="E25" s="5" t="s">
        <v>1964</v>
      </c>
      <c r="F25" s="23" t="s">
        <v>176</v>
      </c>
      <c r="G25" s="5" t="s">
        <v>1942</v>
      </c>
      <c r="H25" s="18"/>
    </row>
    <row r="26" customFormat="false" ht="30" hidden="false" customHeight="true" outlineLevel="0" collapsed="false">
      <c r="A26" s="5" t="s">
        <v>2015</v>
      </c>
      <c r="B26" s="5" t="s">
        <v>2016</v>
      </c>
      <c r="C26" s="5" t="s">
        <v>1963</v>
      </c>
      <c r="D26" s="14" t="s">
        <v>1964</v>
      </c>
      <c r="E26" s="5" t="s">
        <v>1964</v>
      </c>
      <c r="F26" s="5"/>
      <c r="G26" s="5" t="s">
        <v>1684</v>
      </c>
      <c r="H26" s="18"/>
    </row>
    <row r="27" customFormat="false" ht="16.5" hidden="false" customHeight="true" outlineLevel="0" collapsed="false">
      <c r="A27" s="5" t="s">
        <v>2017</v>
      </c>
      <c r="B27" s="5" t="s">
        <v>2018</v>
      </c>
      <c r="C27" s="5" t="s">
        <v>1963</v>
      </c>
      <c r="D27" s="14" t="s">
        <v>1964</v>
      </c>
      <c r="E27" s="5" t="s">
        <v>1964</v>
      </c>
      <c r="F27" s="5"/>
      <c r="G27" s="5" t="s">
        <v>1789</v>
      </c>
      <c r="H27" s="18"/>
    </row>
    <row r="28" customFormat="false" ht="16.5" hidden="false" customHeight="true" outlineLevel="0" collapsed="false">
      <c r="A28" s="5" t="s">
        <v>2019</v>
      </c>
      <c r="B28" s="5" t="s">
        <v>2020</v>
      </c>
      <c r="C28" s="5" t="s">
        <v>1963</v>
      </c>
      <c r="D28" s="14" t="s">
        <v>1964</v>
      </c>
      <c r="E28" s="5" t="s">
        <v>1964</v>
      </c>
      <c r="F28" s="5"/>
      <c r="G28" s="5" t="s">
        <v>1794</v>
      </c>
      <c r="H28" s="18"/>
    </row>
    <row r="29" customFormat="false" ht="30" hidden="false" customHeight="true" outlineLevel="0" collapsed="false">
      <c r="A29" s="5" t="s">
        <v>2021</v>
      </c>
      <c r="B29" s="5" t="s">
        <v>2022</v>
      </c>
      <c r="C29" s="5" t="s">
        <v>1963</v>
      </c>
      <c r="D29" s="14" t="s">
        <v>1986</v>
      </c>
      <c r="E29" s="5" t="s">
        <v>1964</v>
      </c>
      <c r="F29" s="23" t="s">
        <v>176</v>
      </c>
      <c r="G29" s="5" t="s">
        <v>1905</v>
      </c>
      <c r="H29" s="18"/>
    </row>
    <row r="30" customFormat="false" ht="30" hidden="false" customHeight="true" outlineLevel="0" collapsed="false">
      <c r="A30" s="5" t="s">
        <v>2023</v>
      </c>
      <c r="B30" s="5" t="s">
        <v>2024</v>
      </c>
      <c r="C30" s="5" t="s">
        <v>1963</v>
      </c>
      <c r="D30" s="14" t="s">
        <v>1986</v>
      </c>
      <c r="E30" s="5" t="s">
        <v>1964</v>
      </c>
      <c r="F30" s="23" t="s">
        <v>176</v>
      </c>
      <c r="G30" s="5" t="s">
        <v>702</v>
      </c>
      <c r="H30" s="18"/>
    </row>
    <row r="31" customFormat="false" ht="16.5" hidden="false" customHeight="true" outlineLevel="0" collapsed="false">
      <c r="A31" s="5" t="s">
        <v>2025</v>
      </c>
      <c r="B31" s="5" t="s">
        <v>2026</v>
      </c>
      <c r="C31" s="5" t="s">
        <v>1963</v>
      </c>
      <c r="D31" s="14" t="s">
        <v>1964</v>
      </c>
      <c r="E31" s="5" t="s">
        <v>1964</v>
      </c>
      <c r="F31" s="5"/>
      <c r="G31" s="5" t="s">
        <v>1245</v>
      </c>
      <c r="H31" s="18"/>
    </row>
    <row r="32" customFormat="false" ht="16.5" hidden="false" customHeight="true" outlineLevel="0" collapsed="false">
      <c r="A32" s="5" t="s">
        <v>2027</v>
      </c>
      <c r="B32" s="5" t="s">
        <v>2028</v>
      </c>
      <c r="C32" s="5" t="s">
        <v>1963</v>
      </c>
      <c r="D32" s="14" t="s">
        <v>1964</v>
      </c>
      <c r="E32" s="5" t="s">
        <v>1964</v>
      </c>
      <c r="F32" s="5"/>
      <c r="G32" s="5" t="s">
        <v>1072</v>
      </c>
      <c r="H32" s="18"/>
    </row>
    <row r="33" customFormat="false" ht="16.5" hidden="false" customHeight="true" outlineLevel="0" collapsed="false">
      <c r="A33" s="5" t="s">
        <v>2029</v>
      </c>
      <c r="B33" s="5" t="s">
        <v>2030</v>
      </c>
      <c r="C33" s="5" t="s">
        <v>1963</v>
      </c>
      <c r="D33" s="14" t="s">
        <v>1964</v>
      </c>
      <c r="E33" s="5" t="s">
        <v>1964</v>
      </c>
      <c r="F33" s="5"/>
      <c r="G33" s="5" t="s">
        <v>1346</v>
      </c>
      <c r="H33" s="18"/>
    </row>
    <row r="34" customFormat="false" ht="30" hidden="false" customHeight="true" outlineLevel="0" collapsed="false">
      <c r="A34" s="5" t="s">
        <v>2031</v>
      </c>
      <c r="B34" s="5" t="s">
        <v>2032</v>
      </c>
      <c r="C34" s="5" t="s">
        <v>1963</v>
      </c>
      <c r="D34" s="14" t="s">
        <v>1964</v>
      </c>
      <c r="E34" s="5" t="s">
        <v>1964</v>
      </c>
      <c r="F34" s="5"/>
      <c r="G34" s="5" t="s">
        <v>2033</v>
      </c>
      <c r="H34" s="18"/>
    </row>
    <row r="35" customFormat="false" ht="16.5" hidden="false" customHeight="true" outlineLevel="0" collapsed="false">
      <c r="A35" s="5" t="s">
        <v>2034</v>
      </c>
      <c r="B35" s="5" t="s">
        <v>2035</v>
      </c>
      <c r="C35" s="5" t="s">
        <v>1963</v>
      </c>
      <c r="D35" s="14" t="s">
        <v>1964</v>
      </c>
      <c r="E35" s="5" t="s">
        <v>1964</v>
      </c>
      <c r="F35" s="5"/>
      <c r="G35" s="5" t="s">
        <v>1130</v>
      </c>
      <c r="H35" s="18"/>
    </row>
    <row r="36" customFormat="false" ht="16.5" hidden="false" customHeight="true" outlineLevel="0" collapsed="false">
      <c r="A36" s="5" t="s">
        <v>2036</v>
      </c>
      <c r="B36" s="5" t="s">
        <v>2037</v>
      </c>
      <c r="C36" s="5" t="s">
        <v>1963</v>
      </c>
      <c r="D36" s="14" t="s">
        <v>1964</v>
      </c>
      <c r="E36" s="5" t="s">
        <v>1964</v>
      </c>
      <c r="F36" s="5"/>
      <c r="G36" s="5" t="s">
        <v>491</v>
      </c>
      <c r="H36" s="18"/>
    </row>
    <row r="37" customFormat="false" ht="30" hidden="false" customHeight="true" outlineLevel="0" collapsed="false">
      <c r="A37" s="5" t="s">
        <v>2038</v>
      </c>
      <c r="B37" s="5" t="s">
        <v>2039</v>
      </c>
      <c r="C37" s="5" t="s">
        <v>1963</v>
      </c>
      <c r="D37" s="14" t="s">
        <v>1964</v>
      </c>
      <c r="E37" s="5" t="s">
        <v>1964</v>
      </c>
      <c r="F37" s="5"/>
      <c r="G37" s="5" t="s">
        <v>1102</v>
      </c>
      <c r="H37" s="18"/>
    </row>
    <row r="38" customFormat="false" ht="16.5" hidden="false" customHeight="true" outlineLevel="0" collapsed="false">
      <c r="A38" s="5" t="s">
        <v>2040</v>
      </c>
      <c r="B38" s="5" t="s">
        <v>2041</v>
      </c>
      <c r="C38" s="5" t="s">
        <v>1963</v>
      </c>
      <c r="D38" s="14" t="s">
        <v>1964</v>
      </c>
      <c r="E38" s="5" t="s">
        <v>1964</v>
      </c>
      <c r="F38" s="5"/>
      <c r="G38" s="5" t="s">
        <v>1318</v>
      </c>
      <c r="H38" s="18"/>
    </row>
    <row r="39" customFormat="false" ht="16.5" hidden="false" customHeight="true" outlineLevel="0" collapsed="false">
      <c r="A39" s="5" t="s">
        <v>2042</v>
      </c>
      <c r="B39" s="5" t="s">
        <v>2043</v>
      </c>
      <c r="C39" s="5" t="s">
        <v>1963</v>
      </c>
      <c r="D39" s="14" t="s">
        <v>1986</v>
      </c>
      <c r="E39" s="5" t="s">
        <v>1964</v>
      </c>
      <c r="F39" s="23" t="s">
        <v>176</v>
      </c>
      <c r="G39" s="5" t="s">
        <v>288</v>
      </c>
      <c r="H39" s="18"/>
    </row>
    <row r="40" customFormat="false" ht="16.5" hidden="false" customHeight="true" outlineLevel="0" collapsed="false">
      <c r="A40" s="5" t="s">
        <v>2044</v>
      </c>
      <c r="B40" s="5" t="s">
        <v>2045</v>
      </c>
      <c r="C40" s="5" t="s">
        <v>1963</v>
      </c>
      <c r="D40" s="14" t="s">
        <v>1964</v>
      </c>
      <c r="E40" s="5" t="s">
        <v>1964</v>
      </c>
      <c r="F40" s="5"/>
      <c r="G40" s="5" t="s">
        <v>924</v>
      </c>
      <c r="H40" s="18"/>
    </row>
    <row r="41" customFormat="false" ht="16.5" hidden="false" customHeight="true" outlineLevel="0" collapsed="false">
      <c r="A41" s="5" t="s">
        <v>2046</v>
      </c>
      <c r="B41" s="5" t="s">
        <v>2047</v>
      </c>
      <c r="C41" s="5" t="s">
        <v>1963</v>
      </c>
      <c r="D41" s="14" t="s">
        <v>1964</v>
      </c>
      <c r="E41" s="5" t="s">
        <v>1964</v>
      </c>
      <c r="F41" s="5"/>
      <c r="G41" s="5" t="s">
        <v>2048</v>
      </c>
      <c r="H41" s="18"/>
    </row>
    <row r="42" customFormat="false" ht="16.5" hidden="false" customHeight="true" outlineLevel="0" collapsed="false">
      <c r="A42" s="5" t="s">
        <v>2049</v>
      </c>
      <c r="B42" s="5" t="s">
        <v>2050</v>
      </c>
      <c r="C42" s="5" t="s">
        <v>1963</v>
      </c>
      <c r="D42" s="14" t="s">
        <v>1986</v>
      </c>
      <c r="E42" s="5" t="s">
        <v>1964</v>
      </c>
      <c r="F42" s="23" t="s">
        <v>176</v>
      </c>
      <c r="G42" s="5" t="s">
        <v>740</v>
      </c>
      <c r="H42" s="18"/>
    </row>
    <row r="43" customFormat="false" ht="16.5" hidden="false" customHeight="true" outlineLevel="0" collapsed="false">
      <c r="A43" s="5" t="s">
        <v>2051</v>
      </c>
      <c r="B43" s="5" t="s">
        <v>2052</v>
      </c>
      <c r="C43" s="5" t="s">
        <v>1963</v>
      </c>
      <c r="D43" s="14" t="s">
        <v>1964</v>
      </c>
      <c r="E43" s="5" t="s">
        <v>1964</v>
      </c>
      <c r="F43" s="5"/>
      <c r="G43" s="5" t="s">
        <v>1083</v>
      </c>
      <c r="H43" s="18"/>
    </row>
    <row r="44" customFormat="false" ht="16.5" hidden="false" customHeight="true" outlineLevel="0" collapsed="false">
      <c r="A44" s="5" t="s">
        <v>2053</v>
      </c>
      <c r="B44" s="5" t="s">
        <v>2054</v>
      </c>
      <c r="C44" s="5" t="s">
        <v>1963</v>
      </c>
      <c r="D44" s="14" t="s">
        <v>1986</v>
      </c>
      <c r="E44" s="5" t="s">
        <v>1964</v>
      </c>
      <c r="F44" s="23" t="s">
        <v>176</v>
      </c>
      <c r="G44" s="5" t="s">
        <v>302</v>
      </c>
      <c r="H44" s="18"/>
    </row>
    <row r="45" customFormat="false" ht="16.5" hidden="false" customHeight="true" outlineLevel="0" collapsed="false">
      <c r="A45" s="5" t="s">
        <v>2055</v>
      </c>
      <c r="B45" s="5" t="s">
        <v>2056</v>
      </c>
      <c r="C45" s="5" t="s">
        <v>1963</v>
      </c>
      <c r="D45" s="14" t="s">
        <v>1964</v>
      </c>
      <c r="E45" s="5" t="s">
        <v>1964</v>
      </c>
      <c r="F45" s="5"/>
      <c r="G45" s="5" t="s">
        <v>1032</v>
      </c>
      <c r="H45" s="18"/>
    </row>
    <row r="46" customFormat="false" ht="16.5" hidden="false" customHeight="true" outlineLevel="0" collapsed="false">
      <c r="A46" s="5" t="s">
        <v>2057</v>
      </c>
      <c r="B46" s="5" t="s">
        <v>2058</v>
      </c>
      <c r="C46" s="5" t="s">
        <v>1963</v>
      </c>
      <c r="D46" s="14" t="s">
        <v>1986</v>
      </c>
      <c r="E46" s="5" t="s">
        <v>1964</v>
      </c>
      <c r="F46" s="23" t="s">
        <v>176</v>
      </c>
      <c r="G46" s="5" t="s">
        <v>1728</v>
      </c>
      <c r="H46" s="18"/>
    </row>
    <row r="47" customFormat="false" ht="16.5" hidden="false" customHeight="true" outlineLevel="0" collapsed="false">
      <c r="A47" s="5" t="s">
        <v>2059</v>
      </c>
      <c r="B47" s="5" t="s">
        <v>2060</v>
      </c>
      <c r="C47" s="5" t="s">
        <v>1963</v>
      </c>
      <c r="D47" s="14" t="s">
        <v>1986</v>
      </c>
      <c r="E47" s="5" t="s">
        <v>1964</v>
      </c>
      <c r="F47" s="23" t="s">
        <v>176</v>
      </c>
      <c r="G47" s="5" t="s">
        <v>1041</v>
      </c>
      <c r="H47" s="18"/>
    </row>
    <row r="48" customFormat="false" ht="16.5" hidden="false" customHeight="true" outlineLevel="0" collapsed="false">
      <c r="A48" s="5" t="s">
        <v>2061</v>
      </c>
      <c r="B48" s="5" t="s">
        <v>2062</v>
      </c>
      <c r="C48" s="5" t="s">
        <v>1963</v>
      </c>
      <c r="D48" s="14" t="s">
        <v>1964</v>
      </c>
      <c r="E48" s="5" t="s">
        <v>1964</v>
      </c>
      <c r="F48" s="5"/>
      <c r="G48" s="5" t="s">
        <v>2063</v>
      </c>
      <c r="H48" s="18"/>
    </row>
    <row r="49" customFormat="false" ht="16.5" hidden="false" customHeight="true" outlineLevel="0" collapsed="false">
      <c r="A49" s="5" t="s">
        <v>2064</v>
      </c>
      <c r="B49" s="5" t="s">
        <v>2065</v>
      </c>
      <c r="C49" s="5" t="s">
        <v>1963</v>
      </c>
      <c r="D49" s="14" t="s">
        <v>1964</v>
      </c>
      <c r="E49" s="5" t="s">
        <v>1964</v>
      </c>
      <c r="F49" s="5"/>
      <c r="G49" s="5" t="s">
        <v>547</v>
      </c>
      <c r="H49" s="18"/>
    </row>
    <row r="50" customFormat="false" ht="16.5" hidden="false" customHeight="true" outlineLevel="0" collapsed="false">
      <c r="A50" s="5" t="s">
        <v>2066</v>
      </c>
      <c r="B50" s="5" t="s">
        <v>2067</v>
      </c>
      <c r="C50" s="5" t="s">
        <v>1963</v>
      </c>
      <c r="D50" s="14" t="s">
        <v>1986</v>
      </c>
      <c r="E50" s="5" t="s">
        <v>1964</v>
      </c>
      <c r="F50" s="23" t="s">
        <v>176</v>
      </c>
      <c r="G50" s="5" t="s">
        <v>1055</v>
      </c>
      <c r="H50" s="18"/>
    </row>
    <row r="51" customFormat="false" ht="16.5" hidden="false" customHeight="true" outlineLevel="0" collapsed="false">
      <c r="A51" s="5" t="s">
        <v>2068</v>
      </c>
      <c r="B51" s="5" t="s">
        <v>2069</v>
      </c>
      <c r="C51" s="5" t="s">
        <v>1963</v>
      </c>
      <c r="D51" s="14" t="s">
        <v>1964</v>
      </c>
      <c r="E51" s="5" t="s">
        <v>1964</v>
      </c>
      <c r="F51" s="5"/>
      <c r="G51" s="5" t="s">
        <v>734</v>
      </c>
      <c r="H51" s="18"/>
    </row>
    <row r="52" customFormat="false" ht="16.5" hidden="false" customHeight="true" outlineLevel="0" collapsed="false">
      <c r="A52" s="5" t="s">
        <v>2070</v>
      </c>
      <c r="B52" s="5" t="s">
        <v>2071</v>
      </c>
      <c r="C52" s="5" t="s">
        <v>1963</v>
      </c>
      <c r="D52" s="14" t="s">
        <v>1986</v>
      </c>
      <c r="E52" s="5" t="s">
        <v>1964</v>
      </c>
      <c r="F52" s="23" t="s">
        <v>176</v>
      </c>
      <c r="G52" s="5" t="s">
        <v>582</v>
      </c>
      <c r="H52" s="18"/>
    </row>
    <row r="53" customFormat="false" ht="16.5" hidden="false" customHeight="true" outlineLevel="0" collapsed="false">
      <c r="A53" s="5" t="s">
        <v>2072</v>
      </c>
      <c r="B53" s="5" t="s">
        <v>2073</v>
      </c>
      <c r="C53" s="5" t="s">
        <v>1963</v>
      </c>
      <c r="D53" s="14" t="s">
        <v>1964</v>
      </c>
      <c r="E53" s="5" t="s">
        <v>1964</v>
      </c>
      <c r="F53" s="5"/>
      <c r="G53" s="5" t="s">
        <v>699</v>
      </c>
      <c r="H53" s="18"/>
    </row>
    <row r="54" customFormat="false" ht="30" hidden="false" customHeight="true" outlineLevel="0" collapsed="false">
      <c r="A54" s="5" t="s">
        <v>2074</v>
      </c>
      <c r="B54" s="5" t="s">
        <v>2075</v>
      </c>
      <c r="C54" s="5" t="s">
        <v>1963</v>
      </c>
      <c r="D54" s="14" t="s">
        <v>1986</v>
      </c>
      <c r="E54" s="5" t="s">
        <v>1964</v>
      </c>
      <c r="F54" s="23" t="s">
        <v>176</v>
      </c>
      <c r="G54" s="5" t="s">
        <v>1001</v>
      </c>
      <c r="H54" s="18"/>
    </row>
    <row r="55" customFormat="false" ht="16.5" hidden="false" customHeight="true" outlineLevel="0" collapsed="false">
      <c r="A55" s="5" t="s">
        <v>2076</v>
      </c>
      <c r="B55" s="5" t="s">
        <v>2077</v>
      </c>
      <c r="C55" s="5" t="s">
        <v>1963</v>
      </c>
      <c r="D55" s="14" t="s">
        <v>1986</v>
      </c>
      <c r="E55" s="5" t="s">
        <v>1964</v>
      </c>
      <c r="F55" s="23" t="s">
        <v>176</v>
      </c>
      <c r="G55" s="5" t="s">
        <v>496</v>
      </c>
      <c r="H55" s="18"/>
    </row>
    <row r="56" customFormat="false" ht="16.5" hidden="false" customHeight="true" outlineLevel="0" collapsed="false">
      <c r="A56" s="5" t="s">
        <v>2078</v>
      </c>
      <c r="B56" s="5" t="s">
        <v>2079</v>
      </c>
      <c r="C56" s="5" t="s">
        <v>1963</v>
      </c>
      <c r="D56" s="14" t="s">
        <v>1964</v>
      </c>
      <c r="E56" s="5" t="s">
        <v>1964</v>
      </c>
      <c r="F56" s="5"/>
      <c r="G56" s="5" t="s">
        <v>384</v>
      </c>
      <c r="H56" s="18"/>
    </row>
    <row r="57" customFormat="false" ht="16.5" hidden="false" customHeight="true" outlineLevel="0" collapsed="false">
      <c r="A57" s="5" t="s">
        <v>2080</v>
      </c>
      <c r="B57" s="5" t="s">
        <v>2081</v>
      </c>
      <c r="C57" s="5" t="s">
        <v>1963</v>
      </c>
      <c r="D57" s="14" t="s">
        <v>1964</v>
      </c>
      <c r="E57" s="5" t="s">
        <v>1964</v>
      </c>
      <c r="F57" s="5"/>
      <c r="G57" s="5" t="s">
        <v>651</v>
      </c>
      <c r="H57" s="18"/>
    </row>
    <row r="58" customFormat="false" ht="30" hidden="false" customHeight="true" outlineLevel="0" collapsed="false">
      <c r="A58" s="5" t="s">
        <v>2082</v>
      </c>
      <c r="B58" s="5" t="s">
        <v>2083</v>
      </c>
      <c r="C58" s="5" t="s">
        <v>1963</v>
      </c>
      <c r="D58" s="14" t="s">
        <v>1964</v>
      </c>
      <c r="E58" s="5" t="s">
        <v>1964</v>
      </c>
      <c r="F58" s="5"/>
      <c r="G58" s="5" t="s">
        <v>1455</v>
      </c>
      <c r="H58" s="18"/>
    </row>
    <row r="59" customFormat="false" ht="16.5" hidden="false" customHeight="true" outlineLevel="0" collapsed="false">
      <c r="A59" s="5" t="s">
        <v>2084</v>
      </c>
      <c r="B59" s="5" t="s">
        <v>2085</v>
      </c>
      <c r="C59" s="5" t="s">
        <v>1963</v>
      </c>
      <c r="D59" s="14" t="s">
        <v>1964</v>
      </c>
      <c r="E59" s="5" t="s">
        <v>1964</v>
      </c>
      <c r="F59" s="5"/>
      <c r="G59" s="5" t="s">
        <v>1276</v>
      </c>
      <c r="H59" s="18"/>
    </row>
    <row r="60" customFormat="false" ht="16.5" hidden="false" customHeight="true" outlineLevel="0" collapsed="false">
      <c r="A60" s="5" t="s">
        <v>2086</v>
      </c>
      <c r="B60" s="5" t="s">
        <v>2087</v>
      </c>
      <c r="C60" s="5" t="s">
        <v>1963</v>
      </c>
      <c r="D60" s="14" t="s">
        <v>1964</v>
      </c>
      <c r="E60" s="5" t="s">
        <v>1964</v>
      </c>
      <c r="F60" s="5"/>
      <c r="G60" s="5" t="s">
        <v>1502</v>
      </c>
      <c r="H60" s="18"/>
    </row>
    <row r="61" customFormat="false" ht="16.5" hidden="false" customHeight="true" outlineLevel="0" collapsed="false">
      <c r="A61" s="5" t="s">
        <v>2088</v>
      </c>
      <c r="B61" s="5" t="s">
        <v>2089</v>
      </c>
      <c r="C61" s="5" t="s">
        <v>1963</v>
      </c>
      <c r="D61" s="14" t="s">
        <v>1964</v>
      </c>
      <c r="E61" s="5" t="s">
        <v>1964</v>
      </c>
      <c r="F61" s="5"/>
      <c r="G61" s="5" t="s">
        <v>1201</v>
      </c>
      <c r="H61" s="18"/>
    </row>
    <row r="62" customFormat="false" ht="16.5" hidden="false" customHeight="true" outlineLevel="0" collapsed="false">
      <c r="A62" s="5" t="s">
        <v>2090</v>
      </c>
      <c r="B62" s="5" t="s">
        <v>2091</v>
      </c>
      <c r="C62" s="5" t="s">
        <v>1963</v>
      </c>
      <c r="D62" s="14" t="s">
        <v>1964</v>
      </c>
      <c r="E62" s="5" t="s">
        <v>1964</v>
      </c>
      <c r="F62" s="5"/>
      <c r="G62" s="5" t="s">
        <v>1737</v>
      </c>
      <c r="H62" s="18"/>
    </row>
    <row r="63" customFormat="false" ht="16.5" hidden="false" customHeight="true" outlineLevel="0" collapsed="false">
      <c r="A63" s="5" t="s">
        <v>2092</v>
      </c>
      <c r="B63" s="5" t="s">
        <v>2093</v>
      </c>
      <c r="C63" s="5" t="s">
        <v>1963</v>
      </c>
      <c r="D63" s="14" t="s">
        <v>1964</v>
      </c>
      <c r="E63" s="5" t="s">
        <v>1964</v>
      </c>
      <c r="F63" s="5"/>
      <c r="G63" s="5" t="s">
        <v>783</v>
      </c>
      <c r="H63" s="18"/>
    </row>
    <row r="64" customFormat="false" ht="30" hidden="false" customHeight="true" outlineLevel="0" collapsed="false">
      <c r="A64" s="5" t="s">
        <v>2094</v>
      </c>
      <c r="B64" s="5" t="s">
        <v>2095</v>
      </c>
      <c r="C64" s="5" t="s">
        <v>1963</v>
      </c>
      <c r="D64" s="14" t="s">
        <v>1986</v>
      </c>
      <c r="E64" s="5" t="s">
        <v>1964</v>
      </c>
      <c r="F64" s="23" t="s">
        <v>176</v>
      </c>
      <c r="G64" s="5" t="s">
        <v>1723</v>
      </c>
      <c r="H64" s="18"/>
    </row>
    <row r="65" customFormat="false" ht="16.5" hidden="false" customHeight="true" outlineLevel="0" collapsed="false">
      <c r="A65" s="5" t="s">
        <v>2096</v>
      </c>
      <c r="B65" s="5" t="s">
        <v>2097</v>
      </c>
      <c r="C65" s="5" t="s">
        <v>1963</v>
      </c>
      <c r="D65" s="14" t="s">
        <v>1964</v>
      </c>
      <c r="E65" s="5" t="s">
        <v>1964</v>
      </c>
      <c r="F65" s="5"/>
      <c r="G65" s="5" t="s">
        <v>695</v>
      </c>
      <c r="H65" s="18"/>
    </row>
    <row r="66" customFormat="false" ht="16.5" hidden="false" customHeight="true" outlineLevel="0" collapsed="false">
      <c r="A66" s="5" t="s">
        <v>2098</v>
      </c>
      <c r="B66" s="5" t="s">
        <v>2099</v>
      </c>
      <c r="C66" s="5" t="s">
        <v>1963</v>
      </c>
      <c r="D66" s="14" t="s">
        <v>1986</v>
      </c>
      <c r="E66" s="5" t="s">
        <v>1964</v>
      </c>
      <c r="F66" s="23" t="s">
        <v>176</v>
      </c>
      <c r="G66" s="5" t="s">
        <v>1644</v>
      </c>
      <c r="H66" s="18"/>
    </row>
    <row r="67" customFormat="false" ht="30" hidden="false" customHeight="true" outlineLevel="0" collapsed="false">
      <c r="A67" s="5" t="s">
        <v>2100</v>
      </c>
      <c r="B67" s="5" t="s">
        <v>2101</v>
      </c>
      <c r="C67" s="5" t="s">
        <v>1963</v>
      </c>
      <c r="D67" s="14" t="s">
        <v>1986</v>
      </c>
      <c r="E67" s="5" t="s">
        <v>1964</v>
      </c>
      <c r="F67" s="23" t="s">
        <v>176</v>
      </c>
      <c r="G67" s="5" t="s">
        <v>1667</v>
      </c>
      <c r="H67" s="18"/>
    </row>
    <row r="68" customFormat="false" ht="16.5" hidden="false" customHeight="true" outlineLevel="0" collapsed="false">
      <c r="A68" s="5" t="s">
        <v>2102</v>
      </c>
      <c r="B68" s="5" t="s">
        <v>2103</v>
      </c>
      <c r="C68" s="5" t="s">
        <v>1963</v>
      </c>
      <c r="D68" s="14" t="s">
        <v>1986</v>
      </c>
      <c r="E68" s="5" t="s">
        <v>1964</v>
      </c>
      <c r="F68" s="23" t="s">
        <v>176</v>
      </c>
      <c r="G68" s="5" t="s">
        <v>1662</v>
      </c>
      <c r="H68" s="18"/>
    </row>
    <row r="69" customFormat="false" ht="16.5" hidden="false" customHeight="true" outlineLevel="0" collapsed="false">
      <c r="A69" s="5" t="s">
        <v>2104</v>
      </c>
      <c r="B69" s="5" t="s">
        <v>2105</v>
      </c>
      <c r="C69" s="5" t="s">
        <v>1963</v>
      </c>
      <c r="D69" s="14" t="s">
        <v>1964</v>
      </c>
      <c r="E69" s="5" t="s">
        <v>1964</v>
      </c>
      <c r="F69" s="5"/>
      <c r="G69" s="5" t="s">
        <v>1417</v>
      </c>
      <c r="H69" s="18"/>
    </row>
    <row r="70" customFormat="false" ht="16.5" hidden="false" customHeight="true" outlineLevel="0" collapsed="false">
      <c r="A70" s="5" t="s">
        <v>2106</v>
      </c>
      <c r="B70" s="5" t="s">
        <v>2107</v>
      </c>
      <c r="C70" s="5" t="s">
        <v>1963</v>
      </c>
      <c r="D70" s="14" t="s">
        <v>1964</v>
      </c>
      <c r="E70" s="5" t="s">
        <v>1964</v>
      </c>
      <c r="F70" s="5"/>
      <c r="G70" s="5" t="s">
        <v>1210</v>
      </c>
      <c r="H70" s="18"/>
    </row>
    <row r="71" customFormat="false" ht="16.5" hidden="false" customHeight="true" outlineLevel="0" collapsed="false">
      <c r="A71" s="5" t="s">
        <v>2108</v>
      </c>
      <c r="B71" s="5" t="s">
        <v>2109</v>
      </c>
      <c r="C71" s="5" t="s">
        <v>1963</v>
      </c>
      <c r="D71" s="14" t="s">
        <v>1964</v>
      </c>
      <c r="E71" s="5" t="s">
        <v>1964</v>
      </c>
      <c r="F71" s="5"/>
      <c r="G71" s="5" t="s">
        <v>1937</v>
      </c>
      <c r="H71" s="18"/>
    </row>
    <row r="72" customFormat="false" ht="30" hidden="false" customHeight="true" outlineLevel="0" collapsed="false">
      <c r="A72" s="5" t="s">
        <v>2110</v>
      </c>
      <c r="B72" s="5" t="s">
        <v>2111</v>
      </c>
      <c r="C72" s="5" t="s">
        <v>1963</v>
      </c>
      <c r="D72" s="14" t="s">
        <v>1964</v>
      </c>
      <c r="E72" s="5" t="s">
        <v>1964</v>
      </c>
      <c r="F72" s="5"/>
      <c r="G72" s="5" t="s">
        <v>1927</v>
      </c>
      <c r="H72" s="18"/>
    </row>
    <row r="73" customFormat="false" ht="30" hidden="false" customHeight="true" outlineLevel="0" collapsed="false">
      <c r="A73" s="5" t="s">
        <v>2112</v>
      </c>
      <c r="B73" s="5" t="s">
        <v>2113</v>
      </c>
      <c r="C73" s="5" t="s">
        <v>1963</v>
      </c>
      <c r="D73" s="14" t="s">
        <v>1964</v>
      </c>
      <c r="E73" s="5" t="s">
        <v>1964</v>
      </c>
      <c r="F73" s="5"/>
      <c r="G73" s="5" t="s">
        <v>898</v>
      </c>
      <c r="H73" s="18"/>
    </row>
    <row r="74" customFormat="false" ht="30" hidden="false" customHeight="true" outlineLevel="0" collapsed="false">
      <c r="A74" s="5" t="s">
        <v>2114</v>
      </c>
      <c r="B74" s="5" t="s">
        <v>2115</v>
      </c>
      <c r="C74" s="5" t="s">
        <v>1963</v>
      </c>
      <c r="D74" s="14" t="s">
        <v>1964</v>
      </c>
      <c r="E74" s="5" t="s">
        <v>1964</v>
      </c>
      <c r="F74" s="5"/>
      <c r="G74" s="5" t="s">
        <v>863</v>
      </c>
      <c r="H74" s="18"/>
    </row>
    <row r="75" customFormat="false" ht="30" hidden="false" customHeight="true" outlineLevel="0" collapsed="false">
      <c r="A75" s="5" t="s">
        <v>2116</v>
      </c>
      <c r="B75" s="5" t="s">
        <v>2117</v>
      </c>
      <c r="C75" s="5" t="s">
        <v>1963</v>
      </c>
      <c r="D75" s="14" t="s">
        <v>1964</v>
      </c>
      <c r="E75" s="5" t="s">
        <v>1964</v>
      </c>
      <c r="F75" s="5"/>
      <c r="G75" s="5" t="s">
        <v>2118</v>
      </c>
      <c r="H75" s="18"/>
    </row>
    <row r="76" customFormat="false" ht="30" hidden="false" customHeight="true" outlineLevel="0" collapsed="false">
      <c r="A76" s="5" t="s">
        <v>2119</v>
      </c>
      <c r="B76" s="5" t="s">
        <v>2120</v>
      </c>
      <c r="C76" s="5" t="s">
        <v>1963</v>
      </c>
      <c r="D76" s="14" t="s">
        <v>1964</v>
      </c>
      <c r="E76" s="5" t="s">
        <v>1964</v>
      </c>
      <c r="F76" s="5"/>
      <c r="G76" s="5" t="s">
        <v>1524</v>
      </c>
      <c r="H76" s="18"/>
    </row>
    <row r="77" customFormat="false" ht="16.5" hidden="false" customHeight="true" outlineLevel="0" collapsed="false">
      <c r="A77" s="5" t="s">
        <v>2121</v>
      </c>
      <c r="B77" s="5" t="s">
        <v>2122</v>
      </c>
      <c r="C77" s="5" t="s">
        <v>1963</v>
      </c>
      <c r="D77" s="14" t="s">
        <v>1964</v>
      </c>
      <c r="E77" s="5" t="s">
        <v>1964</v>
      </c>
      <c r="F77" s="5"/>
      <c r="G77" s="5" t="s">
        <v>1355</v>
      </c>
      <c r="H77" s="18"/>
    </row>
    <row r="78" customFormat="false" ht="16.5" hidden="false" customHeight="true" outlineLevel="0" collapsed="false">
      <c r="A78" s="5" t="s">
        <v>2123</v>
      </c>
      <c r="B78" s="5" t="s">
        <v>2124</v>
      </c>
      <c r="C78" s="5" t="s">
        <v>1963</v>
      </c>
      <c r="D78" s="14" t="s">
        <v>1964</v>
      </c>
      <c r="E78" s="5" t="s">
        <v>1964</v>
      </c>
      <c r="F78" s="5"/>
      <c r="G78" s="5" t="s">
        <v>330</v>
      </c>
      <c r="H78" s="18"/>
    </row>
    <row r="79" customFormat="false" ht="16.5" hidden="false" customHeight="true" outlineLevel="0" collapsed="false">
      <c r="A79" s="5" t="s">
        <v>2125</v>
      </c>
      <c r="B79" s="5" t="s">
        <v>2126</v>
      </c>
      <c r="C79" s="5" t="s">
        <v>1963</v>
      </c>
      <c r="D79" s="14" t="s">
        <v>1964</v>
      </c>
      <c r="E79" s="5" t="s">
        <v>1964</v>
      </c>
      <c r="F79" s="5"/>
      <c r="G79" s="5" t="s">
        <v>1460</v>
      </c>
      <c r="H79" s="18"/>
    </row>
    <row r="80" customFormat="false" ht="30" hidden="false" customHeight="true" outlineLevel="0" collapsed="false">
      <c r="A80" s="5" t="s">
        <v>2127</v>
      </c>
      <c r="B80" s="5" t="s">
        <v>2128</v>
      </c>
      <c r="C80" s="5" t="s">
        <v>1963</v>
      </c>
      <c r="D80" s="14" t="s">
        <v>1986</v>
      </c>
      <c r="E80" s="5" t="s">
        <v>1964</v>
      </c>
      <c r="F80" s="23" t="s">
        <v>176</v>
      </c>
      <c r="G80" s="5" t="s">
        <v>1657</v>
      </c>
      <c r="H80" s="18"/>
    </row>
    <row r="81" customFormat="false" ht="16.5" hidden="false" customHeight="true" outlineLevel="0" collapsed="false">
      <c r="A81" s="5" t="s">
        <v>2129</v>
      </c>
      <c r="B81" s="5" t="s">
        <v>2130</v>
      </c>
      <c r="C81" s="5" t="s">
        <v>1963</v>
      </c>
      <c r="D81" s="14" t="s">
        <v>1986</v>
      </c>
      <c r="E81" s="5" t="s">
        <v>1964</v>
      </c>
      <c r="F81" s="23" t="s">
        <v>176</v>
      </c>
      <c r="G81" s="5" t="s">
        <v>853</v>
      </c>
      <c r="H81" s="18"/>
    </row>
    <row r="82" customFormat="false" ht="16.5" hidden="false" customHeight="true" outlineLevel="0" collapsed="false">
      <c r="A82" s="5" t="s">
        <v>2131</v>
      </c>
      <c r="B82" s="5" t="s">
        <v>2132</v>
      </c>
      <c r="C82" s="5" t="s">
        <v>1963</v>
      </c>
      <c r="D82" s="14" t="s">
        <v>1964</v>
      </c>
      <c r="E82" s="5" t="s">
        <v>1964</v>
      </c>
      <c r="F82" s="5"/>
      <c r="G82" s="5" t="s">
        <v>422</v>
      </c>
      <c r="H82" s="18"/>
    </row>
    <row r="83" customFormat="false" ht="16.5" hidden="false" customHeight="true" outlineLevel="0" collapsed="false">
      <c r="A83" s="5" t="s">
        <v>2133</v>
      </c>
      <c r="B83" s="5" t="s">
        <v>2134</v>
      </c>
      <c r="C83" s="5" t="s">
        <v>1963</v>
      </c>
      <c r="D83" s="14" t="s">
        <v>1986</v>
      </c>
      <c r="E83" s="5" t="s">
        <v>1964</v>
      </c>
      <c r="F83" s="23" t="s">
        <v>176</v>
      </c>
      <c r="G83" s="5" t="s">
        <v>522</v>
      </c>
      <c r="H83" s="18"/>
    </row>
    <row r="84" customFormat="false" ht="30" hidden="false" customHeight="true" outlineLevel="0" collapsed="false">
      <c r="A84" s="5" t="s">
        <v>2135</v>
      </c>
      <c r="B84" s="5" t="s">
        <v>2136</v>
      </c>
      <c r="C84" s="5" t="s">
        <v>1963</v>
      </c>
      <c r="D84" s="14" t="s">
        <v>1986</v>
      </c>
      <c r="E84" s="5" t="s">
        <v>1964</v>
      </c>
      <c r="F84" s="23" t="s">
        <v>176</v>
      </c>
      <c r="G84" s="5" t="s">
        <v>1398</v>
      </c>
      <c r="H84" s="18"/>
    </row>
    <row r="85" customFormat="false" ht="30" hidden="false" customHeight="true" outlineLevel="0" collapsed="false">
      <c r="A85" s="5" t="s">
        <v>2137</v>
      </c>
      <c r="B85" s="5" t="s">
        <v>2138</v>
      </c>
      <c r="C85" s="5" t="s">
        <v>1963</v>
      </c>
      <c r="D85" s="14" t="s">
        <v>1986</v>
      </c>
      <c r="E85" s="5" t="s">
        <v>1964</v>
      </c>
      <c r="F85" s="23" t="s">
        <v>176</v>
      </c>
      <c r="G85" s="5" t="s">
        <v>2139</v>
      </c>
      <c r="H85" s="18"/>
    </row>
    <row r="86" customFormat="false" ht="16.5" hidden="false" customHeight="true" outlineLevel="0" collapsed="false">
      <c r="A86" s="5" t="s">
        <v>2140</v>
      </c>
      <c r="B86" s="5" t="s">
        <v>2141</v>
      </c>
      <c r="C86" s="5" t="s">
        <v>1963</v>
      </c>
      <c r="D86" s="14" t="s">
        <v>1986</v>
      </c>
      <c r="E86" s="5" t="s">
        <v>1964</v>
      </c>
      <c r="F86" s="23" t="s">
        <v>176</v>
      </c>
      <c r="G86" s="5" t="s">
        <v>1046</v>
      </c>
      <c r="H86" s="18"/>
    </row>
    <row r="87" customFormat="false" ht="16.5" hidden="false" customHeight="true" outlineLevel="0" collapsed="false">
      <c r="A87" s="5" t="s">
        <v>2142</v>
      </c>
      <c r="B87" s="5" t="s">
        <v>2143</v>
      </c>
      <c r="C87" s="5" t="s">
        <v>1963</v>
      </c>
      <c r="D87" s="14" t="s">
        <v>1964</v>
      </c>
      <c r="E87" s="5" t="s">
        <v>1964</v>
      </c>
      <c r="F87" s="5"/>
      <c r="G87" s="5" t="s">
        <v>1159</v>
      </c>
      <c r="H87" s="18"/>
    </row>
    <row r="88" customFormat="false" ht="16.5" hidden="false" customHeight="true" outlineLevel="0" collapsed="false">
      <c r="A88" s="5" t="s">
        <v>2144</v>
      </c>
      <c r="B88" s="5" t="s">
        <v>2145</v>
      </c>
      <c r="C88" s="5" t="s">
        <v>1963</v>
      </c>
      <c r="D88" s="14" t="s">
        <v>1964</v>
      </c>
      <c r="E88" s="5" t="s">
        <v>1964</v>
      </c>
      <c r="F88" s="5"/>
      <c r="G88" s="5" t="s">
        <v>1520</v>
      </c>
      <c r="H88" s="18"/>
    </row>
    <row r="89" customFormat="false" ht="30" hidden="false" customHeight="true" outlineLevel="0" collapsed="false">
      <c r="A89" s="5" t="s">
        <v>2146</v>
      </c>
      <c r="B89" s="5" t="s">
        <v>2147</v>
      </c>
      <c r="C89" s="5" t="s">
        <v>1963</v>
      </c>
      <c r="D89" s="14" t="s">
        <v>1964</v>
      </c>
      <c r="E89" s="5" t="s">
        <v>1964</v>
      </c>
      <c r="F89" s="5"/>
      <c r="G89" s="5" t="s">
        <v>2148</v>
      </c>
      <c r="H89" s="18"/>
    </row>
    <row r="90" customFormat="false" ht="30" hidden="false" customHeight="true" outlineLevel="0" collapsed="false">
      <c r="A90" s="5" t="s">
        <v>2149</v>
      </c>
      <c r="B90" s="5" t="s">
        <v>2150</v>
      </c>
      <c r="C90" s="5" t="s">
        <v>1963</v>
      </c>
      <c r="D90" s="14" t="s">
        <v>1986</v>
      </c>
      <c r="E90" s="5" t="s">
        <v>1964</v>
      </c>
      <c r="F90" s="23" t="s">
        <v>176</v>
      </c>
      <c r="G90" s="5" t="s">
        <v>1622</v>
      </c>
      <c r="H90" s="18"/>
    </row>
    <row r="91" customFormat="false" ht="16.5" hidden="false" customHeight="true" outlineLevel="0" collapsed="false">
      <c r="A91" s="5" t="s">
        <v>2151</v>
      </c>
      <c r="B91" s="5" t="s">
        <v>2152</v>
      </c>
      <c r="C91" s="5" t="s">
        <v>1963</v>
      </c>
      <c r="D91" s="14" t="s">
        <v>1964</v>
      </c>
      <c r="E91" s="5" t="s">
        <v>1964</v>
      </c>
      <c r="F91" s="5"/>
      <c r="G91" s="5" t="s">
        <v>1155</v>
      </c>
      <c r="H91" s="18"/>
    </row>
    <row r="92" customFormat="false" ht="16.5" hidden="false" customHeight="true" outlineLevel="0" collapsed="false">
      <c r="A92" s="5" t="s">
        <v>2153</v>
      </c>
      <c r="B92" s="5" t="s">
        <v>2154</v>
      </c>
      <c r="C92" s="5" t="s">
        <v>1963</v>
      </c>
      <c r="D92" s="14" t="s">
        <v>1964</v>
      </c>
      <c r="E92" s="5" t="s">
        <v>1964</v>
      </c>
      <c r="F92" s="5"/>
      <c r="G92" s="5" t="s">
        <v>543</v>
      </c>
      <c r="H92" s="18"/>
    </row>
    <row r="93" customFormat="false" ht="16.5" hidden="false" customHeight="true" outlineLevel="0" collapsed="false">
      <c r="A93" s="5" t="s">
        <v>2155</v>
      </c>
      <c r="B93" s="5" t="s">
        <v>2156</v>
      </c>
      <c r="C93" s="5" t="s">
        <v>1963</v>
      </c>
      <c r="D93" s="14" t="s">
        <v>1964</v>
      </c>
      <c r="E93" s="5" t="s">
        <v>1964</v>
      </c>
      <c r="F93" s="5"/>
      <c r="G93" s="5" t="s">
        <v>2157</v>
      </c>
      <c r="H93" s="18"/>
    </row>
    <row r="94" customFormat="false" ht="16.5" hidden="false" customHeight="true" outlineLevel="0" collapsed="false">
      <c r="A94" s="5" t="s">
        <v>2158</v>
      </c>
      <c r="B94" s="5" t="s">
        <v>2159</v>
      </c>
      <c r="C94" s="5" t="s">
        <v>1963</v>
      </c>
      <c r="D94" s="14" t="s">
        <v>1964</v>
      </c>
      <c r="E94" s="5" t="s">
        <v>1964</v>
      </c>
      <c r="F94" s="5"/>
      <c r="G94" s="5" t="s">
        <v>353</v>
      </c>
      <c r="H94" s="18"/>
    </row>
    <row r="95" customFormat="false" ht="30" hidden="false" customHeight="true" outlineLevel="0" collapsed="false">
      <c r="A95" s="5" t="s">
        <v>2160</v>
      </c>
      <c r="B95" s="5" t="s">
        <v>2161</v>
      </c>
      <c r="C95" s="5" t="s">
        <v>1963</v>
      </c>
      <c r="D95" s="14" t="s">
        <v>1964</v>
      </c>
      <c r="E95" s="5" t="s">
        <v>1964</v>
      </c>
      <c r="F95" s="5"/>
      <c r="G95" s="5" t="s">
        <v>1358</v>
      </c>
      <c r="H95" s="18"/>
    </row>
    <row r="96" customFormat="false" ht="30" hidden="false" customHeight="true" outlineLevel="0" collapsed="false">
      <c r="A96" s="5" t="s">
        <v>2162</v>
      </c>
      <c r="B96" s="5" t="s">
        <v>2163</v>
      </c>
      <c r="C96" s="5" t="s">
        <v>1963</v>
      </c>
      <c r="D96" s="14" t="s">
        <v>1964</v>
      </c>
      <c r="E96" s="5" t="s">
        <v>1964</v>
      </c>
      <c r="F96" s="5"/>
      <c r="G96" s="5" t="s">
        <v>946</v>
      </c>
      <c r="H96" s="18"/>
    </row>
    <row r="97" customFormat="false" ht="16.5" hidden="false" customHeight="true" outlineLevel="0" collapsed="false">
      <c r="A97" s="5" t="s">
        <v>2164</v>
      </c>
      <c r="B97" s="5" t="s">
        <v>2165</v>
      </c>
      <c r="C97" s="5" t="s">
        <v>1963</v>
      </c>
      <c r="D97" s="14" t="s">
        <v>1964</v>
      </c>
      <c r="E97" s="5" t="s">
        <v>1964</v>
      </c>
      <c r="F97" s="5"/>
      <c r="G97" s="5" t="s">
        <v>323</v>
      </c>
      <c r="H97" s="18"/>
    </row>
    <row r="98" customFormat="false" ht="30" hidden="false" customHeight="true" outlineLevel="0" collapsed="false">
      <c r="A98" s="5" t="s">
        <v>2166</v>
      </c>
      <c r="B98" s="5" t="s">
        <v>2167</v>
      </c>
      <c r="C98" s="5" t="s">
        <v>1963</v>
      </c>
      <c r="D98" s="14" t="s">
        <v>1964</v>
      </c>
      <c r="E98" s="5" t="s">
        <v>1964</v>
      </c>
      <c r="F98" s="5"/>
      <c r="G98" s="5" t="s">
        <v>711</v>
      </c>
      <c r="H98" s="18"/>
    </row>
    <row r="99" customFormat="false" ht="16.5" hidden="false" customHeight="true" outlineLevel="0" collapsed="false">
      <c r="A99" s="5" t="s">
        <v>2168</v>
      </c>
      <c r="B99" s="5" t="s">
        <v>2169</v>
      </c>
      <c r="C99" s="5" t="s">
        <v>1963</v>
      </c>
      <c r="D99" s="14" t="s">
        <v>1964</v>
      </c>
      <c r="E99" s="5" t="s">
        <v>1964</v>
      </c>
      <c r="F99" s="5"/>
      <c r="G99" s="5" t="s">
        <v>573</v>
      </c>
      <c r="H99" s="18"/>
    </row>
    <row r="100" customFormat="false" ht="16.5" hidden="false" customHeight="true" outlineLevel="0" collapsed="false">
      <c r="A100" s="5" t="s">
        <v>2170</v>
      </c>
      <c r="B100" s="5" t="s">
        <v>2171</v>
      </c>
      <c r="C100" s="5" t="s">
        <v>1963</v>
      </c>
      <c r="D100" s="14" t="s">
        <v>1964</v>
      </c>
      <c r="E100" s="5" t="s">
        <v>1964</v>
      </c>
      <c r="F100" s="5"/>
      <c r="G100" s="5" t="s">
        <v>1236</v>
      </c>
      <c r="H100" s="18"/>
    </row>
    <row r="101" customFormat="false" ht="16.5" hidden="false" customHeight="true" outlineLevel="0" collapsed="false">
      <c r="A101" s="5" t="s">
        <v>2172</v>
      </c>
      <c r="B101" s="5" t="s">
        <v>2173</v>
      </c>
      <c r="C101" s="5" t="s">
        <v>1963</v>
      </c>
      <c r="D101" s="14" t="s">
        <v>1964</v>
      </c>
      <c r="E101" s="5" t="s">
        <v>1964</v>
      </c>
      <c r="F101" s="5"/>
      <c r="G101" s="5" t="s">
        <v>2174</v>
      </c>
      <c r="H101" s="18"/>
    </row>
    <row r="102" customFormat="false" ht="16.5" hidden="false" customHeight="true" outlineLevel="0" collapsed="false">
      <c r="A102" s="5" t="s">
        <v>2175</v>
      </c>
      <c r="B102" s="5" t="s">
        <v>2176</v>
      </c>
      <c r="C102" s="5" t="s">
        <v>1963</v>
      </c>
      <c r="D102" s="14" t="s">
        <v>1986</v>
      </c>
      <c r="E102" s="5" t="s">
        <v>1964</v>
      </c>
      <c r="F102" s="23" t="s">
        <v>176</v>
      </c>
      <c r="G102" s="5" t="s">
        <v>1866</v>
      </c>
      <c r="H102" s="18"/>
    </row>
    <row r="103" customFormat="false" ht="16.5" hidden="false" customHeight="true" outlineLevel="0" collapsed="false">
      <c r="A103" s="5" t="s">
        <v>2177</v>
      </c>
      <c r="B103" s="5" t="s">
        <v>2178</v>
      </c>
      <c r="C103" s="5" t="s">
        <v>1963</v>
      </c>
      <c r="D103" s="14" t="s">
        <v>1964</v>
      </c>
      <c r="E103" s="5" t="s">
        <v>1964</v>
      </c>
      <c r="F103" s="5"/>
      <c r="G103" s="5" t="s">
        <v>716</v>
      </c>
      <c r="H103" s="18"/>
    </row>
    <row r="104" customFormat="false" ht="16.5" hidden="false" customHeight="true" outlineLevel="0" collapsed="false">
      <c r="A104" s="5" t="s">
        <v>2179</v>
      </c>
      <c r="B104" s="5" t="s">
        <v>2180</v>
      </c>
      <c r="C104" s="5" t="s">
        <v>1963</v>
      </c>
      <c r="D104" s="14" t="s">
        <v>1986</v>
      </c>
      <c r="E104" s="5" t="s">
        <v>1964</v>
      </c>
      <c r="F104" s="23" t="s">
        <v>176</v>
      </c>
      <c r="G104" s="5" t="s">
        <v>1080</v>
      </c>
      <c r="H104" s="18"/>
    </row>
    <row r="105" customFormat="false" ht="16.5" hidden="false" customHeight="true" outlineLevel="0" collapsed="false">
      <c r="A105" s="5" t="s">
        <v>2181</v>
      </c>
      <c r="B105" s="5" t="s">
        <v>2182</v>
      </c>
      <c r="C105" s="5" t="s">
        <v>1963</v>
      </c>
      <c r="D105" s="14" t="s">
        <v>1964</v>
      </c>
      <c r="E105" s="5" t="s">
        <v>1964</v>
      </c>
      <c r="F105" s="5"/>
      <c r="G105" s="5" t="s">
        <v>2183</v>
      </c>
      <c r="H105" s="18"/>
    </row>
    <row r="106" customFormat="false" ht="16.5" hidden="false" customHeight="true" outlineLevel="0" collapsed="false">
      <c r="A106" s="5" t="s">
        <v>2184</v>
      </c>
      <c r="B106" s="5" t="s">
        <v>2185</v>
      </c>
      <c r="C106" s="5" t="s">
        <v>1963</v>
      </c>
      <c r="D106" s="14" t="s">
        <v>1964</v>
      </c>
      <c r="E106" s="5" t="s">
        <v>1964</v>
      </c>
      <c r="F106" s="5"/>
      <c r="G106" s="5" t="s">
        <v>2186</v>
      </c>
      <c r="H106" s="18"/>
    </row>
    <row r="107" customFormat="false" ht="16.5" hidden="false" customHeight="true" outlineLevel="0" collapsed="false">
      <c r="A107" s="5" t="s">
        <v>2187</v>
      </c>
      <c r="B107" s="5" t="s">
        <v>2188</v>
      </c>
      <c r="C107" s="5" t="s">
        <v>1963</v>
      </c>
      <c r="D107" s="14" t="s">
        <v>1964</v>
      </c>
      <c r="E107" s="5" t="s">
        <v>1964</v>
      </c>
      <c r="F107" s="5"/>
      <c r="G107" s="5" t="s">
        <v>428</v>
      </c>
      <c r="H107" s="18"/>
    </row>
    <row r="108" customFormat="false" ht="16.5" hidden="false" customHeight="true" outlineLevel="0" collapsed="false">
      <c r="A108" s="5" t="s">
        <v>2189</v>
      </c>
      <c r="B108" s="5" t="s">
        <v>2190</v>
      </c>
      <c r="C108" s="5" t="s">
        <v>1963</v>
      </c>
      <c r="D108" s="14" t="s">
        <v>1964</v>
      </c>
      <c r="E108" s="5" t="s">
        <v>1964</v>
      </c>
      <c r="F108" s="5"/>
      <c r="G108" s="5" t="s">
        <v>660</v>
      </c>
      <c r="H108" s="18"/>
    </row>
    <row r="109" customFormat="false" ht="30" hidden="false" customHeight="true" outlineLevel="0" collapsed="false">
      <c r="A109" s="5" t="s">
        <v>2191</v>
      </c>
      <c r="B109" s="5" t="s">
        <v>2192</v>
      </c>
      <c r="C109" s="5" t="s">
        <v>1963</v>
      </c>
      <c r="D109" s="14" t="s">
        <v>1964</v>
      </c>
      <c r="E109" s="5" t="s">
        <v>1964</v>
      </c>
      <c r="F109" s="5"/>
      <c r="G109" s="5" t="s">
        <v>2193</v>
      </c>
      <c r="H109" s="18"/>
    </row>
    <row r="110" customFormat="false" ht="16.5" hidden="false" customHeight="true" outlineLevel="0" collapsed="false">
      <c r="A110" s="5" t="s">
        <v>2194</v>
      </c>
      <c r="B110" s="5" t="s">
        <v>2195</v>
      </c>
      <c r="C110" s="5" t="s">
        <v>1963</v>
      </c>
      <c r="D110" s="14" t="s">
        <v>1986</v>
      </c>
      <c r="E110" s="5" t="s">
        <v>1964</v>
      </c>
      <c r="F110" s="23" t="s">
        <v>176</v>
      </c>
      <c r="G110" s="5" t="s">
        <v>433</v>
      </c>
      <c r="H110" s="18"/>
    </row>
    <row r="111" customFormat="false" ht="16.5" hidden="false" customHeight="true" outlineLevel="0" collapsed="false">
      <c r="A111" s="5" t="s">
        <v>2196</v>
      </c>
      <c r="B111" s="5" t="s">
        <v>2197</v>
      </c>
      <c r="C111" s="5" t="s">
        <v>1963</v>
      </c>
      <c r="D111" s="14" t="s">
        <v>1986</v>
      </c>
      <c r="E111" s="5" t="s">
        <v>1964</v>
      </c>
      <c r="F111" s="23" t="s">
        <v>176</v>
      </c>
      <c r="G111" s="5" t="s">
        <v>530</v>
      </c>
      <c r="H111" s="18"/>
    </row>
    <row r="112" customFormat="false" ht="16.5" hidden="false" customHeight="true" outlineLevel="0" collapsed="false">
      <c r="A112" s="5" t="s">
        <v>2198</v>
      </c>
      <c r="B112" s="5" t="s">
        <v>2199</v>
      </c>
      <c r="C112" s="5" t="s">
        <v>1963</v>
      </c>
      <c r="D112" s="14" t="s">
        <v>1964</v>
      </c>
      <c r="E112" s="5" t="s">
        <v>1964</v>
      </c>
      <c r="F112" s="5"/>
      <c r="G112" s="5" t="s">
        <v>1692</v>
      </c>
      <c r="H112" s="18"/>
    </row>
    <row r="113" customFormat="false" ht="16.5" hidden="false" customHeight="true" outlineLevel="0" collapsed="false">
      <c r="A113" s="5" t="s">
        <v>2200</v>
      </c>
      <c r="B113" s="5" t="s">
        <v>2201</v>
      </c>
      <c r="C113" s="5" t="s">
        <v>1963</v>
      </c>
      <c r="D113" s="14" t="s">
        <v>1964</v>
      </c>
      <c r="E113" s="5" t="s">
        <v>1964</v>
      </c>
      <c r="F113" s="5"/>
      <c r="G113" s="5" t="s">
        <v>2202</v>
      </c>
      <c r="H113" s="18"/>
    </row>
    <row r="114" customFormat="false" ht="16.5" hidden="false" customHeight="true" outlineLevel="0" collapsed="false">
      <c r="A114" s="5" t="s">
        <v>2203</v>
      </c>
      <c r="B114" s="5" t="s">
        <v>2204</v>
      </c>
      <c r="C114" s="5" t="s">
        <v>1963</v>
      </c>
      <c r="D114" s="14" t="s">
        <v>1964</v>
      </c>
      <c r="E114" s="5" t="s">
        <v>1964</v>
      </c>
      <c r="F114" s="5"/>
      <c r="G114" s="5" t="s">
        <v>526</v>
      </c>
      <c r="H114" s="18"/>
    </row>
    <row r="115" customFormat="false" ht="16.5" hidden="false" customHeight="true" outlineLevel="0" collapsed="false">
      <c r="A115" s="5" t="s">
        <v>2205</v>
      </c>
      <c r="B115" s="5" t="s">
        <v>2206</v>
      </c>
      <c r="C115" s="5" t="s">
        <v>1963</v>
      </c>
      <c r="D115" s="14" t="s">
        <v>1964</v>
      </c>
      <c r="E115" s="5" t="s">
        <v>1964</v>
      </c>
      <c r="F115" s="5"/>
      <c r="G115" s="5" t="s">
        <v>2207</v>
      </c>
      <c r="H115" s="18"/>
    </row>
    <row r="116" customFormat="false" ht="16.5" hidden="false" customHeight="true" outlineLevel="0" collapsed="false">
      <c r="A116" s="5" t="s">
        <v>2208</v>
      </c>
      <c r="B116" s="5" t="s">
        <v>2209</v>
      </c>
      <c r="C116" s="5" t="s">
        <v>1963</v>
      </c>
      <c r="D116" s="14" t="s">
        <v>1986</v>
      </c>
      <c r="E116" s="5" t="s">
        <v>1964</v>
      </c>
      <c r="F116" s="23" t="s">
        <v>176</v>
      </c>
      <c r="G116" s="5" t="s">
        <v>1803</v>
      </c>
      <c r="H116" s="18"/>
    </row>
    <row r="117" customFormat="false" ht="30" hidden="false" customHeight="true" outlineLevel="0" collapsed="false">
      <c r="A117" s="5" t="s">
        <v>2210</v>
      </c>
      <c r="B117" s="5" t="s">
        <v>2211</v>
      </c>
      <c r="C117" s="5" t="s">
        <v>1963</v>
      </c>
      <c r="D117" s="14" t="s">
        <v>1986</v>
      </c>
      <c r="E117" s="5" t="s">
        <v>1964</v>
      </c>
      <c r="F117" s="23" t="s">
        <v>176</v>
      </c>
      <c r="G117" s="5" t="s">
        <v>1636</v>
      </c>
      <c r="H117" s="18"/>
    </row>
    <row r="118" customFormat="false" ht="16.5" hidden="false" customHeight="true" outlineLevel="0" collapsed="false">
      <c r="A118" s="5" t="s">
        <v>2212</v>
      </c>
      <c r="B118" s="5" t="s">
        <v>2213</v>
      </c>
      <c r="C118" s="5" t="s">
        <v>1963</v>
      </c>
      <c r="D118" s="14" t="s">
        <v>1964</v>
      </c>
      <c r="E118" s="5" t="s">
        <v>1964</v>
      </c>
      <c r="F118" s="5"/>
      <c r="G118" s="5" t="s">
        <v>1688</v>
      </c>
      <c r="H118" s="18"/>
    </row>
    <row r="119" customFormat="false" ht="16.5" hidden="false" customHeight="true" outlineLevel="0" collapsed="false">
      <c r="A119" s="5" t="s">
        <v>2214</v>
      </c>
      <c r="B119" s="5" t="s">
        <v>2215</v>
      </c>
      <c r="C119" s="5" t="s">
        <v>1963</v>
      </c>
      <c r="D119" s="14" t="s">
        <v>1964</v>
      </c>
      <c r="E119" s="5" t="s">
        <v>1964</v>
      </c>
      <c r="F119" s="5"/>
      <c r="G119" s="5" t="s">
        <v>1015</v>
      </c>
      <c r="H119" s="18"/>
    </row>
    <row r="120" customFormat="false" ht="16.5" hidden="false" customHeight="true" outlineLevel="0" collapsed="false">
      <c r="A120" s="5" t="s">
        <v>2216</v>
      </c>
      <c r="B120" s="5" t="s">
        <v>2217</v>
      </c>
      <c r="C120" s="5" t="s">
        <v>1963</v>
      </c>
      <c r="D120" s="14" t="s">
        <v>1964</v>
      </c>
      <c r="E120" s="5" t="s">
        <v>1964</v>
      </c>
      <c r="F120" s="5"/>
      <c r="G120" s="5" t="s">
        <v>481</v>
      </c>
      <c r="H120" s="18"/>
    </row>
    <row r="121" customFormat="false" ht="16.5" hidden="false" customHeight="true" outlineLevel="0" collapsed="false">
      <c r="A121" s="5" t="s">
        <v>2218</v>
      </c>
      <c r="B121" s="5" t="s">
        <v>2219</v>
      </c>
      <c r="C121" s="5" t="s">
        <v>1963</v>
      </c>
      <c r="D121" s="14" t="s">
        <v>1964</v>
      </c>
      <c r="E121" s="5" t="s">
        <v>1964</v>
      </c>
      <c r="F121" s="5"/>
      <c r="G121" s="5" t="s">
        <v>629</v>
      </c>
      <c r="H121" s="18"/>
    </row>
    <row r="122" customFormat="false" ht="16.5" hidden="false" customHeight="true" outlineLevel="0" collapsed="false">
      <c r="A122" s="5" t="s">
        <v>2220</v>
      </c>
      <c r="B122" s="5" t="s">
        <v>2221</v>
      </c>
      <c r="C122" s="5" t="s">
        <v>1963</v>
      </c>
      <c r="D122" s="14" t="s">
        <v>1964</v>
      </c>
      <c r="E122" s="5" t="s">
        <v>1964</v>
      </c>
      <c r="F122" s="5"/>
      <c r="G122" s="5" t="s">
        <v>2222</v>
      </c>
      <c r="H122" s="18"/>
    </row>
    <row r="123" customFormat="false" ht="16.5" hidden="false" customHeight="true" outlineLevel="0" collapsed="false">
      <c r="A123" s="5" t="s">
        <v>2223</v>
      </c>
      <c r="B123" s="5" t="s">
        <v>2224</v>
      </c>
      <c r="C123" s="5" t="s">
        <v>1963</v>
      </c>
      <c r="D123" s="14" t="s">
        <v>1964</v>
      </c>
      <c r="E123" s="5" t="s">
        <v>1964</v>
      </c>
      <c r="F123" s="5"/>
      <c r="G123" s="5" t="s">
        <v>605</v>
      </c>
      <c r="H123" s="18"/>
    </row>
    <row r="124" customFormat="false" ht="30" hidden="false" customHeight="true" outlineLevel="0" collapsed="false">
      <c r="A124" s="5" t="s">
        <v>2225</v>
      </c>
      <c r="B124" s="5" t="s">
        <v>2226</v>
      </c>
      <c r="C124" s="5" t="s">
        <v>1963</v>
      </c>
      <c r="D124" s="14" t="s">
        <v>1986</v>
      </c>
      <c r="E124" s="5" t="s">
        <v>1964</v>
      </c>
      <c r="F124" s="23" t="s">
        <v>176</v>
      </c>
      <c r="G124" s="5" t="s">
        <v>1880</v>
      </c>
      <c r="H124" s="18"/>
    </row>
    <row r="125" customFormat="false" ht="30" hidden="false" customHeight="true" outlineLevel="0" collapsed="false">
      <c r="A125" s="5" t="s">
        <v>2227</v>
      </c>
      <c r="B125" s="5" t="s">
        <v>2228</v>
      </c>
      <c r="C125" s="5" t="s">
        <v>1963</v>
      </c>
      <c r="D125" s="14" t="s">
        <v>1986</v>
      </c>
      <c r="E125" s="5" t="s">
        <v>1964</v>
      </c>
      <c r="F125" s="23" t="s">
        <v>176</v>
      </c>
      <c r="G125" s="5" t="s">
        <v>1067</v>
      </c>
      <c r="H125" s="18"/>
    </row>
    <row r="126" customFormat="false" ht="30" hidden="false" customHeight="true" outlineLevel="0" collapsed="false">
      <c r="A126" s="5" t="s">
        <v>2229</v>
      </c>
      <c r="B126" s="5" t="s">
        <v>2230</v>
      </c>
      <c r="C126" s="5" t="s">
        <v>1963</v>
      </c>
      <c r="D126" s="14" t="s">
        <v>1964</v>
      </c>
      <c r="E126" s="5" t="s">
        <v>1964</v>
      </c>
      <c r="F126" s="5"/>
      <c r="G126" s="5" t="s">
        <v>2231</v>
      </c>
      <c r="H126" s="18"/>
    </row>
    <row r="127" customFormat="false" ht="16.5" hidden="false" customHeight="true" outlineLevel="0" collapsed="false">
      <c r="A127" s="5" t="s">
        <v>2232</v>
      </c>
      <c r="B127" s="5" t="s">
        <v>2233</v>
      </c>
      <c r="C127" s="5" t="s">
        <v>1963</v>
      </c>
      <c r="D127" s="14" t="s">
        <v>1964</v>
      </c>
      <c r="E127" s="5" t="s">
        <v>1964</v>
      </c>
      <c r="F127" s="5"/>
      <c r="G127" s="5" t="s">
        <v>1285</v>
      </c>
      <c r="H127" s="18"/>
    </row>
    <row r="128" customFormat="false" ht="30" hidden="false" customHeight="true" outlineLevel="0" collapsed="false">
      <c r="A128" s="5" t="s">
        <v>2234</v>
      </c>
      <c r="B128" s="5" t="s">
        <v>2235</v>
      </c>
      <c r="C128" s="5" t="s">
        <v>1963</v>
      </c>
      <c r="D128" s="14" t="s">
        <v>1964</v>
      </c>
      <c r="E128" s="5" t="s">
        <v>1964</v>
      </c>
      <c r="F128" s="5"/>
      <c r="G128" s="5" t="s">
        <v>929</v>
      </c>
      <c r="H128" s="18"/>
    </row>
    <row r="129" customFormat="false" ht="30" hidden="false" customHeight="true" outlineLevel="0" collapsed="false">
      <c r="A129" s="5" t="s">
        <v>2236</v>
      </c>
      <c r="B129" s="5" t="s">
        <v>2237</v>
      </c>
      <c r="C129" s="5" t="s">
        <v>1963</v>
      </c>
      <c r="D129" s="14" t="s">
        <v>1964</v>
      </c>
      <c r="E129" s="5" t="s">
        <v>1964</v>
      </c>
      <c r="F129" s="5"/>
      <c r="G129" s="5" t="s">
        <v>773</v>
      </c>
      <c r="H129" s="18"/>
    </row>
    <row r="130" customFormat="false" ht="16.5" hidden="false" customHeight="true" outlineLevel="0" collapsed="false">
      <c r="A130" s="5" t="s">
        <v>2238</v>
      </c>
      <c r="B130" s="5" t="s">
        <v>2239</v>
      </c>
      <c r="C130" s="5" t="s">
        <v>1963</v>
      </c>
      <c r="D130" s="14" t="s">
        <v>1964</v>
      </c>
      <c r="E130" s="5" t="s">
        <v>1964</v>
      </c>
      <c r="F130" s="5"/>
      <c r="G130" s="5" t="s">
        <v>1254</v>
      </c>
      <c r="H130" s="18"/>
    </row>
    <row r="131" customFormat="false" ht="16.5" hidden="false" customHeight="true" outlineLevel="0" collapsed="false">
      <c r="A131" s="5" t="s">
        <v>2240</v>
      </c>
      <c r="B131" s="5" t="s">
        <v>2241</v>
      </c>
      <c r="C131" s="5" t="s">
        <v>1963</v>
      </c>
      <c r="D131" s="14" t="s">
        <v>1964</v>
      </c>
      <c r="E131" s="5" t="s">
        <v>1964</v>
      </c>
      <c r="F131" s="5"/>
      <c r="G131" s="5" t="s">
        <v>1430</v>
      </c>
      <c r="H131" s="18"/>
    </row>
    <row r="132" customFormat="false" ht="30" hidden="false" customHeight="true" outlineLevel="0" collapsed="false">
      <c r="A132" s="5" t="s">
        <v>2242</v>
      </c>
      <c r="B132" s="5" t="s">
        <v>2243</v>
      </c>
      <c r="C132" s="5" t="s">
        <v>1963</v>
      </c>
      <c r="D132" s="14" t="s">
        <v>1964</v>
      </c>
      <c r="E132" s="5" t="s">
        <v>1964</v>
      </c>
      <c r="F132" s="5"/>
      <c r="G132" s="5" t="s">
        <v>805</v>
      </c>
      <c r="H132" s="18"/>
    </row>
    <row r="133" customFormat="false" ht="16.5" hidden="false" customHeight="true" outlineLevel="0" collapsed="false">
      <c r="A133" s="5" t="s">
        <v>2244</v>
      </c>
      <c r="B133" s="5" t="s">
        <v>2245</v>
      </c>
      <c r="C133" s="5" t="s">
        <v>1963</v>
      </c>
      <c r="D133" s="14" t="s">
        <v>1964</v>
      </c>
      <c r="E133" s="5" t="s">
        <v>1964</v>
      </c>
      <c r="F133" s="5"/>
      <c r="G133" s="5" t="s">
        <v>800</v>
      </c>
      <c r="H133" s="18"/>
    </row>
    <row r="134" customFormat="false" ht="30" hidden="false" customHeight="true" outlineLevel="0" collapsed="false">
      <c r="A134" s="5" t="s">
        <v>2246</v>
      </c>
      <c r="B134" s="5" t="s">
        <v>2247</v>
      </c>
      <c r="C134" s="5" t="s">
        <v>1963</v>
      </c>
      <c r="D134" s="14" t="s">
        <v>1986</v>
      </c>
      <c r="E134" s="5" t="s">
        <v>1964</v>
      </c>
      <c r="F134" s="23" t="s">
        <v>176</v>
      </c>
      <c r="G134" s="5" t="s">
        <v>1841</v>
      </c>
      <c r="H134" s="18"/>
    </row>
    <row r="135" customFormat="false" ht="16.5" hidden="false" customHeight="true" outlineLevel="0" collapsed="false">
      <c r="A135" s="5" t="s">
        <v>2248</v>
      </c>
      <c r="B135" s="5" t="s">
        <v>2249</v>
      </c>
      <c r="C135" s="5" t="s">
        <v>1963</v>
      </c>
      <c r="D135" s="14" t="s">
        <v>1964</v>
      </c>
      <c r="E135" s="5" t="s">
        <v>1964</v>
      </c>
      <c r="F135" s="5"/>
      <c r="G135" s="5" t="s">
        <v>914</v>
      </c>
      <c r="H135" s="18"/>
    </row>
    <row r="136" customFormat="false" ht="30" hidden="false" customHeight="true" outlineLevel="0" collapsed="false">
      <c r="A136" s="5" t="s">
        <v>2250</v>
      </c>
      <c r="B136" s="5" t="s">
        <v>2251</v>
      </c>
      <c r="C136" s="5" t="s">
        <v>1963</v>
      </c>
      <c r="D136" s="14" t="s">
        <v>1964</v>
      </c>
      <c r="E136" s="5" t="s">
        <v>1964</v>
      </c>
      <c r="F136" s="5"/>
      <c r="G136" s="5" t="s">
        <v>1482</v>
      </c>
      <c r="H136" s="18"/>
    </row>
    <row r="137" customFormat="false" ht="16.5" hidden="false" customHeight="true" outlineLevel="0" collapsed="false">
      <c r="A137" s="5" t="s">
        <v>2252</v>
      </c>
      <c r="B137" s="5" t="s">
        <v>2253</v>
      </c>
      <c r="C137" s="5" t="s">
        <v>1963</v>
      </c>
      <c r="D137" s="14" t="s">
        <v>1964</v>
      </c>
      <c r="E137" s="5" t="s">
        <v>1964</v>
      </c>
      <c r="F137" s="5"/>
      <c r="G137" s="5" t="s">
        <v>2254</v>
      </c>
      <c r="H137" s="18"/>
    </row>
    <row r="138" customFormat="false" ht="16.5" hidden="false" customHeight="true" outlineLevel="0" collapsed="false">
      <c r="A138" s="5" t="s">
        <v>2255</v>
      </c>
      <c r="B138" s="5" t="s">
        <v>2256</v>
      </c>
      <c r="C138" s="5" t="s">
        <v>1963</v>
      </c>
      <c r="D138" s="14" t="s">
        <v>1964</v>
      </c>
      <c r="E138" s="5" t="s">
        <v>1964</v>
      </c>
      <c r="F138" s="5"/>
      <c r="G138" s="5" t="s">
        <v>2257</v>
      </c>
      <c r="H138" s="18"/>
    </row>
    <row r="139" customFormat="false" ht="16.5" hidden="false" customHeight="true" outlineLevel="0" collapsed="false">
      <c r="A139" s="5" t="s">
        <v>2258</v>
      </c>
      <c r="B139" s="5" t="s">
        <v>2259</v>
      </c>
      <c r="C139" s="5" t="s">
        <v>1963</v>
      </c>
      <c r="D139" s="14" t="s">
        <v>1964</v>
      </c>
      <c r="E139" s="5" t="s">
        <v>1964</v>
      </c>
      <c r="F139" s="5"/>
      <c r="G139" s="5" t="s">
        <v>990</v>
      </c>
      <c r="H139" s="18"/>
    </row>
    <row r="140" customFormat="false" ht="16.5" hidden="false" customHeight="true" outlineLevel="0" collapsed="false">
      <c r="A140" s="5" t="s">
        <v>2260</v>
      </c>
      <c r="B140" s="5" t="s">
        <v>2261</v>
      </c>
      <c r="C140" s="5" t="s">
        <v>1963</v>
      </c>
      <c r="D140" s="14" t="s">
        <v>1964</v>
      </c>
      <c r="E140" s="5" t="s">
        <v>1964</v>
      </c>
      <c r="F140" s="5"/>
      <c r="G140" s="5" t="s">
        <v>367</v>
      </c>
      <c r="H140" s="18"/>
    </row>
    <row r="141" customFormat="false" ht="16.5" hidden="false" customHeight="true" outlineLevel="0" collapsed="false">
      <c r="A141" s="5" t="s">
        <v>2262</v>
      </c>
      <c r="B141" s="5" t="s">
        <v>2263</v>
      </c>
      <c r="C141" s="5" t="s">
        <v>1963</v>
      </c>
      <c r="D141" s="14" t="s">
        <v>1964</v>
      </c>
      <c r="E141" s="5" t="s">
        <v>1964</v>
      </c>
      <c r="F141" s="5"/>
      <c r="G141" s="5" t="s">
        <v>371</v>
      </c>
      <c r="H141" s="18"/>
    </row>
    <row r="142" customFormat="false" ht="16.5" hidden="false" customHeight="true" outlineLevel="0" collapsed="false">
      <c r="A142" s="5" t="s">
        <v>2264</v>
      </c>
      <c r="B142" s="5" t="s">
        <v>2265</v>
      </c>
      <c r="C142" s="5" t="s">
        <v>1963</v>
      </c>
      <c r="D142" s="14" t="s">
        <v>1964</v>
      </c>
      <c r="E142" s="5" t="s">
        <v>1964</v>
      </c>
      <c r="F142" s="5"/>
      <c r="G142" s="5" t="s">
        <v>638</v>
      </c>
      <c r="H142" s="18"/>
    </row>
    <row r="143" customFormat="false" ht="30" hidden="false" customHeight="true" outlineLevel="0" collapsed="false">
      <c r="A143" s="5" t="s">
        <v>2266</v>
      </c>
      <c r="B143" s="5" t="s">
        <v>2267</v>
      </c>
      <c r="C143" s="5" t="s">
        <v>1963</v>
      </c>
      <c r="D143" s="14" t="s">
        <v>1986</v>
      </c>
      <c r="E143" s="5" t="s">
        <v>1964</v>
      </c>
      <c r="F143" s="23" t="s">
        <v>176</v>
      </c>
      <c r="G143" s="5" t="s">
        <v>1885</v>
      </c>
      <c r="H143" s="18"/>
    </row>
    <row r="144" customFormat="false" ht="16.5" hidden="false" customHeight="true" outlineLevel="0" collapsed="false">
      <c r="A144" s="5" t="s">
        <v>2268</v>
      </c>
      <c r="B144" s="5" t="s">
        <v>2269</v>
      </c>
      <c r="C144" s="5" t="s">
        <v>1963</v>
      </c>
      <c r="D144" s="14" t="s">
        <v>1986</v>
      </c>
      <c r="E144" s="5" t="s">
        <v>1964</v>
      </c>
      <c r="F144" s="23" t="s">
        <v>176</v>
      </c>
      <c r="G144" s="5" t="s">
        <v>1871</v>
      </c>
      <c r="H144" s="18"/>
    </row>
    <row r="145" customFormat="false" ht="16.5" hidden="false" customHeight="true" outlineLevel="0" collapsed="false">
      <c r="A145" s="5" t="s">
        <v>2270</v>
      </c>
      <c r="B145" s="5" t="s">
        <v>2271</v>
      </c>
      <c r="C145" s="5" t="s">
        <v>1963</v>
      </c>
      <c r="D145" s="14" t="s">
        <v>1986</v>
      </c>
      <c r="E145" s="5" t="s">
        <v>1964</v>
      </c>
      <c r="F145" s="23" t="s">
        <v>176</v>
      </c>
      <c r="G145" s="5" t="s">
        <v>1890</v>
      </c>
      <c r="H145" s="18"/>
    </row>
    <row r="146" customFormat="false" ht="16.5" hidden="false" customHeight="true" outlineLevel="0" collapsed="false">
      <c r="A146" s="5" t="s">
        <v>2272</v>
      </c>
      <c r="B146" s="5" t="s">
        <v>2273</v>
      </c>
      <c r="C146" s="5" t="s">
        <v>1963</v>
      </c>
      <c r="D146" s="14" t="s">
        <v>1964</v>
      </c>
      <c r="E146" s="5" t="s">
        <v>1964</v>
      </c>
      <c r="F146" s="5"/>
      <c r="G146" s="5" t="s">
        <v>1507</v>
      </c>
      <c r="H146" s="18"/>
    </row>
    <row r="147" customFormat="false" ht="16.5" hidden="false" customHeight="true" outlineLevel="0" collapsed="false">
      <c r="A147" s="5" t="s">
        <v>2274</v>
      </c>
      <c r="B147" s="5" t="s">
        <v>2275</v>
      </c>
      <c r="C147" s="5" t="s">
        <v>1963</v>
      </c>
      <c r="D147" s="14" t="s">
        <v>1986</v>
      </c>
      <c r="E147" s="5" t="s">
        <v>1964</v>
      </c>
      <c r="F147" s="23" t="s">
        <v>176</v>
      </c>
      <c r="G147" s="5" t="s">
        <v>1895</v>
      </c>
      <c r="H147" s="18"/>
    </row>
    <row r="148" customFormat="false" ht="16.5" hidden="false" customHeight="true" outlineLevel="0" collapsed="false">
      <c r="A148" s="5" t="s">
        <v>2276</v>
      </c>
      <c r="B148" s="5" t="s">
        <v>2277</v>
      </c>
      <c r="C148" s="5" t="s">
        <v>1963</v>
      </c>
      <c r="D148" s="14" t="s">
        <v>1986</v>
      </c>
      <c r="E148" s="5" t="s">
        <v>1964</v>
      </c>
      <c r="F148" s="23" t="s">
        <v>176</v>
      </c>
      <c r="G148" s="5" t="s">
        <v>1365</v>
      </c>
      <c r="H148" s="18"/>
    </row>
    <row r="149" customFormat="false" ht="16.5" hidden="false" customHeight="true" outlineLevel="0" collapsed="false">
      <c r="A149" s="5" t="s">
        <v>2278</v>
      </c>
      <c r="B149" s="5" t="s">
        <v>2279</v>
      </c>
      <c r="C149" s="5" t="s">
        <v>1963</v>
      </c>
      <c r="D149" s="14" t="s">
        <v>1964</v>
      </c>
      <c r="E149" s="5" t="s">
        <v>1964</v>
      </c>
      <c r="F149" s="5"/>
      <c r="G149" s="5" t="s">
        <v>2280</v>
      </c>
      <c r="H149" s="18"/>
    </row>
    <row r="150" customFormat="false" ht="16.5" hidden="false" customHeight="true" outlineLevel="0" collapsed="false">
      <c r="A150" s="5" t="s">
        <v>2281</v>
      </c>
      <c r="B150" s="5" t="s">
        <v>2282</v>
      </c>
      <c r="C150" s="5" t="s">
        <v>1963</v>
      </c>
      <c r="D150" s="14" t="s">
        <v>1986</v>
      </c>
      <c r="E150" s="5" t="s">
        <v>1964</v>
      </c>
      <c r="F150" s="23" t="s">
        <v>176</v>
      </c>
      <c r="G150" s="5" t="s">
        <v>1648</v>
      </c>
      <c r="H150" s="18"/>
    </row>
    <row r="151" customFormat="false" ht="16.5" hidden="false" customHeight="true" outlineLevel="0" collapsed="false">
      <c r="A151" s="5" t="s">
        <v>2283</v>
      </c>
      <c r="B151" s="5" t="s">
        <v>2284</v>
      </c>
      <c r="C151" s="5" t="s">
        <v>1963</v>
      </c>
      <c r="D151" s="14" t="s">
        <v>1986</v>
      </c>
      <c r="E151" s="5" t="s">
        <v>1964</v>
      </c>
      <c r="F151" s="23" t="s">
        <v>176</v>
      </c>
      <c r="G151" s="5" t="s">
        <v>1019</v>
      </c>
      <c r="H151" s="18"/>
    </row>
    <row r="152" customFormat="false" ht="16.5" hidden="false" customHeight="true" outlineLevel="0" collapsed="false">
      <c r="A152" s="5" t="s">
        <v>2285</v>
      </c>
      <c r="B152" s="5" t="s">
        <v>2286</v>
      </c>
      <c r="C152" s="5" t="s">
        <v>1963</v>
      </c>
      <c r="D152" s="14" t="s">
        <v>1986</v>
      </c>
      <c r="E152" s="5" t="s">
        <v>1964</v>
      </c>
      <c r="F152" s="23" t="s">
        <v>176</v>
      </c>
      <c r="G152" s="5" t="s">
        <v>560</v>
      </c>
      <c r="H152" s="18"/>
    </row>
    <row r="153" customFormat="false" ht="16.5" hidden="false" customHeight="true" outlineLevel="0" collapsed="false">
      <c r="A153" s="5" t="s">
        <v>2287</v>
      </c>
      <c r="B153" s="5" t="s">
        <v>2288</v>
      </c>
      <c r="C153" s="5" t="s">
        <v>1963</v>
      </c>
      <c r="D153" s="14" t="s">
        <v>1986</v>
      </c>
      <c r="E153" s="5" t="s">
        <v>1964</v>
      </c>
      <c r="F153" s="23" t="s">
        <v>176</v>
      </c>
      <c r="G153" s="5" t="s">
        <v>1640</v>
      </c>
      <c r="H153" s="18"/>
    </row>
    <row r="154" customFormat="false" ht="16.5" hidden="false" customHeight="true" outlineLevel="0" collapsed="false">
      <c r="A154" s="5" t="s">
        <v>2289</v>
      </c>
      <c r="B154" s="5" t="s">
        <v>2290</v>
      </c>
      <c r="C154" s="5" t="s">
        <v>1963</v>
      </c>
      <c r="D154" s="14" t="s">
        <v>1964</v>
      </c>
      <c r="E154" s="5" t="s">
        <v>1964</v>
      </c>
      <c r="F154" s="5"/>
      <c r="G154" s="5" t="s">
        <v>787</v>
      </c>
      <c r="H154" s="18"/>
    </row>
    <row r="155" customFormat="false" ht="16.5" hidden="false" customHeight="true" outlineLevel="0" collapsed="false">
      <c r="A155" s="5" t="s">
        <v>2291</v>
      </c>
      <c r="B155" s="5" t="s">
        <v>2292</v>
      </c>
      <c r="C155" s="5" t="s">
        <v>1963</v>
      </c>
      <c r="D155" s="14" t="s">
        <v>1964</v>
      </c>
      <c r="E155" s="5" t="s">
        <v>1964</v>
      </c>
      <c r="F155" s="5"/>
      <c r="G155" s="5" t="s">
        <v>647</v>
      </c>
      <c r="H155" s="18"/>
    </row>
    <row r="156" customFormat="false" ht="30" hidden="false" customHeight="true" outlineLevel="0" collapsed="false">
      <c r="A156" s="5" t="s">
        <v>2293</v>
      </c>
      <c r="B156" s="5" t="s">
        <v>2294</v>
      </c>
      <c r="C156" s="5" t="s">
        <v>1963</v>
      </c>
      <c r="D156" s="14" t="s">
        <v>1964</v>
      </c>
      <c r="E156" s="5" t="s">
        <v>1964</v>
      </c>
      <c r="F156" s="5"/>
      <c r="G156" s="5" t="s">
        <v>308</v>
      </c>
      <c r="H156" s="18"/>
    </row>
    <row r="157" customFormat="false" ht="16.5" hidden="false" customHeight="true" outlineLevel="0" collapsed="false">
      <c r="A157" s="5" t="s">
        <v>2295</v>
      </c>
      <c r="B157" s="5" t="s">
        <v>2296</v>
      </c>
      <c r="C157" s="5" t="s">
        <v>1963</v>
      </c>
      <c r="D157" s="14" t="s">
        <v>1964</v>
      </c>
      <c r="E157" s="5" t="s">
        <v>1964</v>
      </c>
      <c r="F157" s="5"/>
      <c r="G157" s="5" t="s">
        <v>1383</v>
      </c>
      <c r="H157" s="18"/>
    </row>
    <row r="158" customFormat="false" ht="30" hidden="false" customHeight="true" outlineLevel="0" collapsed="false">
      <c r="A158" s="5" t="s">
        <v>2297</v>
      </c>
      <c r="B158" s="5" t="s">
        <v>2298</v>
      </c>
      <c r="C158" s="5" t="s">
        <v>1963</v>
      </c>
      <c r="D158" s="14" t="s">
        <v>1986</v>
      </c>
      <c r="E158" s="5" t="s">
        <v>1964</v>
      </c>
      <c r="F158" s="23" t="s">
        <v>176</v>
      </c>
      <c r="G158" s="5" t="s">
        <v>1561</v>
      </c>
      <c r="H158" s="18"/>
    </row>
    <row r="159" customFormat="false" ht="30" hidden="false" customHeight="true" outlineLevel="0" collapsed="false">
      <c r="A159" s="5" t="s">
        <v>2299</v>
      </c>
      <c r="B159" s="5" t="s">
        <v>2300</v>
      </c>
      <c r="C159" s="5" t="s">
        <v>1963</v>
      </c>
      <c r="D159" s="14" t="s">
        <v>1986</v>
      </c>
      <c r="E159" s="5" t="s">
        <v>1964</v>
      </c>
      <c r="F159" s="23" t="s">
        <v>176</v>
      </c>
      <c r="G159" s="5" t="s">
        <v>1608</v>
      </c>
      <c r="H159" s="18"/>
    </row>
    <row r="160" customFormat="false" ht="30" hidden="false" customHeight="true" outlineLevel="0" collapsed="false">
      <c r="A160" s="5" t="s">
        <v>2301</v>
      </c>
      <c r="B160" s="5" t="s">
        <v>2302</v>
      </c>
      <c r="C160" s="5" t="s">
        <v>1963</v>
      </c>
      <c r="D160" s="14" t="s">
        <v>1986</v>
      </c>
      <c r="E160" s="5" t="s">
        <v>1964</v>
      </c>
      <c r="F160" s="23" t="s">
        <v>176</v>
      </c>
      <c r="G160" s="5" t="s">
        <v>1587</v>
      </c>
      <c r="H160" s="18"/>
    </row>
    <row r="161" customFormat="false" ht="30" hidden="false" customHeight="true" outlineLevel="0" collapsed="false">
      <c r="A161" s="5" t="s">
        <v>2303</v>
      </c>
      <c r="B161" s="5" t="s">
        <v>2304</v>
      </c>
      <c r="C161" s="5" t="s">
        <v>1963</v>
      </c>
      <c r="D161" s="14" t="s">
        <v>1986</v>
      </c>
      <c r="E161" s="5" t="s">
        <v>1964</v>
      </c>
      <c r="F161" s="23" t="s">
        <v>176</v>
      </c>
      <c r="G161" s="5" t="s">
        <v>1565</v>
      </c>
      <c r="H161" s="18"/>
    </row>
    <row r="162" customFormat="false" ht="30" hidden="false" customHeight="true" outlineLevel="0" collapsed="false">
      <c r="A162" s="5" t="s">
        <v>2305</v>
      </c>
      <c r="B162" s="5" t="s">
        <v>2306</v>
      </c>
      <c r="C162" s="5" t="s">
        <v>1963</v>
      </c>
      <c r="D162" s="14" t="s">
        <v>1986</v>
      </c>
      <c r="E162" s="5" t="s">
        <v>1964</v>
      </c>
      <c r="F162" s="23" t="s">
        <v>176</v>
      </c>
      <c r="G162" s="5" t="s">
        <v>1612</v>
      </c>
      <c r="H162" s="18"/>
    </row>
    <row r="163" customFormat="false" ht="30" hidden="false" customHeight="true" outlineLevel="0" collapsed="false">
      <c r="A163" s="5" t="s">
        <v>2307</v>
      </c>
      <c r="B163" s="5" t="s">
        <v>2308</v>
      </c>
      <c r="C163" s="5" t="s">
        <v>1963</v>
      </c>
      <c r="D163" s="14" t="s">
        <v>1986</v>
      </c>
      <c r="E163" s="5" t="s">
        <v>1964</v>
      </c>
      <c r="F163" s="23" t="s">
        <v>176</v>
      </c>
      <c r="G163" s="5" t="s">
        <v>1591</v>
      </c>
      <c r="H163" s="18"/>
    </row>
    <row r="164" customFormat="false" ht="16.5" hidden="false" customHeight="true" outlineLevel="0" collapsed="false">
      <c r="A164" s="5" t="s">
        <v>2309</v>
      </c>
      <c r="B164" s="5" t="s">
        <v>2310</v>
      </c>
      <c r="C164" s="5" t="s">
        <v>1963</v>
      </c>
      <c r="D164" s="14" t="s">
        <v>1964</v>
      </c>
      <c r="E164" s="5" t="s">
        <v>1964</v>
      </c>
      <c r="F164" s="5"/>
      <c r="G164" s="5" t="s">
        <v>2311</v>
      </c>
      <c r="H164" s="18"/>
    </row>
    <row r="165" customFormat="false" ht="16.5" hidden="false" customHeight="true" outlineLevel="0" collapsed="false">
      <c r="A165" s="5" t="s">
        <v>2312</v>
      </c>
      <c r="B165" s="5" t="s">
        <v>2313</v>
      </c>
      <c r="C165" s="5" t="s">
        <v>1963</v>
      </c>
      <c r="D165" s="14" t="s">
        <v>1964</v>
      </c>
      <c r="E165" s="5" t="s">
        <v>1964</v>
      </c>
      <c r="F165" s="5"/>
      <c r="G165" s="5" t="s">
        <v>814</v>
      </c>
      <c r="H165" s="18"/>
    </row>
    <row r="166" customFormat="false" ht="16.5" hidden="false" customHeight="true" outlineLevel="0" collapsed="false">
      <c r="A166" s="5" t="s">
        <v>2314</v>
      </c>
      <c r="B166" s="5" t="s">
        <v>2315</v>
      </c>
      <c r="C166" s="5" t="s">
        <v>1963</v>
      </c>
      <c r="D166" s="14" t="s">
        <v>1964</v>
      </c>
      <c r="E166" s="5" t="s">
        <v>1964</v>
      </c>
      <c r="F166" s="5"/>
      <c r="G166" s="5" t="s">
        <v>849</v>
      </c>
      <c r="H166" s="18"/>
    </row>
    <row r="167" customFormat="false" ht="16.5" hidden="false" customHeight="true" outlineLevel="0" collapsed="false">
      <c r="A167" s="5" t="s">
        <v>2316</v>
      </c>
      <c r="B167" s="5" t="s">
        <v>2317</v>
      </c>
      <c r="C167" s="5" t="s">
        <v>1963</v>
      </c>
      <c r="D167" s="14" t="s">
        <v>1964</v>
      </c>
      <c r="E167" s="5" t="s">
        <v>1964</v>
      </c>
      <c r="F167" s="5"/>
      <c r="G167" s="5" t="s">
        <v>2318</v>
      </c>
      <c r="H167" s="18"/>
    </row>
    <row r="168" customFormat="false" ht="30" hidden="false" customHeight="true" outlineLevel="0" collapsed="false">
      <c r="A168" s="5" t="s">
        <v>2319</v>
      </c>
      <c r="B168" s="5" t="s">
        <v>2320</v>
      </c>
      <c r="C168" s="5" t="s">
        <v>1963</v>
      </c>
      <c r="D168" s="14" t="s">
        <v>1986</v>
      </c>
      <c r="E168" s="5" t="s">
        <v>1964</v>
      </c>
      <c r="F168" s="23" t="s">
        <v>176</v>
      </c>
      <c r="G168" s="5" t="s">
        <v>1569</v>
      </c>
      <c r="H168" s="18"/>
    </row>
    <row r="169" customFormat="false" ht="16.5" hidden="false" customHeight="true" outlineLevel="0" collapsed="false">
      <c r="A169" s="5" t="s">
        <v>2321</v>
      </c>
      <c r="B169" s="5" t="s">
        <v>2322</v>
      </c>
      <c r="C169" s="5" t="s">
        <v>1963</v>
      </c>
      <c r="D169" s="14" t="s">
        <v>1964</v>
      </c>
      <c r="E169" s="5" t="s">
        <v>1964</v>
      </c>
      <c r="F169" s="5"/>
      <c r="G169" s="5" t="s">
        <v>1262</v>
      </c>
      <c r="H169" s="18"/>
    </row>
    <row r="170" customFormat="false" ht="16.5" hidden="false" customHeight="true" outlineLevel="0" collapsed="false">
      <c r="A170" s="5" t="s">
        <v>2323</v>
      </c>
      <c r="B170" s="5" t="s">
        <v>2324</v>
      </c>
      <c r="C170" s="5" t="s">
        <v>1963</v>
      </c>
      <c r="D170" s="14" t="s">
        <v>1964</v>
      </c>
      <c r="E170" s="5" t="s">
        <v>1964</v>
      </c>
      <c r="F170" s="5"/>
      <c r="G170" s="5" t="s">
        <v>1362</v>
      </c>
      <c r="H170" s="18"/>
    </row>
    <row r="171" customFormat="false" ht="16.5" hidden="false" customHeight="true" outlineLevel="0" collapsed="false">
      <c r="A171" s="5" t="s">
        <v>2325</v>
      </c>
      <c r="B171" s="5" t="s">
        <v>2326</v>
      </c>
      <c r="C171" s="5" t="s">
        <v>1963</v>
      </c>
      <c r="D171" s="14" t="s">
        <v>1964</v>
      </c>
      <c r="E171" s="5" t="s">
        <v>1964</v>
      </c>
      <c r="F171" s="5"/>
      <c r="G171" s="5" t="s">
        <v>1368</v>
      </c>
      <c r="H171" s="18"/>
    </row>
    <row r="172" customFormat="false" ht="16.5" hidden="false" customHeight="true" outlineLevel="0" collapsed="false">
      <c r="A172" s="5" t="s">
        <v>2327</v>
      </c>
      <c r="B172" s="5" t="s">
        <v>2328</v>
      </c>
      <c r="C172" s="5" t="s">
        <v>1963</v>
      </c>
      <c r="D172" s="14" t="s">
        <v>1964</v>
      </c>
      <c r="E172" s="5" t="s">
        <v>1964</v>
      </c>
      <c r="F172" s="5"/>
      <c r="G172" s="5" t="s">
        <v>443</v>
      </c>
      <c r="H172" s="18"/>
    </row>
    <row r="173" customFormat="false" ht="16.5" hidden="false" customHeight="true" outlineLevel="0" collapsed="false">
      <c r="A173" s="5" t="s">
        <v>2329</v>
      </c>
      <c r="B173" s="5" t="s">
        <v>2330</v>
      </c>
      <c r="C173" s="5" t="s">
        <v>1963</v>
      </c>
      <c r="D173" s="14" t="s">
        <v>1986</v>
      </c>
      <c r="E173" s="5" t="s">
        <v>1964</v>
      </c>
      <c r="F173" s="23" t="s">
        <v>176</v>
      </c>
      <c r="G173" s="5" t="s">
        <v>796</v>
      </c>
      <c r="H173" s="18"/>
    </row>
    <row r="174" customFormat="false" ht="43.5" hidden="false" customHeight="true" outlineLevel="0" collapsed="false">
      <c r="A174" s="5" t="s">
        <v>2331</v>
      </c>
      <c r="B174" s="5" t="s">
        <v>2332</v>
      </c>
      <c r="C174" s="5" t="s">
        <v>1963</v>
      </c>
      <c r="D174" s="14" t="s">
        <v>1964</v>
      </c>
      <c r="E174" s="5" t="s">
        <v>1964</v>
      </c>
      <c r="F174" s="5"/>
      <c r="G174" s="5" t="s">
        <v>1120</v>
      </c>
      <c r="H174" s="18"/>
    </row>
    <row r="175" customFormat="false" ht="16.5" hidden="false" customHeight="true" outlineLevel="0" collapsed="false">
      <c r="A175" s="5" t="s">
        <v>2333</v>
      </c>
      <c r="B175" s="5" t="s">
        <v>2334</v>
      </c>
      <c r="C175" s="5" t="s">
        <v>1963</v>
      </c>
      <c r="D175" s="14" t="s">
        <v>1964</v>
      </c>
      <c r="E175" s="5" t="s">
        <v>1964</v>
      </c>
      <c r="F175" s="5"/>
      <c r="G175" s="5" t="s">
        <v>1241</v>
      </c>
      <c r="H175" s="18"/>
    </row>
    <row r="176" customFormat="false" ht="16.5" hidden="false" customHeight="true" outlineLevel="0" collapsed="false">
      <c r="A176" s="5" t="s">
        <v>2335</v>
      </c>
      <c r="B176" s="5" t="s">
        <v>2336</v>
      </c>
      <c r="C176" s="5" t="s">
        <v>1963</v>
      </c>
      <c r="D176" s="14" t="s">
        <v>1964</v>
      </c>
      <c r="E176" s="5" t="s">
        <v>1964</v>
      </c>
      <c r="F176" s="5"/>
      <c r="G176" s="5" t="s">
        <v>834</v>
      </c>
      <c r="H176" s="18"/>
    </row>
    <row r="177" customFormat="false" ht="16.5" hidden="false" customHeight="true" outlineLevel="0" collapsed="false">
      <c r="A177" s="5" t="s">
        <v>2337</v>
      </c>
      <c r="B177" s="5" t="s">
        <v>2338</v>
      </c>
      <c r="C177" s="5" t="s">
        <v>1963</v>
      </c>
      <c r="D177" s="14" t="s">
        <v>1986</v>
      </c>
      <c r="E177" s="5" t="s">
        <v>1964</v>
      </c>
      <c r="F177" s="23" t="s">
        <v>176</v>
      </c>
      <c r="G177" s="5" t="s">
        <v>1214</v>
      </c>
      <c r="H177" s="18"/>
    </row>
    <row r="178" customFormat="false" ht="16.5" hidden="false" customHeight="true" outlineLevel="0" collapsed="false">
      <c r="A178" s="5" t="s">
        <v>2339</v>
      </c>
      <c r="B178" s="5" t="s">
        <v>2340</v>
      </c>
      <c r="C178" s="5" t="s">
        <v>1963</v>
      </c>
      <c r="D178" s="14" t="s">
        <v>1964</v>
      </c>
      <c r="E178" s="5" t="s">
        <v>1964</v>
      </c>
      <c r="F178" s="5"/>
      <c r="G178" s="5" t="s">
        <v>818</v>
      </c>
      <c r="H178" s="18"/>
    </row>
    <row r="179" customFormat="false" ht="16.5" hidden="false" customHeight="true" outlineLevel="0" collapsed="false">
      <c r="A179" s="5" t="s">
        <v>2341</v>
      </c>
      <c r="B179" s="5" t="s">
        <v>2342</v>
      </c>
      <c r="C179" s="5" t="s">
        <v>1963</v>
      </c>
      <c r="D179" s="14" t="s">
        <v>1964</v>
      </c>
      <c r="E179" s="5" t="s">
        <v>1964</v>
      </c>
      <c r="F179" s="5"/>
      <c r="G179" s="5" t="s">
        <v>336</v>
      </c>
      <c r="H179" s="18"/>
    </row>
    <row r="180" customFormat="false" ht="16.5" hidden="false" customHeight="true" outlineLevel="0" collapsed="false">
      <c r="A180" s="5" t="s">
        <v>2343</v>
      </c>
      <c r="B180" s="5" t="s">
        <v>2344</v>
      </c>
      <c r="C180" s="5" t="s">
        <v>1963</v>
      </c>
      <c r="D180" s="14" t="s">
        <v>1964</v>
      </c>
      <c r="E180" s="5" t="s">
        <v>1964</v>
      </c>
      <c r="F180" s="5"/>
      <c r="G180" s="5" t="s">
        <v>1258</v>
      </c>
      <c r="H180" s="18"/>
    </row>
    <row r="181" customFormat="false" ht="16.5" hidden="false" customHeight="true" outlineLevel="0" collapsed="false">
      <c r="A181" s="5" t="s">
        <v>2345</v>
      </c>
      <c r="B181" s="5" t="s">
        <v>2346</v>
      </c>
      <c r="C181" s="5" t="s">
        <v>1963</v>
      </c>
      <c r="D181" s="14" t="s">
        <v>1964</v>
      </c>
      <c r="E181" s="5" t="s">
        <v>1964</v>
      </c>
      <c r="F181" s="5"/>
      <c r="G181" s="5" t="s">
        <v>2347</v>
      </c>
      <c r="H181" s="18"/>
    </row>
    <row r="182" customFormat="false" ht="16.5" hidden="false" customHeight="true" outlineLevel="0" collapsed="false">
      <c r="A182" s="5" t="s">
        <v>2348</v>
      </c>
      <c r="B182" s="5" t="s">
        <v>2349</v>
      </c>
      <c r="C182" s="5" t="s">
        <v>1963</v>
      </c>
      <c r="D182" s="14" t="s">
        <v>1964</v>
      </c>
      <c r="E182" s="5" t="s">
        <v>1964</v>
      </c>
      <c r="F182" s="5"/>
      <c r="G182" s="5" t="s">
        <v>752</v>
      </c>
      <c r="H182" s="18"/>
    </row>
    <row r="183" customFormat="false" ht="16.5" hidden="false" customHeight="true" outlineLevel="0" collapsed="false">
      <c r="A183" s="5" t="s">
        <v>2350</v>
      </c>
      <c r="B183" s="5" t="s">
        <v>2351</v>
      </c>
      <c r="C183" s="5" t="s">
        <v>1963</v>
      </c>
      <c r="D183" s="14" t="s">
        <v>1964</v>
      </c>
      <c r="E183" s="5" t="s">
        <v>1964</v>
      </c>
      <c r="F183" s="5"/>
      <c r="G183" s="5" t="s">
        <v>756</v>
      </c>
      <c r="H183" s="18"/>
    </row>
    <row r="184" customFormat="false" ht="30" hidden="false" customHeight="true" outlineLevel="0" collapsed="false">
      <c r="A184" s="5" t="s">
        <v>2352</v>
      </c>
      <c r="B184" s="5" t="s">
        <v>2353</v>
      </c>
      <c r="C184" s="5" t="s">
        <v>1963</v>
      </c>
      <c r="D184" s="14" t="s">
        <v>1986</v>
      </c>
      <c r="E184" s="5" t="s">
        <v>1964</v>
      </c>
      <c r="F184" s="23" t="s">
        <v>176</v>
      </c>
      <c r="G184" s="5" t="s">
        <v>1701</v>
      </c>
      <c r="H184" s="18"/>
    </row>
    <row r="185" customFormat="false" ht="16.5" hidden="false" customHeight="true" outlineLevel="0" collapsed="false">
      <c r="A185" s="5" t="s">
        <v>2354</v>
      </c>
      <c r="B185" s="5" t="s">
        <v>2355</v>
      </c>
      <c r="C185" s="5" t="s">
        <v>1963</v>
      </c>
      <c r="D185" s="14" t="s">
        <v>1964</v>
      </c>
      <c r="E185" s="5" t="s">
        <v>1964</v>
      </c>
      <c r="F185" s="5"/>
      <c r="G185" s="5" t="s">
        <v>1337</v>
      </c>
      <c r="H185" s="18"/>
    </row>
    <row r="186" customFormat="false" ht="16.5" hidden="false" customHeight="true" outlineLevel="0" collapsed="false">
      <c r="A186" s="5" t="s">
        <v>2356</v>
      </c>
      <c r="B186" s="5" t="s">
        <v>2357</v>
      </c>
      <c r="C186" s="5" t="s">
        <v>1963</v>
      </c>
      <c r="D186" s="14" t="s">
        <v>1964</v>
      </c>
      <c r="E186" s="5" t="s">
        <v>1964</v>
      </c>
      <c r="F186" s="5"/>
      <c r="G186" s="5" t="s">
        <v>477</v>
      </c>
      <c r="H186" s="18"/>
    </row>
    <row r="187" customFormat="false" ht="30" hidden="false" customHeight="true" outlineLevel="0" collapsed="false">
      <c r="A187" s="5" t="s">
        <v>2358</v>
      </c>
      <c r="B187" s="5" t="s">
        <v>2359</v>
      </c>
      <c r="C187" s="5" t="s">
        <v>1963</v>
      </c>
      <c r="D187" s="14" t="s">
        <v>1964</v>
      </c>
      <c r="E187" s="5" t="s">
        <v>1964</v>
      </c>
      <c r="F187" s="5"/>
      <c r="G187" s="5" t="s">
        <v>313</v>
      </c>
      <c r="H187" s="18"/>
    </row>
    <row r="188" customFormat="false" ht="16.5" hidden="false" customHeight="true" outlineLevel="0" collapsed="false">
      <c r="A188" s="5" t="s">
        <v>2360</v>
      </c>
      <c r="B188" s="5" t="s">
        <v>2361</v>
      </c>
      <c r="C188" s="5" t="s">
        <v>1963</v>
      </c>
      <c r="D188" s="14" t="s">
        <v>1986</v>
      </c>
      <c r="E188" s="5" t="s">
        <v>1964</v>
      </c>
      <c r="F188" s="23" t="s">
        <v>176</v>
      </c>
      <c r="G188" s="5" t="s">
        <v>2362</v>
      </c>
      <c r="H188" s="18"/>
    </row>
    <row r="189" customFormat="false" ht="16.5" hidden="false" customHeight="true" outlineLevel="0" collapsed="false">
      <c r="A189" s="5" t="s">
        <v>2363</v>
      </c>
      <c r="B189" s="5" t="s">
        <v>2364</v>
      </c>
      <c r="C189" s="5" t="s">
        <v>1963</v>
      </c>
      <c r="D189" s="14" t="s">
        <v>1986</v>
      </c>
      <c r="E189" s="5" t="s">
        <v>1964</v>
      </c>
      <c r="F189" s="23" t="s">
        <v>176</v>
      </c>
      <c r="G189" s="5" t="s">
        <v>447</v>
      </c>
      <c r="H189" s="18"/>
    </row>
    <row r="190" customFormat="false" ht="30" hidden="false" customHeight="true" outlineLevel="0" collapsed="false">
      <c r="A190" s="5" t="s">
        <v>2365</v>
      </c>
      <c r="B190" s="5" t="s">
        <v>2366</v>
      </c>
      <c r="C190" s="5" t="s">
        <v>1963</v>
      </c>
      <c r="D190" s="14" t="s">
        <v>1964</v>
      </c>
      <c r="E190" s="5" t="s">
        <v>1964</v>
      </c>
      <c r="F190" s="5"/>
      <c r="G190" s="5" t="s">
        <v>1271</v>
      </c>
      <c r="H190" s="18"/>
    </row>
    <row r="191" customFormat="false" ht="16.5" hidden="false" customHeight="true" outlineLevel="0" collapsed="false">
      <c r="A191" s="5" t="s">
        <v>2367</v>
      </c>
      <c r="B191" s="5" t="s">
        <v>2368</v>
      </c>
      <c r="C191" s="5" t="s">
        <v>1963</v>
      </c>
      <c r="D191" s="14" t="s">
        <v>1986</v>
      </c>
      <c r="E191" s="5" t="s">
        <v>1964</v>
      </c>
      <c r="F191" s="23" t="s">
        <v>176</v>
      </c>
      <c r="G191" s="5" t="s">
        <v>682</v>
      </c>
      <c r="H191" s="18"/>
    </row>
    <row r="192" customFormat="false" ht="43.5" hidden="false" customHeight="true" outlineLevel="0" collapsed="false">
      <c r="A192" s="5" t="s">
        <v>2369</v>
      </c>
      <c r="B192" s="5" t="s">
        <v>2370</v>
      </c>
      <c r="C192" s="5" t="s">
        <v>1963</v>
      </c>
      <c r="D192" s="14" t="s">
        <v>1964</v>
      </c>
      <c r="E192" s="5" t="s">
        <v>1964</v>
      </c>
      <c r="F192" s="5"/>
      <c r="G192" s="5" t="s">
        <v>1191</v>
      </c>
      <c r="H192" s="18"/>
    </row>
    <row r="193" customFormat="false" ht="16.5" hidden="false" customHeight="true" outlineLevel="0" collapsed="false">
      <c r="A193" s="5" t="s">
        <v>2371</v>
      </c>
      <c r="B193" s="5" t="s">
        <v>2372</v>
      </c>
      <c r="C193" s="5" t="s">
        <v>1963</v>
      </c>
      <c r="D193" s="14" t="s">
        <v>1964</v>
      </c>
      <c r="E193" s="5" t="s">
        <v>1964</v>
      </c>
      <c r="F193" s="5"/>
      <c r="G193" s="5" t="s">
        <v>340</v>
      </c>
      <c r="H193" s="18"/>
    </row>
    <row r="194" customFormat="false" ht="16.5" hidden="false" customHeight="true" outlineLevel="0" collapsed="false">
      <c r="A194" s="5" t="s">
        <v>2373</v>
      </c>
      <c r="B194" s="5" t="s">
        <v>2374</v>
      </c>
      <c r="C194" s="5" t="s">
        <v>1963</v>
      </c>
      <c r="D194" s="14" t="s">
        <v>1964</v>
      </c>
      <c r="E194" s="5" t="s">
        <v>1964</v>
      </c>
      <c r="F194" s="5"/>
      <c r="G194" s="5" t="s">
        <v>327</v>
      </c>
      <c r="H194" s="18"/>
    </row>
    <row r="195" customFormat="false" ht="16.5" hidden="false" customHeight="true" outlineLevel="0" collapsed="false">
      <c r="A195" s="5" t="s">
        <v>2375</v>
      </c>
      <c r="B195" s="5" t="s">
        <v>2376</v>
      </c>
      <c r="C195" s="5" t="s">
        <v>1963</v>
      </c>
      <c r="D195" s="14" t="s">
        <v>1964</v>
      </c>
      <c r="E195" s="5" t="s">
        <v>1964</v>
      </c>
      <c r="F195" s="5"/>
      <c r="G195" s="5" t="s">
        <v>539</v>
      </c>
      <c r="H195" s="18"/>
    </row>
    <row r="196" customFormat="false" ht="30" hidden="false" customHeight="true" outlineLevel="0" collapsed="false">
      <c r="A196" s="5" t="s">
        <v>2377</v>
      </c>
      <c r="B196" s="5" t="s">
        <v>2378</v>
      </c>
      <c r="C196" s="5" t="s">
        <v>1963</v>
      </c>
      <c r="D196" s="14" t="s">
        <v>1986</v>
      </c>
      <c r="E196" s="5" t="s">
        <v>1964</v>
      </c>
      <c r="F196" s="23" t="s">
        <v>176</v>
      </c>
      <c r="G196" s="5" t="s">
        <v>1557</v>
      </c>
      <c r="H196" s="18"/>
    </row>
    <row r="197" customFormat="false" ht="30" hidden="false" customHeight="true" outlineLevel="0" collapsed="false">
      <c r="A197" s="5" t="s">
        <v>2379</v>
      </c>
      <c r="B197" s="5" t="s">
        <v>2380</v>
      </c>
      <c r="C197" s="5" t="s">
        <v>1963</v>
      </c>
      <c r="D197" s="14" t="s">
        <v>1986</v>
      </c>
      <c r="E197" s="5" t="s">
        <v>1964</v>
      </c>
      <c r="F197" s="23" t="s">
        <v>176</v>
      </c>
      <c r="G197" s="5" t="s">
        <v>1604</v>
      </c>
      <c r="H197" s="18"/>
    </row>
    <row r="198" customFormat="false" ht="30" hidden="false" customHeight="true" outlineLevel="0" collapsed="false">
      <c r="A198" s="5" t="s">
        <v>2381</v>
      </c>
      <c r="B198" s="5" t="s">
        <v>2382</v>
      </c>
      <c r="C198" s="5" t="s">
        <v>1963</v>
      </c>
      <c r="D198" s="14" t="s">
        <v>1986</v>
      </c>
      <c r="E198" s="5" t="s">
        <v>1964</v>
      </c>
      <c r="F198" s="23" t="s">
        <v>176</v>
      </c>
      <c r="G198" s="5" t="s">
        <v>1583</v>
      </c>
      <c r="H198" s="18"/>
    </row>
    <row r="199" customFormat="false" ht="16.5" hidden="false" customHeight="true" outlineLevel="0" collapsed="false">
      <c r="A199" s="5" t="s">
        <v>2383</v>
      </c>
      <c r="B199" s="5" t="s">
        <v>2384</v>
      </c>
      <c r="C199" s="5" t="s">
        <v>1963</v>
      </c>
      <c r="D199" s="14" t="s">
        <v>1964</v>
      </c>
      <c r="E199" s="5" t="s">
        <v>1964</v>
      </c>
      <c r="F199" s="5"/>
      <c r="G199" s="5" t="s">
        <v>403</v>
      </c>
      <c r="H199" s="18"/>
    </row>
    <row r="200" customFormat="false" ht="30" hidden="false" customHeight="true" outlineLevel="0" collapsed="false">
      <c r="A200" s="5" t="s">
        <v>2385</v>
      </c>
      <c r="B200" s="5" t="s">
        <v>2386</v>
      </c>
      <c r="C200" s="5" t="s">
        <v>1963</v>
      </c>
      <c r="D200" s="14" t="s">
        <v>1986</v>
      </c>
      <c r="E200" s="5" t="s">
        <v>1964</v>
      </c>
      <c r="F200" s="23" t="s">
        <v>176</v>
      </c>
      <c r="G200" s="5" t="s">
        <v>1393</v>
      </c>
      <c r="H200" s="18"/>
    </row>
    <row r="201" customFormat="false" ht="16.5" hidden="false" customHeight="true" outlineLevel="0" collapsed="false">
      <c r="A201" s="5" t="s">
        <v>2387</v>
      </c>
      <c r="B201" s="5" t="s">
        <v>2388</v>
      </c>
      <c r="C201" s="5" t="s">
        <v>1963</v>
      </c>
      <c r="D201" s="14" t="s">
        <v>1964</v>
      </c>
      <c r="E201" s="5" t="s">
        <v>1964</v>
      </c>
      <c r="F201" s="5"/>
      <c r="G201" s="5" t="s">
        <v>407</v>
      </c>
      <c r="H201" s="18"/>
    </row>
    <row r="202" customFormat="false" ht="43.5" hidden="false" customHeight="true" outlineLevel="0" collapsed="false">
      <c r="A202" s="5" t="s">
        <v>2389</v>
      </c>
      <c r="B202" s="5" t="s">
        <v>2390</v>
      </c>
      <c r="C202" s="5" t="s">
        <v>1963</v>
      </c>
      <c r="D202" s="14" t="s">
        <v>1964</v>
      </c>
      <c r="E202" s="5" t="s">
        <v>1964</v>
      </c>
      <c r="F202" s="5"/>
      <c r="G202" s="5" t="s">
        <v>1110</v>
      </c>
      <c r="H202" s="18"/>
    </row>
    <row r="203" customFormat="false" ht="30" hidden="false" customHeight="true" outlineLevel="0" collapsed="false">
      <c r="A203" s="5" t="s">
        <v>2391</v>
      </c>
      <c r="B203" s="5" t="s">
        <v>2392</v>
      </c>
      <c r="C203" s="5" t="s">
        <v>1963</v>
      </c>
      <c r="D203" s="14" t="s">
        <v>1964</v>
      </c>
      <c r="E203" s="5" t="s">
        <v>1964</v>
      </c>
      <c r="F203" s="5"/>
      <c r="G203" s="5" t="s">
        <v>1097</v>
      </c>
      <c r="H203" s="18"/>
    </row>
    <row r="204" customFormat="false" ht="30" hidden="false" customHeight="true" outlineLevel="0" collapsed="false">
      <c r="A204" s="5" t="s">
        <v>2393</v>
      </c>
      <c r="B204" s="5" t="s">
        <v>2394</v>
      </c>
      <c r="C204" s="5" t="s">
        <v>1963</v>
      </c>
      <c r="D204" s="14" t="s">
        <v>1964</v>
      </c>
      <c r="E204" s="5" t="s">
        <v>1964</v>
      </c>
      <c r="F204" s="5"/>
      <c r="G204" s="5" t="s">
        <v>1932</v>
      </c>
      <c r="H204" s="18"/>
    </row>
    <row r="205" customFormat="false" ht="16.5" hidden="false" customHeight="true" outlineLevel="0" collapsed="false">
      <c r="A205" s="5" t="s">
        <v>2395</v>
      </c>
      <c r="B205" s="5" t="s">
        <v>2396</v>
      </c>
      <c r="C205" s="5" t="s">
        <v>1963</v>
      </c>
      <c r="D205" s="14" t="s">
        <v>1964</v>
      </c>
      <c r="E205" s="5" t="s">
        <v>1964</v>
      </c>
      <c r="F205" s="5"/>
      <c r="G205" s="5" t="s">
        <v>1465</v>
      </c>
      <c r="H205" s="18"/>
    </row>
    <row r="206" customFormat="false" ht="16.5" hidden="false" customHeight="true" outlineLevel="0" collapsed="false">
      <c r="A206" s="5" t="s">
        <v>2397</v>
      </c>
      <c r="B206" s="5" t="s">
        <v>2398</v>
      </c>
      <c r="C206" s="5" t="s">
        <v>1963</v>
      </c>
      <c r="D206" s="14" t="s">
        <v>1986</v>
      </c>
      <c r="E206" s="5" t="s">
        <v>1964</v>
      </c>
      <c r="F206" s="23" t="s">
        <v>176</v>
      </c>
      <c r="G206" s="5" t="s">
        <v>1063</v>
      </c>
      <c r="H206" s="18"/>
    </row>
    <row r="207" customFormat="false" ht="30" hidden="false" customHeight="true" outlineLevel="0" collapsed="false">
      <c r="A207" s="5" t="s">
        <v>2399</v>
      </c>
      <c r="B207" s="5" t="s">
        <v>2400</v>
      </c>
      <c r="C207" s="5" t="s">
        <v>1963</v>
      </c>
      <c r="D207" s="14" t="s">
        <v>1986</v>
      </c>
      <c r="E207" s="5" t="s">
        <v>1964</v>
      </c>
      <c r="F207" s="23" t="s">
        <v>176</v>
      </c>
      <c r="G207" s="5" t="s">
        <v>1947</v>
      </c>
      <c r="H207" s="18"/>
    </row>
    <row r="208" customFormat="false" ht="30" hidden="false" customHeight="true" outlineLevel="0" collapsed="false">
      <c r="A208" s="5" t="s">
        <v>2401</v>
      </c>
      <c r="B208" s="5" t="s">
        <v>2402</v>
      </c>
      <c r="C208" s="5" t="s">
        <v>1963</v>
      </c>
      <c r="D208" s="14" t="s">
        <v>1986</v>
      </c>
      <c r="E208" s="5" t="s">
        <v>1964</v>
      </c>
      <c r="F208" s="23" t="s">
        <v>176</v>
      </c>
      <c r="G208" s="5" t="s">
        <v>1627</v>
      </c>
      <c r="H208" s="18"/>
    </row>
    <row r="209" customFormat="false" ht="16.5" hidden="false" customHeight="true" outlineLevel="0" collapsed="false">
      <c r="A209" s="5" t="s">
        <v>2403</v>
      </c>
      <c r="B209" s="5" t="s">
        <v>2404</v>
      </c>
      <c r="C209" s="5" t="s">
        <v>1963</v>
      </c>
      <c r="D209" s="14" t="s">
        <v>1986</v>
      </c>
      <c r="E209" s="5" t="s">
        <v>1964</v>
      </c>
      <c r="F209" s="23" t="s">
        <v>176</v>
      </c>
      <c r="G209" s="5" t="s">
        <v>1910</v>
      </c>
      <c r="H209" s="18"/>
    </row>
    <row r="210" customFormat="false" ht="43.5" hidden="false" customHeight="true" outlineLevel="0" collapsed="false">
      <c r="A210" s="5" t="s">
        <v>2405</v>
      </c>
      <c r="B210" s="5" t="s">
        <v>2406</v>
      </c>
      <c r="C210" s="5" t="s">
        <v>1963</v>
      </c>
      <c r="D210" s="14" t="s">
        <v>1964</v>
      </c>
      <c r="E210" s="5" t="s">
        <v>1964</v>
      </c>
      <c r="F210" s="5"/>
      <c r="G210" s="5" t="s">
        <v>1087</v>
      </c>
      <c r="H210" s="18"/>
    </row>
    <row r="211" customFormat="false" ht="16.5" hidden="false" customHeight="true" outlineLevel="0" collapsed="false">
      <c r="A211" s="5" t="s">
        <v>2407</v>
      </c>
      <c r="B211" s="5" t="s">
        <v>2408</v>
      </c>
      <c r="C211" s="5" t="s">
        <v>1963</v>
      </c>
      <c r="D211" s="14" t="s">
        <v>1986</v>
      </c>
      <c r="E211" s="5" t="s">
        <v>1964</v>
      </c>
      <c r="F211" s="23" t="s">
        <v>176</v>
      </c>
      <c r="G211" s="5" t="s">
        <v>669</v>
      </c>
      <c r="H211" s="18"/>
    </row>
    <row r="212" customFormat="false" ht="16.5" hidden="false" customHeight="true" outlineLevel="0" collapsed="false">
      <c r="A212" s="5" t="s">
        <v>2409</v>
      </c>
      <c r="B212" s="5" t="s">
        <v>2410</v>
      </c>
      <c r="C212" s="5" t="s">
        <v>1963</v>
      </c>
      <c r="D212" s="14" t="s">
        <v>1964</v>
      </c>
      <c r="E212" s="5" t="s">
        <v>1964</v>
      </c>
      <c r="F212" s="5"/>
      <c r="G212" s="5" t="s">
        <v>1705</v>
      </c>
      <c r="H212" s="18"/>
    </row>
    <row r="213" customFormat="false" ht="30" hidden="false" customHeight="true" outlineLevel="0" collapsed="false">
      <c r="A213" s="5" t="s">
        <v>2411</v>
      </c>
      <c r="B213" s="5" t="s">
        <v>2412</v>
      </c>
      <c r="C213" s="5" t="s">
        <v>1963</v>
      </c>
      <c r="D213" s="14" t="s">
        <v>1964</v>
      </c>
      <c r="E213" s="5" t="s">
        <v>1964</v>
      </c>
      <c r="F213" s="5"/>
      <c r="G213" s="5" t="s">
        <v>2413</v>
      </c>
      <c r="H213" s="18"/>
    </row>
    <row r="214" customFormat="false" ht="30" hidden="false" customHeight="true" outlineLevel="0" collapsed="false">
      <c r="A214" s="5" t="s">
        <v>2414</v>
      </c>
      <c r="B214" s="5" t="s">
        <v>2415</v>
      </c>
      <c r="C214" s="5" t="s">
        <v>1963</v>
      </c>
      <c r="D214" s="14" t="s">
        <v>1986</v>
      </c>
      <c r="E214" s="5" t="s">
        <v>1964</v>
      </c>
      <c r="F214" s="23" t="s">
        <v>176</v>
      </c>
      <c r="G214" s="5" t="s">
        <v>1754</v>
      </c>
      <c r="H214" s="18"/>
    </row>
    <row r="215" customFormat="false" ht="16.5" hidden="false" customHeight="true" outlineLevel="0" collapsed="false">
      <c r="A215" s="5" t="s">
        <v>2416</v>
      </c>
      <c r="B215" s="5" t="s">
        <v>2417</v>
      </c>
      <c r="C215" s="5" t="s">
        <v>1963</v>
      </c>
      <c r="D215" s="14" t="s">
        <v>1986</v>
      </c>
      <c r="E215" s="5" t="s">
        <v>1964</v>
      </c>
      <c r="F215" s="23" t="s">
        <v>176</v>
      </c>
      <c r="G215" s="5" t="s">
        <v>1745</v>
      </c>
      <c r="H215" s="18"/>
    </row>
    <row r="216" customFormat="false" ht="30" hidden="false" customHeight="true" outlineLevel="0" collapsed="false">
      <c r="A216" s="5" t="s">
        <v>2418</v>
      </c>
      <c r="B216" s="5" t="s">
        <v>2419</v>
      </c>
      <c r="C216" s="5" t="s">
        <v>1963</v>
      </c>
      <c r="D216" s="14" t="s">
        <v>1986</v>
      </c>
      <c r="E216" s="5" t="s">
        <v>1964</v>
      </c>
      <c r="F216" s="23" t="s">
        <v>176</v>
      </c>
      <c r="G216" s="5" t="s">
        <v>720</v>
      </c>
      <c r="H216" s="18"/>
    </row>
    <row r="217" customFormat="false" ht="16.5" hidden="false" customHeight="true" outlineLevel="0" collapsed="false">
      <c r="A217" s="5" t="s">
        <v>2420</v>
      </c>
      <c r="B217" s="5" t="s">
        <v>2421</v>
      </c>
      <c r="C217" s="5" t="s">
        <v>1963</v>
      </c>
      <c r="D217" s="14" t="s">
        <v>1986</v>
      </c>
      <c r="E217" s="5" t="s">
        <v>1964</v>
      </c>
      <c r="F217" s="23" t="s">
        <v>176</v>
      </c>
      <c r="G217" s="5" t="s">
        <v>1718</v>
      </c>
      <c r="H217" s="18"/>
    </row>
    <row r="218" customFormat="false" ht="30" hidden="false" customHeight="true" outlineLevel="0" collapsed="false">
      <c r="A218" s="5" t="s">
        <v>2422</v>
      </c>
      <c r="B218" s="5" t="s">
        <v>2423</v>
      </c>
      <c r="C218" s="5" t="s">
        <v>1963</v>
      </c>
      <c r="D218" s="14" t="s">
        <v>1964</v>
      </c>
      <c r="E218" s="5" t="s">
        <v>1964</v>
      </c>
      <c r="F218" s="5"/>
      <c r="G218" s="5" t="s">
        <v>655</v>
      </c>
      <c r="H218" s="18"/>
    </row>
    <row r="219" customFormat="false" ht="30" hidden="false" customHeight="true" outlineLevel="0" collapsed="false">
      <c r="A219" s="5" t="s">
        <v>2424</v>
      </c>
      <c r="B219" s="5" t="s">
        <v>2425</v>
      </c>
      <c r="C219" s="5" t="s">
        <v>1963</v>
      </c>
      <c r="D219" s="14" t="s">
        <v>1964</v>
      </c>
      <c r="E219" s="5" t="s">
        <v>1964</v>
      </c>
      <c r="F219" s="5"/>
      <c r="G219" s="5" t="s">
        <v>893</v>
      </c>
      <c r="H219" s="18"/>
    </row>
    <row r="220" customFormat="false" ht="16.5" hidden="false" customHeight="true" outlineLevel="0" collapsed="false">
      <c r="A220" s="5" t="s">
        <v>2426</v>
      </c>
      <c r="B220" s="5" t="s">
        <v>2427</v>
      </c>
      <c r="C220" s="5" t="s">
        <v>1963</v>
      </c>
      <c r="D220" s="14" t="s">
        <v>1986</v>
      </c>
      <c r="E220" s="5" t="s">
        <v>1964</v>
      </c>
      <c r="F220" s="23" t="s">
        <v>176</v>
      </c>
      <c r="G220" s="5" t="s">
        <v>1767</v>
      </c>
      <c r="H220" s="18"/>
    </row>
    <row r="221" customFormat="false" ht="16.5" hidden="false" customHeight="true" outlineLevel="0" collapsed="false">
      <c r="A221" s="5" t="s">
        <v>2428</v>
      </c>
      <c r="B221" s="5" t="s">
        <v>2429</v>
      </c>
      <c r="C221" s="5" t="s">
        <v>1963</v>
      </c>
      <c r="D221" s="14" t="s">
        <v>1964</v>
      </c>
      <c r="E221" s="5" t="s">
        <v>1964</v>
      </c>
      <c r="F221" s="5"/>
      <c r="G221" s="5" t="s">
        <v>357</v>
      </c>
      <c r="H221" s="18"/>
    </row>
    <row r="222" customFormat="false" ht="16.5" hidden="false" customHeight="true" outlineLevel="0" collapsed="false">
      <c r="A222" s="5" t="s">
        <v>2430</v>
      </c>
      <c r="B222" s="5" t="s">
        <v>2431</v>
      </c>
      <c r="C222" s="5" t="s">
        <v>1963</v>
      </c>
      <c r="D222" s="14" t="s">
        <v>1964</v>
      </c>
      <c r="E222" s="5" t="s">
        <v>1964</v>
      </c>
      <c r="F222" s="5"/>
      <c r="G222" s="5" t="s">
        <v>380</v>
      </c>
      <c r="H222" s="18"/>
    </row>
    <row r="223" customFormat="false" ht="16.5" hidden="false" customHeight="true" outlineLevel="0" collapsed="false">
      <c r="A223" s="5" t="s">
        <v>2432</v>
      </c>
      <c r="B223" s="5" t="s">
        <v>2433</v>
      </c>
      <c r="C223" s="5" t="s">
        <v>1963</v>
      </c>
      <c r="D223" s="14" t="s">
        <v>1964</v>
      </c>
      <c r="E223" s="5" t="s">
        <v>1964</v>
      </c>
      <c r="F223" s="5"/>
      <c r="G223" s="5" t="s">
        <v>388</v>
      </c>
      <c r="H223" s="18"/>
    </row>
    <row r="224" customFormat="false" ht="16.5" hidden="false" customHeight="true" outlineLevel="0" collapsed="false">
      <c r="A224" s="5" t="s">
        <v>2434</v>
      </c>
      <c r="B224" s="5" t="s">
        <v>2435</v>
      </c>
      <c r="C224" s="5" t="s">
        <v>1963</v>
      </c>
      <c r="D224" s="14" t="s">
        <v>1964</v>
      </c>
      <c r="E224" s="5" t="s">
        <v>1964</v>
      </c>
      <c r="F224" s="5"/>
      <c r="G224" s="5" t="s">
        <v>1486</v>
      </c>
      <c r="H224" s="18"/>
    </row>
    <row r="225" customFormat="false" ht="30" hidden="false" customHeight="true" outlineLevel="0" collapsed="false">
      <c r="A225" s="5" t="s">
        <v>2436</v>
      </c>
      <c r="B225" s="5" t="s">
        <v>2437</v>
      </c>
      <c r="C225" s="5" t="s">
        <v>1963</v>
      </c>
      <c r="D225" s="14" t="s">
        <v>1986</v>
      </c>
      <c r="E225" s="5" t="s">
        <v>1964</v>
      </c>
      <c r="F225" s="23" t="s">
        <v>176</v>
      </c>
      <c r="G225" s="5" t="s">
        <v>1763</v>
      </c>
      <c r="H225" s="18"/>
    </row>
    <row r="226" customFormat="false" ht="30" hidden="false" customHeight="true" outlineLevel="0" collapsed="false">
      <c r="A226" s="5" t="s">
        <v>2438</v>
      </c>
      <c r="B226" s="5" t="s">
        <v>2439</v>
      </c>
      <c r="C226" s="5" t="s">
        <v>1963</v>
      </c>
      <c r="D226" s="14" t="s">
        <v>1986</v>
      </c>
      <c r="E226" s="5" t="s">
        <v>1964</v>
      </c>
      <c r="F226" s="23" t="s">
        <v>176</v>
      </c>
      <c r="G226" s="5" t="s">
        <v>1552</v>
      </c>
      <c r="H226" s="18"/>
    </row>
    <row r="227" customFormat="false" ht="30" hidden="false" customHeight="true" outlineLevel="0" collapsed="false">
      <c r="A227" s="5" t="s">
        <v>2440</v>
      </c>
      <c r="B227" s="5" t="s">
        <v>2441</v>
      </c>
      <c r="C227" s="5" t="s">
        <v>1963</v>
      </c>
      <c r="D227" s="14" t="s">
        <v>1986</v>
      </c>
      <c r="E227" s="5" t="s">
        <v>1964</v>
      </c>
      <c r="F227" s="23" t="s">
        <v>176</v>
      </c>
      <c r="G227" s="5" t="s">
        <v>1600</v>
      </c>
      <c r="H227" s="18"/>
    </row>
    <row r="228" customFormat="false" ht="30" hidden="false" customHeight="true" outlineLevel="0" collapsed="false">
      <c r="A228" s="5" t="s">
        <v>2442</v>
      </c>
      <c r="B228" s="5" t="s">
        <v>2443</v>
      </c>
      <c r="C228" s="5" t="s">
        <v>1963</v>
      </c>
      <c r="D228" s="14" t="s">
        <v>1986</v>
      </c>
      <c r="E228" s="5" t="s">
        <v>1964</v>
      </c>
      <c r="F228" s="23" t="s">
        <v>176</v>
      </c>
      <c r="G228" s="5" t="s">
        <v>1579</v>
      </c>
      <c r="H228" s="18"/>
    </row>
    <row r="229" customFormat="false" ht="16.5" hidden="false" customHeight="true" outlineLevel="0" collapsed="false">
      <c r="A229" s="5" t="s">
        <v>2444</v>
      </c>
      <c r="B229" s="5" t="s">
        <v>2445</v>
      </c>
      <c r="C229" s="5" t="s">
        <v>1963</v>
      </c>
      <c r="D229" s="14" t="s">
        <v>1986</v>
      </c>
      <c r="E229" s="5" t="s">
        <v>1964</v>
      </c>
      <c r="F229" s="23" t="s">
        <v>176</v>
      </c>
      <c r="G229" s="5" t="s">
        <v>1780</v>
      </c>
      <c r="H229" s="18"/>
    </row>
    <row r="230" customFormat="false" ht="16.5" hidden="false" customHeight="true" outlineLevel="0" collapsed="false">
      <c r="A230" s="5" t="s">
        <v>2446</v>
      </c>
      <c r="B230" s="5" t="s">
        <v>2447</v>
      </c>
      <c r="C230" s="5" t="s">
        <v>1963</v>
      </c>
      <c r="D230" s="14" t="s">
        <v>1964</v>
      </c>
      <c r="E230" s="5" t="s">
        <v>1964</v>
      </c>
      <c r="F230" s="5"/>
      <c r="G230" s="5" t="s">
        <v>1438</v>
      </c>
      <c r="H230" s="18"/>
    </row>
    <row r="231" customFormat="false" ht="16.5" hidden="false" customHeight="true" outlineLevel="0" collapsed="false">
      <c r="A231" s="5" t="s">
        <v>2448</v>
      </c>
      <c r="B231" s="5" t="s">
        <v>2449</v>
      </c>
      <c r="C231" s="5" t="s">
        <v>1963</v>
      </c>
      <c r="D231" s="14" t="s">
        <v>1986</v>
      </c>
      <c r="E231" s="5" t="s">
        <v>1964</v>
      </c>
      <c r="F231" s="23" t="s">
        <v>176</v>
      </c>
      <c r="G231" s="5" t="s">
        <v>1918</v>
      </c>
      <c r="H231" s="18"/>
    </row>
    <row r="232" customFormat="false" ht="16.5" hidden="false" customHeight="true" outlineLevel="0" collapsed="false">
      <c r="A232" s="5" t="s">
        <v>2450</v>
      </c>
      <c r="B232" s="5" t="s">
        <v>2451</v>
      </c>
      <c r="C232" s="5" t="s">
        <v>1963</v>
      </c>
      <c r="D232" s="14" t="s">
        <v>1964</v>
      </c>
      <c r="E232" s="5" t="s">
        <v>1964</v>
      </c>
      <c r="F232" s="5"/>
      <c r="G232" s="5" t="s">
        <v>1023</v>
      </c>
      <c r="H232" s="18"/>
    </row>
    <row r="233" customFormat="false" ht="16.5" hidden="false" customHeight="true" outlineLevel="0" collapsed="false">
      <c r="A233" s="5" t="s">
        <v>2452</v>
      </c>
      <c r="B233" s="5" t="s">
        <v>2453</v>
      </c>
      <c r="C233" s="5" t="s">
        <v>1963</v>
      </c>
      <c r="D233" s="14" t="s">
        <v>1964</v>
      </c>
      <c r="E233" s="5" t="s">
        <v>1964</v>
      </c>
      <c r="F233" s="5"/>
      <c r="G233" s="5" t="s">
        <v>590</v>
      </c>
      <c r="H233" s="18"/>
    </row>
    <row r="234" customFormat="false" ht="30" hidden="false" customHeight="true" outlineLevel="0" collapsed="false">
      <c r="A234" s="5" t="s">
        <v>2454</v>
      </c>
      <c r="B234" s="5" t="s">
        <v>2455</v>
      </c>
      <c r="C234" s="5" t="s">
        <v>1963</v>
      </c>
      <c r="D234" s="14" t="s">
        <v>1964</v>
      </c>
      <c r="E234" s="5" t="s">
        <v>1964</v>
      </c>
      <c r="F234" s="5"/>
      <c r="G234" s="5" t="s">
        <v>971</v>
      </c>
      <c r="H234" s="18"/>
    </row>
    <row r="235" customFormat="false" ht="16.5" hidden="false" customHeight="true" outlineLevel="0" collapsed="false">
      <c r="A235" s="5" t="s">
        <v>2456</v>
      </c>
      <c r="B235" s="5" t="s">
        <v>2457</v>
      </c>
      <c r="C235" s="5" t="s">
        <v>1963</v>
      </c>
      <c r="D235" s="14" t="s">
        <v>1964</v>
      </c>
      <c r="E235" s="5" t="s">
        <v>1964</v>
      </c>
      <c r="F235" s="5"/>
      <c r="G235" s="5" t="s">
        <v>1442</v>
      </c>
      <c r="H235" s="18"/>
    </row>
    <row r="236" customFormat="false" ht="30" hidden="false" customHeight="true" outlineLevel="0" collapsed="false">
      <c r="A236" s="5" t="s">
        <v>2458</v>
      </c>
      <c r="B236" s="5" t="s">
        <v>2459</v>
      </c>
      <c r="C236" s="5" t="s">
        <v>1963</v>
      </c>
      <c r="D236" s="14" t="s">
        <v>1964</v>
      </c>
      <c r="E236" s="5" t="s">
        <v>1964</v>
      </c>
      <c r="F236" s="5"/>
      <c r="G236" s="5" t="s">
        <v>618</v>
      </c>
      <c r="H236" s="18"/>
    </row>
    <row r="237" customFormat="false" ht="16.5" hidden="false" customHeight="true" outlineLevel="0" collapsed="false">
      <c r="A237" s="5" t="s">
        <v>2460</v>
      </c>
      <c r="B237" s="5" t="s">
        <v>2461</v>
      </c>
      <c r="C237" s="5" t="s">
        <v>1963</v>
      </c>
      <c r="D237" s="14" t="s">
        <v>1964</v>
      </c>
      <c r="E237" s="5" t="s">
        <v>1964</v>
      </c>
      <c r="F237" s="5"/>
      <c r="G237" s="5" t="s">
        <v>1741</v>
      </c>
      <c r="H237" s="18"/>
    </row>
    <row r="238" customFormat="false" ht="16.5" hidden="false" customHeight="true" outlineLevel="0" collapsed="false">
      <c r="A238" s="5" t="s">
        <v>2462</v>
      </c>
      <c r="B238" s="5" t="s">
        <v>2463</v>
      </c>
      <c r="C238" s="5" t="s">
        <v>1963</v>
      </c>
      <c r="D238" s="14" t="s">
        <v>1964</v>
      </c>
      <c r="E238" s="5" t="s">
        <v>1964</v>
      </c>
      <c r="F238" s="5"/>
      <c r="G238" s="5" t="s">
        <v>564</v>
      </c>
      <c r="H238" s="18"/>
    </row>
    <row r="239" customFormat="false" ht="16.5" hidden="false" customHeight="true" outlineLevel="0" collapsed="false">
      <c r="A239" s="5" t="s">
        <v>2464</v>
      </c>
      <c r="B239" s="5" t="s">
        <v>2465</v>
      </c>
      <c r="C239" s="5" t="s">
        <v>1963</v>
      </c>
      <c r="D239" s="14" t="s">
        <v>1964</v>
      </c>
      <c r="E239" s="5" t="s">
        <v>1964</v>
      </c>
      <c r="F239" s="5"/>
      <c r="G239" s="5" t="s">
        <v>997</v>
      </c>
      <c r="H239" s="18"/>
    </row>
    <row r="240" customFormat="false" ht="16.5" hidden="false" customHeight="true" outlineLevel="0" collapsed="false">
      <c r="A240" s="5" t="s">
        <v>2466</v>
      </c>
      <c r="B240" s="5" t="s">
        <v>2467</v>
      </c>
      <c r="C240" s="5" t="s">
        <v>1963</v>
      </c>
      <c r="D240" s="14" t="s">
        <v>1986</v>
      </c>
      <c r="E240" s="5" t="s">
        <v>1964</v>
      </c>
      <c r="F240" s="23" t="s">
        <v>176</v>
      </c>
      <c r="G240" s="5" t="s">
        <v>1005</v>
      </c>
      <c r="H240" s="18"/>
    </row>
    <row r="241" customFormat="false" ht="16.5" hidden="false" customHeight="true" outlineLevel="0" collapsed="false">
      <c r="A241" s="5" t="s">
        <v>2468</v>
      </c>
      <c r="B241" s="5" t="s">
        <v>2469</v>
      </c>
      <c r="C241" s="5" t="s">
        <v>1963</v>
      </c>
      <c r="D241" s="14" t="s">
        <v>1964</v>
      </c>
      <c r="E241" s="5" t="s">
        <v>1964</v>
      </c>
      <c r="F241" s="5"/>
      <c r="G241" s="5" t="s">
        <v>994</v>
      </c>
      <c r="H241" s="18"/>
    </row>
    <row r="242" customFormat="false" ht="30" hidden="false" customHeight="true" outlineLevel="0" collapsed="false">
      <c r="A242" s="5" t="s">
        <v>2470</v>
      </c>
      <c r="B242" s="5" t="s">
        <v>2471</v>
      </c>
      <c r="C242" s="5" t="s">
        <v>1963</v>
      </c>
      <c r="D242" s="14" t="s">
        <v>1986</v>
      </c>
      <c r="E242" s="5" t="s">
        <v>1964</v>
      </c>
      <c r="F242" s="23" t="s">
        <v>176</v>
      </c>
      <c r="G242" s="5" t="s">
        <v>1776</v>
      </c>
      <c r="H242" s="18"/>
    </row>
    <row r="243" customFormat="false" ht="30" hidden="false" customHeight="true" outlineLevel="0" collapsed="false">
      <c r="A243" s="5" t="s">
        <v>2472</v>
      </c>
      <c r="B243" s="5" t="s">
        <v>2473</v>
      </c>
      <c r="C243" s="5" t="s">
        <v>2474</v>
      </c>
      <c r="D243" s="14" t="s">
        <v>1986</v>
      </c>
      <c r="E243" s="5" t="s">
        <v>1986</v>
      </c>
      <c r="F243" s="5"/>
      <c r="G243" s="5" t="s">
        <v>618</v>
      </c>
      <c r="H243" s="18"/>
    </row>
    <row r="244" customFormat="false" ht="16.5" hidden="false" customHeight="true" outlineLevel="0" collapsed="false">
      <c r="A244" s="5" t="s">
        <v>2475</v>
      </c>
      <c r="B244" s="5" t="s">
        <v>2476</v>
      </c>
      <c r="C244" s="5" t="s">
        <v>2474</v>
      </c>
      <c r="D244" s="14" t="s">
        <v>1986</v>
      </c>
      <c r="E244" s="5" t="s">
        <v>1986</v>
      </c>
      <c r="F244" s="5"/>
      <c r="G244" s="5" t="s">
        <v>647</v>
      </c>
      <c r="H244" s="18"/>
    </row>
    <row r="245" customFormat="false" ht="16.5" hidden="false" customHeight="true" outlineLevel="0" collapsed="false">
      <c r="A245" s="5" t="s">
        <v>2477</v>
      </c>
      <c r="B245" s="5" t="s">
        <v>2478</v>
      </c>
      <c r="C245" s="5" t="s">
        <v>2474</v>
      </c>
      <c r="D245" s="14" t="s">
        <v>1986</v>
      </c>
      <c r="E245" s="5" t="s">
        <v>1986</v>
      </c>
      <c r="F245" s="5"/>
      <c r="G245" s="5" t="s">
        <v>1442</v>
      </c>
      <c r="H245" s="18"/>
    </row>
    <row r="246" customFormat="false" ht="16.5" hidden="false" customHeight="true" outlineLevel="0" collapsed="false">
      <c r="A246" s="5" t="s">
        <v>2479</v>
      </c>
      <c r="B246" s="5" t="s">
        <v>2480</v>
      </c>
      <c r="C246" s="5" t="s">
        <v>2474</v>
      </c>
      <c r="D246" s="14" t="s">
        <v>1986</v>
      </c>
      <c r="E246" s="5" t="s">
        <v>1986</v>
      </c>
      <c r="F246" s="5"/>
      <c r="G246" s="5" t="s">
        <v>1063</v>
      </c>
      <c r="H246" s="18"/>
    </row>
    <row r="247" customFormat="false" ht="16.5" hidden="false" customHeight="true" outlineLevel="0" collapsed="false">
      <c r="A247" s="5" t="s">
        <v>2481</v>
      </c>
      <c r="B247" s="5" t="s">
        <v>2482</v>
      </c>
      <c r="C247" s="5" t="s">
        <v>2474</v>
      </c>
      <c r="D247" s="14" t="s">
        <v>1986</v>
      </c>
      <c r="E247" s="5" t="s">
        <v>1986</v>
      </c>
      <c r="F247" s="5"/>
      <c r="G247" s="5" t="s">
        <v>577</v>
      </c>
      <c r="H247" s="18"/>
    </row>
    <row r="248" customFormat="false" ht="16.5" hidden="false" customHeight="true" outlineLevel="0" collapsed="false">
      <c r="A248" s="5" t="s">
        <v>2483</v>
      </c>
      <c r="B248" s="5" t="s">
        <v>2484</v>
      </c>
      <c r="C248" s="5" t="s">
        <v>2474</v>
      </c>
      <c r="D248" s="14" t="s">
        <v>1986</v>
      </c>
      <c r="E248" s="5" t="s">
        <v>1986</v>
      </c>
      <c r="F248" s="5"/>
      <c r="G248" s="5" t="s">
        <v>1942</v>
      </c>
      <c r="H248" s="18"/>
    </row>
    <row r="249" customFormat="false" ht="16.5" hidden="false" customHeight="true" outlineLevel="0" collapsed="false">
      <c r="A249" s="5" t="s">
        <v>2485</v>
      </c>
      <c r="B249" s="5" t="s">
        <v>2486</v>
      </c>
      <c r="C249" s="5" t="s">
        <v>2474</v>
      </c>
      <c r="D249" s="14" t="s">
        <v>1986</v>
      </c>
      <c r="E249" s="5" t="s">
        <v>1986</v>
      </c>
      <c r="F249" s="5"/>
      <c r="G249" s="5" t="s">
        <v>638</v>
      </c>
      <c r="H249" s="18"/>
    </row>
    <row r="250" customFormat="false" ht="16.5" hidden="false" customHeight="true" outlineLevel="0" collapsed="false">
      <c r="A250" s="5" t="s">
        <v>2487</v>
      </c>
      <c r="B250" s="5" t="s">
        <v>2488</v>
      </c>
      <c r="C250" s="5" t="s">
        <v>2474</v>
      </c>
      <c r="D250" s="14" t="s">
        <v>1986</v>
      </c>
      <c r="E250" s="5" t="s">
        <v>1986</v>
      </c>
      <c r="F250" s="5"/>
      <c r="G250" s="5" t="s">
        <v>629</v>
      </c>
      <c r="H250" s="18"/>
    </row>
    <row r="251" customFormat="false" ht="30" hidden="false" customHeight="true" outlineLevel="0" collapsed="false">
      <c r="A251" s="5" t="s">
        <v>2489</v>
      </c>
      <c r="B251" s="5" t="s">
        <v>2490</v>
      </c>
      <c r="C251" s="5" t="s">
        <v>2474</v>
      </c>
      <c r="D251" s="14" t="s">
        <v>1986</v>
      </c>
      <c r="E251" s="5" t="s">
        <v>1986</v>
      </c>
      <c r="F251" s="5"/>
      <c r="G251" s="5" t="s">
        <v>2413</v>
      </c>
      <c r="H251" s="18"/>
    </row>
    <row r="252" customFormat="false" ht="16.5" hidden="false" customHeight="true" outlineLevel="0" collapsed="false">
      <c r="A252" s="5" t="s">
        <v>2491</v>
      </c>
      <c r="B252" s="5" t="s">
        <v>2492</v>
      </c>
      <c r="C252" s="5" t="s">
        <v>2474</v>
      </c>
      <c r="D252" s="14" t="s">
        <v>1986</v>
      </c>
      <c r="E252" s="5" t="s">
        <v>1986</v>
      </c>
      <c r="F252" s="5"/>
      <c r="G252" s="5" t="s">
        <v>1258</v>
      </c>
      <c r="H252" s="18"/>
    </row>
    <row r="253" customFormat="false" ht="30" hidden="false" customHeight="true" outlineLevel="0" collapsed="false">
      <c r="A253" s="5" t="s">
        <v>2493</v>
      </c>
      <c r="B253" s="5" t="s">
        <v>2494</v>
      </c>
      <c r="C253" s="5" t="s">
        <v>2474</v>
      </c>
      <c r="D253" s="14" t="s">
        <v>1986</v>
      </c>
      <c r="E253" s="5" t="s">
        <v>1986</v>
      </c>
      <c r="F253" s="5"/>
      <c r="G253" s="5" t="s">
        <v>1393</v>
      </c>
      <c r="H253" s="18"/>
    </row>
    <row r="254" customFormat="false" ht="16.5" hidden="false" customHeight="true" outlineLevel="0" collapsed="false">
      <c r="A254" s="5" t="s">
        <v>2495</v>
      </c>
      <c r="B254" s="5" t="s">
        <v>2496</v>
      </c>
      <c r="C254" s="5" t="s">
        <v>2474</v>
      </c>
      <c r="D254" s="14" t="s">
        <v>1986</v>
      </c>
      <c r="E254" s="5" t="s">
        <v>1986</v>
      </c>
      <c r="F254" s="5"/>
      <c r="G254" s="5" t="s">
        <v>2497</v>
      </c>
      <c r="H254" s="18"/>
    </row>
    <row r="255" customFormat="false" ht="16.5" hidden="false" customHeight="true" outlineLevel="0" collapsed="false">
      <c r="A255" s="5" t="s">
        <v>2498</v>
      </c>
      <c r="B255" s="5" t="s">
        <v>2499</v>
      </c>
      <c r="C255" s="5" t="s">
        <v>2474</v>
      </c>
      <c r="D255" s="14" t="s">
        <v>1986</v>
      </c>
      <c r="E255" s="5" t="s">
        <v>1986</v>
      </c>
      <c r="F255" s="5"/>
      <c r="G255" s="5" t="s">
        <v>734</v>
      </c>
      <c r="H255" s="18"/>
    </row>
    <row r="256" customFormat="false" ht="16.5" hidden="false" customHeight="true" outlineLevel="0" collapsed="false">
      <c r="A256" s="5" t="s">
        <v>2500</v>
      </c>
      <c r="B256" s="5" t="s">
        <v>2501</v>
      </c>
      <c r="C256" s="5" t="s">
        <v>2474</v>
      </c>
      <c r="D256" s="14" t="s">
        <v>1986</v>
      </c>
      <c r="E256" s="5" t="s">
        <v>1986</v>
      </c>
      <c r="F256" s="5"/>
      <c r="G256" s="5" t="s">
        <v>1856</v>
      </c>
      <c r="H256" s="18"/>
    </row>
    <row r="257" customFormat="false" ht="16.5" hidden="false" customHeight="true" outlineLevel="0" collapsed="false">
      <c r="A257" s="5" t="s">
        <v>2502</v>
      </c>
      <c r="B257" s="5" t="s">
        <v>2503</v>
      </c>
      <c r="C257" s="5" t="s">
        <v>2474</v>
      </c>
      <c r="D257" s="14" t="s">
        <v>1986</v>
      </c>
      <c r="E257" s="5" t="s">
        <v>1986</v>
      </c>
      <c r="F257" s="5"/>
      <c r="G257" s="5" t="s">
        <v>1780</v>
      </c>
      <c r="H257" s="18"/>
    </row>
    <row r="258" customFormat="false" ht="16.5" hidden="false" customHeight="true" outlineLevel="0" collapsed="false">
      <c r="A258" s="5" t="s">
        <v>2504</v>
      </c>
      <c r="B258" s="5" t="s">
        <v>2505</v>
      </c>
      <c r="C258" s="5" t="s">
        <v>2474</v>
      </c>
      <c r="D258" s="14" t="s">
        <v>1986</v>
      </c>
      <c r="E258" s="5" t="s">
        <v>1986</v>
      </c>
      <c r="F258" s="5"/>
      <c r="G258" s="5" t="s">
        <v>1841</v>
      </c>
      <c r="H258" s="18"/>
    </row>
    <row r="259" customFormat="false" ht="16.5" hidden="false" customHeight="true" outlineLevel="0" collapsed="false">
      <c r="A259" s="5" t="s">
        <v>2506</v>
      </c>
      <c r="B259" s="5" t="s">
        <v>2507</v>
      </c>
      <c r="C259" s="5" t="s">
        <v>2474</v>
      </c>
      <c r="D259" s="14" t="s">
        <v>1986</v>
      </c>
      <c r="E259" s="5" t="s">
        <v>1986</v>
      </c>
      <c r="F259" s="5"/>
      <c r="G259" s="5" t="s">
        <v>407</v>
      </c>
      <c r="H259" s="18"/>
    </row>
    <row r="260" customFormat="false" ht="30" hidden="false" customHeight="true" outlineLevel="0" collapsed="false">
      <c r="A260" s="5" t="s">
        <v>2508</v>
      </c>
      <c r="B260" s="5" t="s">
        <v>2509</v>
      </c>
      <c r="C260" s="5" t="s">
        <v>2474</v>
      </c>
      <c r="D260" s="14" t="s">
        <v>1986</v>
      </c>
      <c r="E260" s="5" t="s">
        <v>1986</v>
      </c>
      <c r="F260" s="5"/>
      <c r="G260" s="5" t="s">
        <v>664</v>
      </c>
      <c r="H260" s="18"/>
    </row>
    <row r="261" customFormat="false" ht="16.5" hidden="false" customHeight="true" outlineLevel="0" collapsed="false">
      <c r="A261" s="5" t="s">
        <v>2510</v>
      </c>
      <c r="B261" s="5" t="s">
        <v>2511</v>
      </c>
      <c r="C261" s="5" t="s">
        <v>2474</v>
      </c>
      <c r="D261" s="14" t="s">
        <v>1986</v>
      </c>
      <c r="E261" s="5" t="s">
        <v>1986</v>
      </c>
      <c r="F261" s="5"/>
      <c r="G261" s="5" t="s">
        <v>2362</v>
      </c>
      <c r="H261" s="18"/>
    </row>
    <row r="262" customFormat="false" ht="16.5" hidden="false" customHeight="true" outlineLevel="0" collapsed="false">
      <c r="A262" s="5" t="s">
        <v>2512</v>
      </c>
      <c r="B262" s="5" t="s">
        <v>2513</v>
      </c>
      <c r="C262" s="5" t="s">
        <v>2474</v>
      </c>
      <c r="D262" s="14" t="s">
        <v>1986</v>
      </c>
      <c r="E262" s="5" t="s">
        <v>1986</v>
      </c>
      <c r="F262" s="5"/>
      <c r="G262" s="5" t="s">
        <v>491</v>
      </c>
      <c r="H262" s="18"/>
    </row>
    <row r="263" customFormat="false" ht="30" hidden="false" customHeight="true" outlineLevel="0" collapsed="false">
      <c r="A263" s="5" t="s">
        <v>2514</v>
      </c>
      <c r="B263" s="5" t="s">
        <v>2515</v>
      </c>
      <c r="C263" s="5" t="s">
        <v>2474</v>
      </c>
      <c r="D263" s="14" t="s">
        <v>1986</v>
      </c>
      <c r="E263" s="5" t="s">
        <v>1986</v>
      </c>
      <c r="F263" s="5"/>
      <c r="G263" s="5" t="s">
        <v>1168</v>
      </c>
      <c r="H263" s="18"/>
    </row>
    <row r="264" customFormat="false" ht="30" hidden="false" customHeight="true" outlineLevel="0" collapsed="false">
      <c r="A264" s="5" t="s">
        <v>2516</v>
      </c>
      <c r="B264" s="5" t="s">
        <v>2517</v>
      </c>
      <c r="C264" s="5" t="s">
        <v>2474</v>
      </c>
      <c r="D264" s="14" t="s">
        <v>1986</v>
      </c>
      <c r="E264" s="5" t="s">
        <v>1986</v>
      </c>
      <c r="F264" s="5"/>
      <c r="G264" s="5" t="s">
        <v>773</v>
      </c>
      <c r="H264" s="18"/>
    </row>
    <row r="265" customFormat="false" ht="16.5" hidden="false" customHeight="true" outlineLevel="0" collapsed="false">
      <c r="A265" s="5" t="s">
        <v>2518</v>
      </c>
      <c r="B265" s="5" t="s">
        <v>2519</v>
      </c>
      <c r="C265" s="5" t="s">
        <v>2474</v>
      </c>
      <c r="D265" s="14" t="s">
        <v>1986</v>
      </c>
      <c r="E265" s="5" t="s">
        <v>1986</v>
      </c>
      <c r="F265" s="5"/>
      <c r="G265" s="5" t="s">
        <v>752</v>
      </c>
      <c r="H265" s="18"/>
    </row>
    <row r="266" customFormat="false" ht="16.5" hidden="false" customHeight="true" outlineLevel="0" collapsed="false">
      <c r="A266" s="5" t="s">
        <v>2520</v>
      </c>
      <c r="B266" s="5" t="s">
        <v>2521</v>
      </c>
      <c r="C266" s="5" t="s">
        <v>2474</v>
      </c>
      <c r="D266" s="14" t="s">
        <v>1986</v>
      </c>
      <c r="E266" s="5" t="s">
        <v>1986</v>
      </c>
      <c r="F266" s="5"/>
      <c r="G266" s="5" t="s">
        <v>573</v>
      </c>
      <c r="H266" s="18"/>
    </row>
    <row r="267" customFormat="false" ht="16.5" hidden="false" customHeight="true" outlineLevel="0" collapsed="false">
      <c r="A267" s="5" t="s">
        <v>2522</v>
      </c>
      <c r="B267" s="5" t="s">
        <v>2523</v>
      </c>
      <c r="C267" s="5" t="s">
        <v>2474</v>
      </c>
      <c r="D267" s="14" t="s">
        <v>1986</v>
      </c>
      <c r="E267" s="5" t="s">
        <v>1986</v>
      </c>
      <c r="F267" s="5"/>
      <c r="G267" s="5" t="s">
        <v>1470</v>
      </c>
      <c r="H267" s="18"/>
    </row>
    <row r="268" customFormat="false" ht="16.5" hidden="false" customHeight="true" outlineLevel="0" collapsed="false">
      <c r="A268" s="5" t="s">
        <v>2524</v>
      </c>
      <c r="B268" s="5" t="s">
        <v>2525</v>
      </c>
      <c r="C268" s="5" t="s">
        <v>2474</v>
      </c>
      <c r="D268" s="14" t="s">
        <v>1986</v>
      </c>
      <c r="E268" s="5" t="s">
        <v>1986</v>
      </c>
      <c r="F268" s="5"/>
      <c r="G268" s="5" t="s">
        <v>1015</v>
      </c>
      <c r="H268" s="18"/>
    </row>
    <row r="269" customFormat="false" ht="30" hidden="false" customHeight="true" outlineLevel="0" collapsed="false">
      <c r="A269" s="5" t="s">
        <v>2526</v>
      </c>
      <c r="B269" s="5" t="s">
        <v>2527</v>
      </c>
      <c r="C269" s="5" t="s">
        <v>2474</v>
      </c>
      <c r="D269" s="14" t="s">
        <v>1986</v>
      </c>
      <c r="E269" s="5" t="s">
        <v>1986</v>
      </c>
      <c r="F269" s="5"/>
      <c r="G269" s="5" t="s">
        <v>2528</v>
      </c>
      <c r="H269" s="18"/>
    </row>
    <row r="270" customFormat="false" ht="16.5" hidden="false" customHeight="true" outlineLevel="0" collapsed="false">
      <c r="A270" s="5" t="s">
        <v>2529</v>
      </c>
      <c r="B270" s="5" t="s">
        <v>2530</v>
      </c>
      <c r="C270" s="5" t="s">
        <v>2474</v>
      </c>
      <c r="D270" s="14" t="s">
        <v>1986</v>
      </c>
      <c r="E270" s="5" t="s">
        <v>1986</v>
      </c>
      <c r="F270" s="5"/>
      <c r="G270" s="5" t="s">
        <v>783</v>
      </c>
      <c r="H270" s="18"/>
    </row>
    <row r="271" customFormat="false" ht="16.5" hidden="false" customHeight="true" outlineLevel="0" collapsed="false">
      <c r="A271" s="5" t="s">
        <v>2531</v>
      </c>
      <c r="B271" s="5" t="s">
        <v>2532</v>
      </c>
      <c r="C271" s="5" t="s">
        <v>2474</v>
      </c>
      <c r="D271" s="14" t="s">
        <v>1986</v>
      </c>
      <c r="E271" s="5" t="s">
        <v>1986</v>
      </c>
      <c r="F271" s="5"/>
      <c r="G271" s="5" t="s">
        <v>2533</v>
      </c>
      <c r="H271" s="18"/>
    </row>
    <row r="272" customFormat="false" ht="16.5" hidden="false" customHeight="true" outlineLevel="0" collapsed="false">
      <c r="A272" s="5" t="s">
        <v>2534</v>
      </c>
      <c r="B272" s="5" t="s">
        <v>2535</v>
      </c>
      <c r="C272" s="5" t="s">
        <v>2474</v>
      </c>
      <c r="D272" s="14" t="s">
        <v>1986</v>
      </c>
      <c r="E272" s="5" t="s">
        <v>1986</v>
      </c>
      <c r="F272" s="5"/>
      <c r="G272" s="5" t="s">
        <v>898</v>
      </c>
      <c r="H272" s="18"/>
    </row>
    <row r="273" customFormat="false" ht="30" hidden="false" customHeight="true" outlineLevel="0" collapsed="false">
      <c r="A273" s="5" t="s">
        <v>2536</v>
      </c>
      <c r="B273" s="5" t="s">
        <v>2537</v>
      </c>
      <c r="C273" s="5" t="s">
        <v>2474</v>
      </c>
      <c r="D273" s="14" t="s">
        <v>1986</v>
      </c>
      <c r="E273" s="5" t="s">
        <v>1986</v>
      </c>
      <c r="F273" s="5"/>
      <c r="G273" s="5" t="s">
        <v>2538</v>
      </c>
      <c r="H273" s="18"/>
    </row>
    <row r="274" customFormat="false" ht="30" hidden="false" customHeight="true" outlineLevel="0" collapsed="false">
      <c r="A274" s="5" t="s">
        <v>2539</v>
      </c>
      <c r="B274" s="5" t="s">
        <v>2540</v>
      </c>
      <c r="C274" s="5" t="s">
        <v>2474</v>
      </c>
      <c r="D274" s="14" t="s">
        <v>1986</v>
      </c>
      <c r="E274" s="5" t="s">
        <v>1986</v>
      </c>
      <c r="F274" s="5"/>
      <c r="G274" s="5" t="s">
        <v>2541</v>
      </c>
      <c r="H274" s="18"/>
    </row>
    <row r="275" customFormat="false" ht="30" hidden="false" customHeight="true" outlineLevel="0" collapsed="false">
      <c r="A275" s="5" t="s">
        <v>2542</v>
      </c>
      <c r="B275" s="5" t="s">
        <v>2543</v>
      </c>
      <c r="C275" s="5" t="s">
        <v>2474</v>
      </c>
      <c r="D275" s="14" t="s">
        <v>1986</v>
      </c>
      <c r="E275" s="5" t="s">
        <v>1986</v>
      </c>
      <c r="F275" s="5"/>
      <c r="G275" s="5" t="s">
        <v>2544</v>
      </c>
      <c r="H275" s="18"/>
    </row>
    <row r="276" customFormat="false" ht="16.5" hidden="false" customHeight="true" outlineLevel="0" collapsed="false">
      <c r="A276" s="5" t="s">
        <v>2545</v>
      </c>
      <c r="B276" s="5" t="s">
        <v>2546</v>
      </c>
      <c r="C276" s="5" t="s">
        <v>2474</v>
      </c>
      <c r="D276" s="14" t="s">
        <v>1986</v>
      </c>
      <c r="E276" s="5" t="s">
        <v>1986</v>
      </c>
      <c r="F276" s="5"/>
      <c r="G276" s="5" t="s">
        <v>946</v>
      </c>
      <c r="H276" s="18"/>
    </row>
    <row r="277" customFormat="false" ht="16.5" hidden="false" customHeight="true" outlineLevel="0" collapsed="false">
      <c r="A277" s="5" t="s">
        <v>2547</v>
      </c>
      <c r="B277" s="5" t="s">
        <v>2548</v>
      </c>
      <c r="C277" s="5" t="s">
        <v>2474</v>
      </c>
      <c r="D277" s="14" t="s">
        <v>1986</v>
      </c>
      <c r="E277" s="5" t="s">
        <v>1986</v>
      </c>
      <c r="F277" s="5"/>
      <c r="G277" s="5" t="s">
        <v>1692</v>
      </c>
      <c r="H277" s="18"/>
    </row>
    <row r="278" customFormat="false" ht="16.5" hidden="false" customHeight="true" outlineLevel="0" collapsed="false">
      <c r="A278" s="5" t="s">
        <v>2549</v>
      </c>
      <c r="B278" s="5" t="s">
        <v>2550</v>
      </c>
      <c r="C278" s="5" t="s">
        <v>2474</v>
      </c>
      <c r="D278" s="14" t="s">
        <v>1986</v>
      </c>
      <c r="E278" s="5" t="s">
        <v>1986</v>
      </c>
      <c r="F278" s="5"/>
      <c r="G278" s="5" t="s">
        <v>1705</v>
      </c>
      <c r="H278" s="18"/>
    </row>
    <row r="279" customFormat="false" ht="30" hidden="false" customHeight="true" outlineLevel="0" collapsed="false">
      <c r="A279" s="5" t="s">
        <v>2551</v>
      </c>
      <c r="B279" s="5" t="s">
        <v>2552</v>
      </c>
      <c r="C279" s="5" t="s">
        <v>2474</v>
      </c>
      <c r="D279" s="14" t="s">
        <v>1986</v>
      </c>
      <c r="E279" s="5" t="s">
        <v>1986</v>
      </c>
      <c r="F279" s="5"/>
      <c r="G279" s="5" t="s">
        <v>893</v>
      </c>
      <c r="H279" s="18"/>
    </row>
    <row r="280" customFormat="false" ht="30" hidden="false" customHeight="true" outlineLevel="0" collapsed="false">
      <c r="A280" s="5" t="s">
        <v>2553</v>
      </c>
      <c r="B280" s="5" t="s">
        <v>2554</v>
      </c>
      <c r="C280" s="5" t="s">
        <v>2474</v>
      </c>
      <c r="D280" s="14" t="s">
        <v>1986</v>
      </c>
      <c r="E280" s="5" t="s">
        <v>1986</v>
      </c>
      <c r="F280" s="5"/>
      <c r="G280" s="5" t="s">
        <v>695</v>
      </c>
      <c r="H280" s="18"/>
    </row>
    <row r="281" customFormat="false" ht="16.5" hidden="false" customHeight="true" outlineLevel="0" collapsed="false">
      <c r="A281" s="5" t="s">
        <v>2555</v>
      </c>
      <c r="B281" s="5" t="s">
        <v>2556</v>
      </c>
      <c r="C281" s="5" t="s">
        <v>2474</v>
      </c>
      <c r="D281" s="14" t="s">
        <v>1964</v>
      </c>
      <c r="E281" s="5" t="s">
        <v>1986</v>
      </c>
      <c r="F281" s="23" t="s">
        <v>176</v>
      </c>
      <c r="G281" s="5" t="s">
        <v>1728</v>
      </c>
      <c r="H281" s="18"/>
    </row>
    <row r="282" customFormat="false" ht="16.5" hidden="false" customHeight="true" outlineLevel="0" collapsed="false">
      <c r="A282" s="5" t="s">
        <v>2557</v>
      </c>
      <c r="B282" s="5" t="s">
        <v>2558</v>
      </c>
      <c r="C282" s="5" t="s">
        <v>2474</v>
      </c>
      <c r="D282" s="14" t="s">
        <v>1986</v>
      </c>
      <c r="E282" s="5" t="s">
        <v>1986</v>
      </c>
      <c r="F282" s="5"/>
      <c r="G282" s="5" t="s">
        <v>513</v>
      </c>
      <c r="H282" s="18"/>
    </row>
    <row r="283" customFormat="false" ht="16.5" hidden="false" customHeight="true" outlineLevel="0" collapsed="false">
      <c r="A283" s="5" t="s">
        <v>2559</v>
      </c>
      <c r="B283" s="5" t="s">
        <v>2560</v>
      </c>
      <c r="C283" s="5" t="s">
        <v>2474</v>
      </c>
      <c r="D283" s="14" t="s">
        <v>1986</v>
      </c>
      <c r="E283" s="5" t="s">
        <v>1986</v>
      </c>
      <c r="F283" s="5"/>
      <c r="G283" s="5" t="s">
        <v>484</v>
      </c>
      <c r="H283" s="18"/>
    </row>
    <row r="284" customFormat="false" ht="16.5" hidden="false" customHeight="true" outlineLevel="0" collapsed="false">
      <c r="A284" s="5" t="s">
        <v>2561</v>
      </c>
      <c r="B284" s="5" t="s">
        <v>2562</v>
      </c>
      <c r="C284" s="5" t="s">
        <v>2474</v>
      </c>
      <c r="D284" s="14" t="s">
        <v>1986</v>
      </c>
      <c r="E284" s="5" t="s">
        <v>1986</v>
      </c>
      <c r="F284" s="5"/>
      <c r="G284" s="5" t="s">
        <v>756</v>
      </c>
      <c r="H284" s="18"/>
    </row>
    <row r="285" customFormat="false" ht="16.5" hidden="false" customHeight="true" outlineLevel="0" collapsed="false">
      <c r="A285" s="5" t="s">
        <v>2563</v>
      </c>
      <c r="B285" s="5" t="s">
        <v>2564</v>
      </c>
      <c r="C285" s="5" t="s">
        <v>2474</v>
      </c>
      <c r="D285" s="14" t="s">
        <v>1986</v>
      </c>
      <c r="E285" s="5" t="s">
        <v>1986</v>
      </c>
      <c r="F285" s="5"/>
      <c r="G285" s="5" t="s">
        <v>488</v>
      </c>
      <c r="H285" s="18"/>
    </row>
    <row r="286" customFormat="false" ht="43.5" hidden="false" customHeight="true" outlineLevel="0" collapsed="false">
      <c r="A286" s="5" t="s">
        <v>2565</v>
      </c>
      <c r="B286" s="5" t="s">
        <v>2566</v>
      </c>
      <c r="C286" s="5" t="s">
        <v>2474</v>
      </c>
      <c r="D286" s="14" t="s">
        <v>1986</v>
      </c>
      <c r="E286" s="5" t="s">
        <v>1986</v>
      </c>
      <c r="F286" s="5"/>
      <c r="G286" s="5" t="s">
        <v>1991</v>
      </c>
      <c r="H286" s="18"/>
    </row>
    <row r="287" customFormat="false" ht="30" hidden="false" customHeight="true" outlineLevel="0" collapsed="false">
      <c r="A287" s="5" t="s">
        <v>2567</v>
      </c>
      <c r="B287" s="5" t="s">
        <v>2568</v>
      </c>
      <c r="C287" s="5" t="s">
        <v>2474</v>
      </c>
      <c r="D287" s="14" t="s">
        <v>1986</v>
      </c>
      <c r="E287" s="5" t="s">
        <v>1986</v>
      </c>
      <c r="F287" s="5"/>
      <c r="G287" s="5" t="s">
        <v>2569</v>
      </c>
      <c r="H287" s="18"/>
    </row>
    <row r="288" customFormat="false" ht="16.5" hidden="false" customHeight="true" outlineLevel="0" collapsed="false">
      <c r="A288" s="5" t="s">
        <v>2570</v>
      </c>
      <c r="B288" s="5" t="s">
        <v>2571</v>
      </c>
      <c r="C288" s="5" t="s">
        <v>2474</v>
      </c>
      <c r="D288" s="14" t="s">
        <v>1986</v>
      </c>
      <c r="E288" s="5" t="s">
        <v>1986</v>
      </c>
      <c r="F288" s="5"/>
      <c r="G288" s="5" t="s">
        <v>990</v>
      </c>
      <c r="H288" s="18"/>
    </row>
    <row r="289" customFormat="false" ht="16.5" hidden="false" customHeight="true" outlineLevel="0" collapsed="false">
      <c r="A289" s="5" t="s">
        <v>2572</v>
      </c>
      <c r="B289" s="5" t="s">
        <v>2573</v>
      </c>
      <c r="C289" s="5" t="s">
        <v>2474</v>
      </c>
      <c r="D289" s="14" t="s">
        <v>1986</v>
      </c>
      <c r="E289" s="5" t="s">
        <v>1986</v>
      </c>
      <c r="F289" s="5"/>
      <c r="G289" s="5" t="s">
        <v>997</v>
      </c>
      <c r="H289" s="18"/>
    </row>
    <row r="290" customFormat="false" ht="16.5" hidden="false" customHeight="true" outlineLevel="0" collapsed="false">
      <c r="A290" s="5" t="s">
        <v>2574</v>
      </c>
      <c r="B290" s="5" t="s">
        <v>2575</v>
      </c>
      <c r="C290" s="5" t="s">
        <v>2474</v>
      </c>
      <c r="D290" s="14" t="s">
        <v>1986</v>
      </c>
      <c r="E290" s="5" t="s">
        <v>1986</v>
      </c>
      <c r="F290" s="5"/>
      <c r="G290" s="5" t="s">
        <v>1023</v>
      </c>
      <c r="H290" s="18"/>
    </row>
    <row r="291" customFormat="false" ht="30" hidden="false" customHeight="true" outlineLevel="0" collapsed="false">
      <c r="A291" s="5" t="s">
        <v>2576</v>
      </c>
      <c r="B291" s="5" t="s">
        <v>2577</v>
      </c>
      <c r="C291" s="5" t="s">
        <v>2474</v>
      </c>
      <c r="D291" s="14" t="s">
        <v>1986</v>
      </c>
      <c r="E291" s="5" t="s">
        <v>1986</v>
      </c>
      <c r="F291" s="5"/>
      <c r="G291" s="5" t="s">
        <v>929</v>
      </c>
      <c r="H291" s="18"/>
    </row>
    <row r="292" customFormat="false" ht="16.5" hidden="false" customHeight="true" outlineLevel="0" collapsed="false">
      <c r="A292" s="5" t="s">
        <v>2578</v>
      </c>
      <c r="B292" s="5" t="s">
        <v>2579</v>
      </c>
      <c r="C292" s="5" t="s">
        <v>2474</v>
      </c>
      <c r="D292" s="14" t="s">
        <v>1986</v>
      </c>
      <c r="E292" s="5" t="s">
        <v>1986</v>
      </c>
      <c r="F292" s="5"/>
      <c r="G292" s="5" t="s">
        <v>2012</v>
      </c>
      <c r="H292" s="18"/>
    </row>
    <row r="293" customFormat="false" ht="16.5" hidden="false" customHeight="true" outlineLevel="0" collapsed="false">
      <c r="A293" s="5" t="s">
        <v>2580</v>
      </c>
      <c r="B293" s="5" t="s">
        <v>2581</v>
      </c>
      <c r="C293" s="5" t="s">
        <v>2474</v>
      </c>
      <c r="D293" s="14" t="s">
        <v>1986</v>
      </c>
      <c r="E293" s="5" t="s">
        <v>1986</v>
      </c>
      <c r="F293" s="5"/>
      <c r="G293" s="5" t="s">
        <v>543</v>
      </c>
      <c r="H293" s="18"/>
    </row>
    <row r="294" customFormat="false" ht="16.5" hidden="false" customHeight="true" outlineLevel="0" collapsed="false">
      <c r="A294" s="5" t="s">
        <v>2582</v>
      </c>
      <c r="B294" s="5" t="s">
        <v>2583</v>
      </c>
      <c r="C294" s="5" t="s">
        <v>2474</v>
      </c>
      <c r="D294" s="14" t="s">
        <v>1986</v>
      </c>
      <c r="E294" s="5" t="s">
        <v>1986</v>
      </c>
      <c r="F294" s="5"/>
      <c r="G294" s="5" t="s">
        <v>1520</v>
      </c>
      <c r="H294" s="18"/>
    </row>
    <row r="295" customFormat="false" ht="16.5" hidden="false" customHeight="true" outlineLevel="0" collapsed="false">
      <c r="A295" s="5" t="s">
        <v>2584</v>
      </c>
      <c r="B295" s="5" t="s">
        <v>2585</v>
      </c>
      <c r="C295" s="5" t="s">
        <v>2474</v>
      </c>
      <c r="D295" s="14" t="s">
        <v>1964</v>
      </c>
      <c r="E295" s="5" t="s">
        <v>1986</v>
      </c>
      <c r="F295" s="23" t="s">
        <v>176</v>
      </c>
      <c r="G295" s="5" t="s">
        <v>2347</v>
      </c>
      <c r="H295" s="18"/>
    </row>
    <row r="296" customFormat="false" ht="16.5" hidden="false" customHeight="true" outlineLevel="0" collapsed="false">
      <c r="A296" s="5" t="s">
        <v>2586</v>
      </c>
      <c r="B296" s="5" t="s">
        <v>2587</v>
      </c>
      <c r="C296" s="5" t="s">
        <v>2474</v>
      </c>
      <c r="D296" s="14" t="s">
        <v>1986</v>
      </c>
      <c r="E296" s="5" t="s">
        <v>1986</v>
      </c>
      <c r="F296" s="5"/>
      <c r="G296" s="5" t="s">
        <v>1318</v>
      </c>
      <c r="H296" s="18"/>
    </row>
    <row r="297" customFormat="false" ht="16.5" hidden="false" customHeight="true" outlineLevel="0" collapsed="false">
      <c r="A297" s="5" t="s">
        <v>2588</v>
      </c>
      <c r="B297" s="5" t="s">
        <v>2589</v>
      </c>
      <c r="C297" s="5" t="s">
        <v>2474</v>
      </c>
      <c r="D297" s="14" t="s">
        <v>1986</v>
      </c>
      <c r="E297" s="5" t="s">
        <v>1986</v>
      </c>
      <c r="F297" s="5"/>
      <c r="G297" s="5" t="s">
        <v>1866</v>
      </c>
      <c r="H297" s="18"/>
    </row>
    <row r="298" customFormat="false" ht="16.5" hidden="false" customHeight="true" outlineLevel="0" collapsed="false">
      <c r="A298" s="5" t="s">
        <v>2590</v>
      </c>
      <c r="B298" s="5" t="s">
        <v>2591</v>
      </c>
      <c r="C298" s="5" t="s">
        <v>2474</v>
      </c>
      <c r="D298" s="14" t="s">
        <v>1986</v>
      </c>
      <c r="E298" s="5" t="s">
        <v>1986</v>
      </c>
      <c r="F298" s="5"/>
      <c r="G298" s="5" t="s">
        <v>1905</v>
      </c>
      <c r="H298" s="18"/>
    </row>
    <row r="299" customFormat="false" ht="30" hidden="false" customHeight="true" outlineLevel="0" collapsed="false">
      <c r="A299" s="5" t="s">
        <v>2592</v>
      </c>
      <c r="B299" s="5" t="s">
        <v>2593</v>
      </c>
      <c r="C299" s="5" t="s">
        <v>2474</v>
      </c>
      <c r="D299" s="14" t="s">
        <v>1986</v>
      </c>
      <c r="E299" s="5" t="s">
        <v>1986</v>
      </c>
      <c r="F299" s="5"/>
      <c r="G299" s="5" t="s">
        <v>1754</v>
      </c>
      <c r="H299" s="18"/>
    </row>
    <row r="300" customFormat="false" ht="30" hidden="false" customHeight="true" outlineLevel="0" collapsed="false">
      <c r="A300" s="5" t="s">
        <v>2594</v>
      </c>
      <c r="B300" s="5" t="s">
        <v>2595</v>
      </c>
      <c r="C300" s="5" t="s">
        <v>2474</v>
      </c>
      <c r="D300" s="14" t="s">
        <v>1986</v>
      </c>
      <c r="E300" s="5" t="s">
        <v>1986</v>
      </c>
      <c r="F300" s="5"/>
      <c r="G300" s="5" t="s">
        <v>1067</v>
      </c>
      <c r="H300" s="18"/>
    </row>
    <row r="301" customFormat="false" ht="30" hidden="false" customHeight="true" outlineLevel="0" collapsed="false">
      <c r="A301" s="5" t="s">
        <v>2596</v>
      </c>
      <c r="B301" s="5" t="s">
        <v>2597</v>
      </c>
      <c r="C301" s="5" t="s">
        <v>2474</v>
      </c>
      <c r="D301" s="14" t="s">
        <v>1986</v>
      </c>
      <c r="E301" s="5" t="s">
        <v>1986</v>
      </c>
      <c r="F301" s="5"/>
      <c r="G301" s="5" t="s">
        <v>1701</v>
      </c>
      <c r="H301" s="18"/>
    </row>
    <row r="302" customFormat="false" ht="16.5" hidden="false" customHeight="true" outlineLevel="0" collapsed="false">
      <c r="A302" s="5" t="s">
        <v>2598</v>
      </c>
      <c r="B302" s="5" t="s">
        <v>2599</v>
      </c>
      <c r="C302" s="5" t="s">
        <v>2474</v>
      </c>
      <c r="D302" s="14" t="s">
        <v>1986</v>
      </c>
      <c r="E302" s="5" t="s">
        <v>1986</v>
      </c>
      <c r="F302" s="5"/>
      <c r="G302" s="5" t="s">
        <v>849</v>
      </c>
      <c r="H302" s="18"/>
    </row>
    <row r="303" customFormat="false" ht="30" hidden="false" customHeight="true" outlineLevel="0" collapsed="false">
      <c r="A303" s="5" t="s">
        <v>2600</v>
      </c>
      <c r="B303" s="5" t="s">
        <v>2601</v>
      </c>
      <c r="C303" s="5" t="s">
        <v>2474</v>
      </c>
      <c r="D303" s="14" t="s">
        <v>1986</v>
      </c>
      <c r="E303" s="5" t="s">
        <v>1986</v>
      </c>
      <c r="F303" s="5"/>
      <c r="G303" s="5" t="s">
        <v>914</v>
      </c>
      <c r="H303" s="18"/>
    </row>
    <row r="304" customFormat="false" ht="16.5" hidden="false" customHeight="true" outlineLevel="0" collapsed="false">
      <c r="A304" s="5" t="s">
        <v>2602</v>
      </c>
      <c r="B304" s="5" t="s">
        <v>2603</v>
      </c>
      <c r="C304" s="5" t="s">
        <v>2474</v>
      </c>
      <c r="D304" s="14" t="s">
        <v>1986</v>
      </c>
      <c r="E304" s="5" t="s">
        <v>1986</v>
      </c>
      <c r="F304" s="5"/>
      <c r="G304" s="5" t="s">
        <v>1890</v>
      </c>
      <c r="H304" s="18"/>
    </row>
    <row r="305" customFormat="false" ht="30" hidden="false" customHeight="true" outlineLevel="0" collapsed="false">
      <c r="A305" s="5" t="s">
        <v>2604</v>
      </c>
      <c r="B305" s="5" t="s">
        <v>2605</v>
      </c>
      <c r="C305" s="5" t="s">
        <v>2474</v>
      </c>
      <c r="D305" s="14" t="s">
        <v>1986</v>
      </c>
      <c r="E305" s="5" t="s">
        <v>1986</v>
      </c>
      <c r="F305" s="5"/>
      <c r="G305" s="5" t="s">
        <v>924</v>
      </c>
      <c r="H305" s="18"/>
    </row>
    <row r="306" customFormat="false" ht="16.5" hidden="false" customHeight="true" outlineLevel="0" collapsed="false">
      <c r="A306" s="5" t="s">
        <v>2606</v>
      </c>
      <c r="B306" s="5" t="s">
        <v>2607</v>
      </c>
      <c r="C306" s="5" t="s">
        <v>2474</v>
      </c>
      <c r="D306" s="14" t="s">
        <v>1986</v>
      </c>
      <c r="E306" s="5" t="s">
        <v>1986</v>
      </c>
      <c r="F306" s="5"/>
      <c r="G306" s="5" t="s">
        <v>1032</v>
      </c>
      <c r="H306" s="18"/>
    </row>
    <row r="307" customFormat="false" ht="16.5" hidden="false" customHeight="true" outlineLevel="0" collapsed="false">
      <c r="A307" s="5" t="s">
        <v>2608</v>
      </c>
      <c r="B307" s="5" t="s">
        <v>2609</v>
      </c>
      <c r="C307" s="5" t="s">
        <v>2474</v>
      </c>
      <c r="D307" s="14" t="s">
        <v>1986</v>
      </c>
      <c r="E307" s="5" t="s">
        <v>1986</v>
      </c>
      <c r="F307" s="5"/>
      <c r="G307" s="5" t="s">
        <v>716</v>
      </c>
      <c r="H307" s="18"/>
    </row>
    <row r="308" customFormat="false" ht="16.5" hidden="false" customHeight="true" outlineLevel="0" collapsed="false">
      <c r="A308" s="5" t="s">
        <v>2610</v>
      </c>
      <c r="B308" s="5" t="s">
        <v>2611</v>
      </c>
      <c r="C308" s="5" t="s">
        <v>2474</v>
      </c>
      <c r="D308" s="14" t="s">
        <v>1986</v>
      </c>
      <c r="E308" s="5" t="s">
        <v>1986</v>
      </c>
      <c r="F308" s="5"/>
      <c r="G308" s="5" t="s">
        <v>1714</v>
      </c>
      <c r="H308" s="18"/>
    </row>
    <row r="309" customFormat="false" ht="16.5" hidden="false" customHeight="true" outlineLevel="0" collapsed="false">
      <c r="A309" s="5" t="s">
        <v>2612</v>
      </c>
      <c r="B309" s="5" t="s">
        <v>2613</v>
      </c>
      <c r="C309" s="5" t="s">
        <v>2474</v>
      </c>
      <c r="D309" s="14" t="s">
        <v>1986</v>
      </c>
      <c r="E309" s="5" t="s">
        <v>1986</v>
      </c>
      <c r="F309" s="5"/>
      <c r="G309" s="5" t="s">
        <v>2063</v>
      </c>
      <c r="H309" s="18"/>
    </row>
    <row r="310" customFormat="false" ht="30" hidden="false" customHeight="true" outlineLevel="0" collapsed="false">
      <c r="A310" s="5" t="s">
        <v>2614</v>
      </c>
      <c r="B310" s="5" t="s">
        <v>2615</v>
      </c>
      <c r="C310" s="5" t="s">
        <v>2474</v>
      </c>
      <c r="D310" s="14" t="s">
        <v>1986</v>
      </c>
      <c r="E310" s="5" t="s">
        <v>1986</v>
      </c>
      <c r="F310" s="5"/>
      <c r="G310" s="5" t="s">
        <v>1120</v>
      </c>
      <c r="H310" s="18"/>
    </row>
    <row r="311" customFormat="false" ht="16.5" hidden="false" customHeight="true" outlineLevel="0" collapsed="false">
      <c r="A311" s="5" t="s">
        <v>2616</v>
      </c>
      <c r="B311" s="5" t="s">
        <v>2617</v>
      </c>
      <c r="C311" s="5" t="s">
        <v>2474</v>
      </c>
      <c r="D311" s="14" t="s">
        <v>1986</v>
      </c>
      <c r="E311" s="5" t="s">
        <v>1986</v>
      </c>
      <c r="F311" s="5"/>
      <c r="G311" s="5" t="s">
        <v>590</v>
      </c>
      <c r="H311" s="18"/>
    </row>
    <row r="312" customFormat="false" ht="16.5" hidden="false" customHeight="true" outlineLevel="0" collapsed="false">
      <c r="A312" s="5" t="s">
        <v>2618</v>
      </c>
      <c r="B312" s="5" t="s">
        <v>2619</v>
      </c>
      <c r="C312" s="5" t="s">
        <v>2474</v>
      </c>
      <c r="D312" s="14" t="s">
        <v>1986</v>
      </c>
      <c r="E312" s="5" t="s">
        <v>1986</v>
      </c>
      <c r="F312" s="5"/>
      <c r="G312" s="5" t="s">
        <v>1102</v>
      </c>
      <c r="H312" s="18"/>
    </row>
    <row r="313" customFormat="false" ht="16.5" hidden="false" customHeight="true" outlineLevel="0" collapsed="false">
      <c r="A313" s="5" t="s">
        <v>2620</v>
      </c>
      <c r="B313" s="5" t="s">
        <v>2621</v>
      </c>
      <c r="C313" s="5" t="s">
        <v>2474</v>
      </c>
      <c r="D313" s="14" t="s">
        <v>1964</v>
      </c>
      <c r="E313" s="5" t="s">
        <v>1986</v>
      </c>
      <c r="F313" s="23" t="s">
        <v>176</v>
      </c>
      <c r="G313" s="5" t="s">
        <v>288</v>
      </c>
      <c r="H313" s="18"/>
    </row>
    <row r="314" customFormat="false" ht="16.5" hidden="false" customHeight="true" outlineLevel="0" collapsed="false">
      <c r="A314" s="5" t="s">
        <v>2622</v>
      </c>
      <c r="B314" s="5" t="s">
        <v>2623</v>
      </c>
      <c r="C314" s="5" t="s">
        <v>2474</v>
      </c>
      <c r="D314" s="14" t="s">
        <v>1986</v>
      </c>
      <c r="E314" s="5" t="s">
        <v>1986</v>
      </c>
      <c r="F314" s="5"/>
      <c r="G314" s="5" t="s">
        <v>1041</v>
      </c>
      <c r="H314" s="18"/>
    </row>
    <row r="315" customFormat="false" ht="16.5" hidden="false" customHeight="true" outlineLevel="0" collapsed="false">
      <c r="A315" s="5" t="s">
        <v>2624</v>
      </c>
      <c r="B315" s="5" t="s">
        <v>2625</v>
      </c>
      <c r="C315" s="5" t="s">
        <v>2474</v>
      </c>
      <c r="D315" s="14" t="s">
        <v>1986</v>
      </c>
      <c r="E315" s="5" t="s">
        <v>1986</v>
      </c>
      <c r="F315" s="5"/>
      <c r="G315" s="5" t="s">
        <v>711</v>
      </c>
      <c r="H315" s="18"/>
    </row>
    <row r="316" customFormat="false" ht="30" hidden="false" customHeight="true" outlineLevel="0" collapsed="false">
      <c r="A316" s="5" t="s">
        <v>2626</v>
      </c>
      <c r="B316" s="5" t="s">
        <v>2627</v>
      </c>
      <c r="C316" s="5" t="s">
        <v>2474</v>
      </c>
      <c r="D316" s="14" t="s">
        <v>1986</v>
      </c>
      <c r="E316" s="5" t="s">
        <v>1986</v>
      </c>
      <c r="F316" s="5"/>
      <c r="G316" s="5" t="s">
        <v>796</v>
      </c>
      <c r="H316" s="18"/>
    </row>
    <row r="317" customFormat="false" ht="30" hidden="false" customHeight="true" outlineLevel="0" collapsed="false">
      <c r="A317" s="5" t="s">
        <v>2628</v>
      </c>
      <c r="B317" s="5" t="s">
        <v>2629</v>
      </c>
      <c r="C317" s="5" t="s">
        <v>2474</v>
      </c>
      <c r="D317" s="14" t="s">
        <v>1986</v>
      </c>
      <c r="E317" s="5" t="s">
        <v>1986</v>
      </c>
      <c r="F317" s="5"/>
      <c r="G317" s="5" t="s">
        <v>447</v>
      </c>
      <c r="H317" s="18"/>
    </row>
    <row r="318" customFormat="false" ht="30" hidden="false" customHeight="true" outlineLevel="0" collapsed="false">
      <c r="A318" s="5" t="s">
        <v>2630</v>
      </c>
      <c r="B318" s="5" t="s">
        <v>2631</v>
      </c>
      <c r="C318" s="5" t="s">
        <v>2474</v>
      </c>
      <c r="D318" s="14" t="s">
        <v>1986</v>
      </c>
      <c r="E318" s="5" t="s">
        <v>1986</v>
      </c>
      <c r="F318" s="5"/>
      <c r="G318" s="5" t="s">
        <v>1932</v>
      </c>
      <c r="H318" s="18"/>
    </row>
    <row r="319" customFormat="false" ht="30" hidden="false" customHeight="true" outlineLevel="0" collapsed="false">
      <c r="A319" s="5" t="s">
        <v>2632</v>
      </c>
      <c r="B319" s="5" t="s">
        <v>2633</v>
      </c>
      <c r="C319" s="5" t="s">
        <v>2474</v>
      </c>
      <c r="D319" s="14" t="s">
        <v>1986</v>
      </c>
      <c r="E319" s="5" t="s">
        <v>1986</v>
      </c>
      <c r="F319" s="5"/>
      <c r="G319" s="5" t="s">
        <v>1927</v>
      </c>
      <c r="H319" s="18"/>
    </row>
    <row r="320" customFormat="false" ht="16.5" hidden="false" customHeight="true" outlineLevel="0" collapsed="false">
      <c r="A320" s="5" t="s">
        <v>2634</v>
      </c>
      <c r="B320" s="5" t="s">
        <v>2635</v>
      </c>
      <c r="C320" s="5" t="s">
        <v>2474</v>
      </c>
      <c r="D320" s="14" t="s">
        <v>1986</v>
      </c>
      <c r="E320" s="5" t="s">
        <v>1986</v>
      </c>
      <c r="F320" s="5"/>
      <c r="G320" s="5" t="s">
        <v>1723</v>
      </c>
      <c r="H320" s="18"/>
    </row>
    <row r="321" customFormat="false" ht="16.5" hidden="false" customHeight="true" outlineLevel="0" collapsed="false">
      <c r="A321" s="5" t="s">
        <v>2636</v>
      </c>
      <c r="B321" s="5" t="s">
        <v>2637</v>
      </c>
      <c r="C321" s="5" t="s">
        <v>2474</v>
      </c>
      <c r="D321" s="14" t="s">
        <v>1986</v>
      </c>
      <c r="E321" s="5" t="s">
        <v>1986</v>
      </c>
      <c r="F321" s="5"/>
      <c r="G321" s="5" t="s">
        <v>1210</v>
      </c>
      <c r="H321" s="18"/>
    </row>
    <row r="322" customFormat="false" ht="30" hidden="false" customHeight="true" outlineLevel="0" collapsed="false">
      <c r="A322" s="5" t="s">
        <v>2638</v>
      </c>
      <c r="B322" s="5" t="s">
        <v>2639</v>
      </c>
      <c r="C322" s="5" t="s">
        <v>2474</v>
      </c>
      <c r="D322" s="14" t="s">
        <v>1986</v>
      </c>
      <c r="E322" s="5" t="s">
        <v>1986</v>
      </c>
      <c r="F322" s="5"/>
      <c r="G322" s="5" t="s">
        <v>1271</v>
      </c>
      <c r="H322" s="18"/>
    </row>
    <row r="323" customFormat="false" ht="16.5" hidden="false" customHeight="true" outlineLevel="0" collapsed="false">
      <c r="A323" s="5" t="s">
        <v>2640</v>
      </c>
      <c r="B323" s="5" t="s">
        <v>2641</v>
      </c>
      <c r="C323" s="5" t="s">
        <v>2474</v>
      </c>
      <c r="D323" s="14" t="s">
        <v>1986</v>
      </c>
      <c r="E323" s="5" t="s">
        <v>1986</v>
      </c>
      <c r="F323" s="5"/>
      <c r="G323" s="5" t="s">
        <v>1254</v>
      </c>
      <c r="H323" s="18"/>
    </row>
    <row r="324" customFormat="false" ht="16.5" hidden="false" customHeight="true" outlineLevel="0" collapsed="false">
      <c r="A324" s="5" t="s">
        <v>2642</v>
      </c>
      <c r="B324" s="5" t="s">
        <v>2643</v>
      </c>
      <c r="C324" s="5" t="s">
        <v>2474</v>
      </c>
      <c r="D324" s="14" t="s">
        <v>1986</v>
      </c>
      <c r="E324" s="5" t="s">
        <v>1986</v>
      </c>
      <c r="F324" s="5"/>
      <c r="G324" s="5" t="s">
        <v>605</v>
      </c>
      <c r="H324" s="18"/>
    </row>
    <row r="325" customFormat="false" ht="16.5" hidden="false" customHeight="true" outlineLevel="0" collapsed="false">
      <c r="A325" s="5" t="s">
        <v>2644</v>
      </c>
      <c r="B325" s="5" t="s">
        <v>2645</v>
      </c>
      <c r="C325" s="5" t="s">
        <v>2474</v>
      </c>
      <c r="D325" s="14" t="s">
        <v>1986</v>
      </c>
      <c r="E325" s="5" t="s">
        <v>1986</v>
      </c>
      <c r="F325" s="5"/>
      <c r="G325" s="5" t="s">
        <v>1776</v>
      </c>
      <c r="H325" s="18"/>
    </row>
    <row r="326" customFormat="false" ht="16.5" hidden="false" customHeight="true" outlineLevel="0" collapsed="false">
      <c r="A326" s="5" t="s">
        <v>2646</v>
      </c>
      <c r="B326" s="5" t="s">
        <v>2647</v>
      </c>
      <c r="C326" s="5" t="s">
        <v>2474</v>
      </c>
      <c r="D326" s="14" t="s">
        <v>1986</v>
      </c>
      <c r="E326" s="5" t="s">
        <v>1986</v>
      </c>
      <c r="F326" s="5"/>
      <c r="G326" s="5" t="s">
        <v>1662</v>
      </c>
      <c r="H326" s="18"/>
    </row>
    <row r="327" customFormat="false" ht="30" hidden="false" customHeight="true" outlineLevel="0" collapsed="false">
      <c r="A327" s="5" t="s">
        <v>2648</v>
      </c>
      <c r="B327" s="5" t="s">
        <v>2649</v>
      </c>
      <c r="C327" s="5" t="s">
        <v>2474</v>
      </c>
      <c r="D327" s="14" t="s">
        <v>1986</v>
      </c>
      <c r="E327" s="5" t="s">
        <v>1986</v>
      </c>
      <c r="F327" s="5"/>
      <c r="G327" s="5" t="s">
        <v>1036</v>
      </c>
      <c r="H327" s="18"/>
    </row>
    <row r="328" customFormat="false" ht="16.5" hidden="false" customHeight="true" outlineLevel="0" collapsed="false">
      <c r="A328" s="5" t="s">
        <v>2650</v>
      </c>
      <c r="B328" s="5" t="s">
        <v>2651</v>
      </c>
      <c r="C328" s="5" t="s">
        <v>2474</v>
      </c>
      <c r="D328" s="14" t="s">
        <v>1986</v>
      </c>
      <c r="E328" s="5" t="s">
        <v>1986</v>
      </c>
      <c r="F328" s="5"/>
      <c r="G328" s="5" t="s">
        <v>433</v>
      </c>
      <c r="H328" s="18"/>
    </row>
    <row r="329" customFormat="false" ht="16.5" hidden="false" customHeight="true" outlineLevel="0" collapsed="false">
      <c r="A329" s="5" t="s">
        <v>2652</v>
      </c>
      <c r="B329" s="5" t="s">
        <v>2653</v>
      </c>
      <c r="C329" s="5" t="s">
        <v>2474</v>
      </c>
      <c r="D329" s="14" t="s">
        <v>1986</v>
      </c>
      <c r="E329" s="5" t="s">
        <v>1986</v>
      </c>
      <c r="F329" s="5"/>
      <c r="G329" s="5" t="s">
        <v>522</v>
      </c>
      <c r="H329" s="18"/>
    </row>
    <row r="330" customFormat="false" ht="16.5" hidden="false" customHeight="true" outlineLevel="0" collapsed="false">
      <c r="A330" s="5" t="s">
        <v>2654</v>
      </c>
      <c r="B330" s="5" t="s">
        <v>2655</v>
      </c>
      <c r="C330" s="5" t="s">
        <v>2474</v>
      </c>
      <c r="D330" s="14" t="s">
        <v>1986</v>
      </c>
      <c r="E330" s="5" t="s">
        <v>1986</v>
      </c>
      <c r="F330" s="5"/>
      <c r="G330" s="5" t="s">
        <v>530</v>
      </c>
      <c r="H330" s="18"/>
    </row>
    <row r="331" customFormat="false" ht="30" hidden="false" customHeight="true" outlineLevel="0" collapsed="false">
      <c r="A331" s="5" t="s">
        <v>2656</v>
      </c>
      <c r="B331" s="5" t="s">
        <v>2657</v>
      </c>
      <c r="C331" s="5" t="s">
        <v>2474</v>
      </c>
      <c r="D331" s="14" t="s">
        <v>1986</v>
      </c>
      <c r="E331" s="5" t="s">
        <v>1986</v>
      </c>
      <c r="F331" s="5"/>
      <c r="G331" s="5" t="s">
        <v>1763</v>
      </c>
      <c r="H331" s="18"/>
    </row>
    <row r="332" customFormat="false" ht="16.5" hidden="false" customHeight="true" outlineLevel="0" collapsed="false">
      <c r="A332" s="5" t="s">
        <v>2658</v>
      </c>
      <c r="B332" s="5" t="s">
        <v>2659</v>
      </c>
      <c r="C332" s="5" t="s">
        <v>2474</v>
      </c>
      <c r="D332" s="14" t="s">
        <v>1986</v>
      </c>
      <c r="E332" s="5" t="s">
        <v>1986</v>
      </c>
      <c r="F332" s="5"/>
      <c r="G332" s="5" t="s">
        <v>765</v>
      </c>
      <c r="H332" s="18"/>
    </row>
    <row r="333" customFormat="false" ht="16.5" hidden="false" customHeight="true" outlineLevel="0" collapsed="false">
      <c r="A333" s="5" t="s">
        <v>2660</v>
      </c>
      <c r="B333" s="5" t="s">
        <v>2661</v>
      </c>
      <c r="C333" s="5" t="s">
        <v>2474</v>
      </c>
      <c r="D333" s="14" t="s">
        <v>1986</v>
      </c>
      <c r="E333" s="5" t="s">
        <v>1986</v>
      </c>
      <c r="F333" s="5"/>
      <c r="G333" s="5" t="s">
        <v>1737</v>
      </c>
      <c r="H333" s="18"/>
    </row>
    <row r="334" customFormat="false" ht="16.5" hidden="false" customHeight="true" outlineLevel="0" collapsed="false">
      <c r="A334" s="5" t="s">
        <v>2662</v>
      </c>
      <c r="B334" s="5" t="s">
        <v>2663</v>
      </c>
      <c r="C334" s="5" t="s">
        <v>2474</v>
      </c>
      <c r="D334" s="14" t="s">
        <v>1986</v>
      </c>
      <c r="E334" s="5" t="s">
        <v>1986</v>
      </c>
      <c r="F334" s="5"/>
      <c r="G334" s="5" t="s">
        <v>1005</v>
      </c>
      <c r="H334" s="18"/>
    </row>
    <row r="335" customFormat="false" ht="16.5" hidden="false" customHeight="true" outlineLevel="0" collapsed="false">
      <c r="A335" s="5" t="s">
        <v>2664</v>
      </c>
      <c r="B335" s="5" t="s">
        <v>2665</v>
      </c>
      <c r="C335" s="5" t="s">
        <v>2474</v>
      </c>
      <c r="D335" s="14" t="s">
        <v>1986</v>
      </c>
      <c r="E335" s="5" t="s">
        <v>1986</v>
      </c>
      <c r="F335" s="5"/>
      <c r="G335" s="5" t="s">
        <v>1718</v>
      </c>
      <c r="H335" s="18"/>
    </row>
    <row r="336" customFormat="false" ht="16.5" hidden="false" customHeight="true" outlineLevel="0" collapsed="false">
      <c r="A336" s="5" t="s">
        <v>2666</v>
      </c>
      <c r="B336" s="5" t="s">
        <v>2667</v>
      </c>
      <c r="C336" s="5" t="s">
        <v>2474</v>
      </c>
      <c r="D336" s="14" t="s">
        <v>1986</v>
      </c>
      <c r="E336" s="5" t="s">
        <v>1986</v>
      </c>
      <c r="F336" s="5"/>
      <c r="G336" s="5" t="s">
        <v>1046</v>
      </c>
      <c r="H336" s="18"/>
    </row>
    <row r="337" customFormat="false" ht="16.5" hidden="false" customHeight="true" outlineLevel="0" collapsed="false">
      <c r="A337" s="5" t="s">
        <v>2668</v>
      </c>
      <c r="B337" s="5" t="s">
        <v>2669</v>
      </c>
      <c r="C337" s="5" t="s">
        <v>2474</v>
      </c>
      <c r="D337" s="14" t="s">
        <v>1986</v>
      </c>
      <c r="E337" s="5" t="s">
        <v>1986</v>
      </c>
      <c r="F337" s="5"/>
      <c r="G337" s="5" t="s">
        <v>336</v>
      </c>
      <c r="H337" s="18"/>
    </row>
    <row r="338" customFormat="false" ht="16.5" hidden="false" customHeight="true" outlineLevel="0" collapsed="false">
      <c r="A338" s="5" t="s">
        <v>2670</v>
      </c>
      <c r="B338" s="5" t="s">
        <v>2671</v>
      </c>
      <c r="C338" s="5" t="s">
        <v>2474</v>
      </c>
      <c r="D338" s="14" t="s">
        <v>1986</v>
      </c>
      <c r="E338" s="5" t="s">
        <v>1986</v>
      </c>
      <c r="F338" s="5"/>
      <c r="G338" s="5" t="s">
        <v>388</v>
      </c>
      <c r="H338" s="18"/>
    </row>
    <row r="339" customFormat="false" ht="16.5" hidden="false" customHeight="true" outlineLevel="0" collapsed="false">
      <c r="A339" s="5" t="s">
        <v>2672</v>
      </c>
      <c r="B339" s="5" t="s">
        <v>2673</v>
      </c>
      <c r="C339" s="5" t="s">
        <v>2474</v>
      </c>
      <c r="D339" s="14" t="s">
        <v>1986</v>
      </c>
      <c r="E339" s="5" t="s">
        <v>1986</v>
      </c>
      <c r="F339" s="5"/>
      <c r="G339" s="5" t="s">
        <v>2318</v>
      </c>
      <c r="H339" s="18"/>
    </row>
    <row r="340" customFormat="false" ht="16.5" hidden="false" customHeight="true" outlineLevel="0" collapsed="false">
      <c r="A340" s="5" t="s">
        <v>2674</v>
      </c>
      <c r="B340" s="5" t="s">
        <v>2675</v>
      </c>
      <c r="C340" s="5" t="s">
        <v>2474</v>
      </c>
      <c r="D340" s="14" t="s">
        <v>1986</v>
      </c>
      <c r="E340" s="5" t="s">
        <v>1986</v>
      </c>
      <c r="F340" s="5"/>
      <c r="G340" s="5" t="s">
        <v>1515</v>
      </c>
      <c r="H340" s="18"/>
    </row>
    <row r="341" customFormat="false" ht="16.5" hidden="false" customHeight="true" outlineLevel="0" collapsed="false">
      <c r="A341" s="5" t="s">
        <v>2676</v>
      </c>
      <c r="B341" s="5" t="s">
        <v>2677</v>
      </c>
      <c r="C341" s="5" t="s">
        <v>2474</v>
      </c>
      <c r="D341" s="14" t="s">
        <v>1986</v>
      </c>
      <c r="E341" s="5" t="s">
        <v>1986</v>
      </c>
      <c r="F341" s="5"/>
      <c r="G341" s="5" t="s">
        <v>1430</v>
      </c>
      <c r="H341" s="18"/>
    </row>
    <row r="342" customFormat="false" ht="16.5" hidden="false" customHeight="true" outlineLevel="0" collapsed="false">
      <c r="A342" s="5" t="s">
        <v>2678</v>
      </c>
      <c r="B342" s="5" t="s">
        <v>2679</v>
      </c>
      <c r="C342" s="5" t="s">
        <v>2474</v>
      </c>
      <c r="D342" s="14" t="s">
        <v>1986</v>
      </c>
      <c r="E342" s="5" t="s">
        <v>1986</v>
      </c>
      <c r="F342" s="5"/>
      <c r="G342" s="5" t="s">
        <v>1482</v>
      </c>
      <c r="H342" s="18"/>
    </row>
    <row r="343" customFormat="false" ht="16.5" hidden="false" customHeight="true" outlineLevel="0" collapsed="false">
      <c r="A343" s="5" t="s">
        <v>2680</v>
      </c>
      <c r="B343" s="5" t="s">
        <v>2681</v>
      </c>
      <c r="C343" s="5" t="s">
        <v>2474</v>
      </c>
      <c r="D343" s="14" t="s">
        <v>1986</v>
      </c>
      <c r="E343" s="5" t="s">
        <v>1986</v>
      </c>
      <c r="F343" s="5"/>
      <c r="G343" s="5" t="s">
        <v>1455</v>
      </c>
      <c r="H343" s="18"/>
    </row>
    <row r="344" customFormat="false" ht="43.5" hidden="false" customHeight="true" outlineLevel="0" collapsed="false">
      <c r="A344" s="5" t="s">
        <v>2682</v>
      </c>
      <c r="B344" s="5" t="s">
        <v>2683</v>
      </c>
      <c r="C344" s="5" t="s">
        <v>2474</v>
      </c>
      <c r="D344" s="14" t="s">
        <v>1986</v>
      </c>
      <c r="E344" s="5" t="s">
        <v>1986</v>
      </c>
      <c r="F344" s="5"/>
      <c r="G344" s="5" t="s">
        <v>2684</v>
      </c>
      <c r="H344" s="18"/>
    </row>
    <row r="345" customFormat="false" ht="16.5" hidden="false" customHeight="true" outlineLevel="0" collapsed="false">
      <c r="A345" s="5" t="s">
        <v>2685</v>
      </c>
      <c r="B345" s="5" t="s">
        <v>2686</v>
      </c>
      <c r="C345" s="5" t="s">
        <v>2474</v>
      </c>
      <c r="D345" s="14" t="s">
        <v>1986</v>
      </c>
      <c r="E345" s="5" t="s">
        <v>1986</v>
      </c>
      <c r="F345" s="5"/>
      <c r="G345" s="5" t="s">
        <v>1285</v>
      </c>
      <c r="H345" s="18"/>
    </row>
    <row r="346" customFormat="false" ht="16.5" hidden="false" customHeight="true" outlineLevel="0" collapsed="false">
      <c r="A346" s="5" t="s">
        <v>2687</v>
      </c>
      <c r="B346" s="5" t="s">
        <v>2688</v>
      </c>
      <c r="C346" s="5" t="s">
        <v>2474</v>
      </c>
      <c r="D346" s="14" t="s">
        <v>1986</v>
      </c>
      <c r="E346" s="5" t="s">
        <v>1986</v>
      </c>
      <c r="F346" s="5"/>
      <c r="G346" s="5" t="s">
        <v>678</v>
      </c>
      <c r="H346" s="18"/>
    </row>
    <row r="347" customFormat="false" ht="16.5" hidden="false" customHeight="true" outlineLevel="0" collapsed="false">
      <c r="A347" s="5" t="s">
        <v>2689</v>
      </c>
      <c r="B347" s="5" t="s">
        <v>2690</v>
      </c>
      <c r="C347" s="5" t="s">
        <v>2474</v>
      </c>
      <c r="D347" s="14" t="s">
        <v>1986</v>
      </c>
      <c r="E347" s="5" t="s">
        <v>1986</v>
      </c>
      <c r="F347" s="5"/>
      <c r="G347" s="5" t="s">
        <v>1627</v>
      </c>
      <c r="H347" s="18"/>
    </row>
    <row r="348" customFormat="false" ht="16.5" hidden="false" customHeight="true" outlineLevel="0" collapsed="false">
      <c r="A348" s="5" t="s">
        <v>2691</v>
      </c>
      <c r="B348" s="5" t="s">
        <v>2692</v>
      </c>
      <c r="C348" s="5" t="s">
        <v>2474</v>
      </c>
      <c r="D348" s="14" t="s">
        <v>1986</v>
      </c>
      <c r="E348" s="5" t="s">
        <v>1986</v>
      </c>
      <c r="F348" s="5"/>
      <c r="G348" s="5" t="s">
        <v>839</v>
      </c>
      <c r="H348" s="18"/>
    </row>
    <row r="349" customFormat="false" ht="30" hidden="false" customHeight="true" outlineLevel="0" collapsed="false">
      <c r="A349" s="5" t="s">
        <v>2693</v>
      </c>
      <c r="B349" s="5" t="s">
        <v>2694</v>
      </c>
      <c r="C349" s="5" t="s">
        <v>2474</v>
      </c>
      <c r="D349" s="14" t="s">
        <v>1986</v>
      </c>
      <c r="E349" s="5" t="s">
        <v>1986</v>
      </c>
      <c r="F349" s="5"/>
      <c r="G349" s="5" t="s">
        <v>1245</v>
      </c>
      <c r="H349" s="18"/>
    </row>
    <row r="350" customFormat="false" ht="16.5" hidden="false" customHeight="true" outlineLevel="0" collapsed="false">
      <c r="A350" s="5" t="s">
        <v>2695</v>
      </c>
      <c r="B350" s="5" t="s">
        <v>2696</v>
      </c>
      <c r="C350" s="5" t="s">
        <v>2474</v>
      </c>
      <c r="D350" s="14" t="s">
        <v>1986</v>
      </c>
      <c r="E350" s="5" t="s">
        <v>1986</v>
      </c>
      <c r="F350" s="5"/>
      <c r="G350" s="5" t="s">
        <v>1434</v>
      </c>
      <c r="H350" s="18"/>
    </row>
    <row r="351" customFormat="false" ht="16.5" hidden="false" customHeight="true" outlineLevel="0" collapsed="false">
      <c r="A351" s="5" t="s">
        <v>2697</v>
      </c>
      <c r="B351" s="5" t="s">
        <v>2698</v>
      </c>
      <c r="C351" s="5" t="s">
        <v>2474</v>
      </c>
      <c r="D351" s="14" t="s">
        <v>1986</v>
      </c>
      <c r="E351" s="5" t="s">
        <v>1986</v>
      </c>
      <c r="F351" s="5"/>
      <c r="G351" s="5" t="s">
        <v>1232</v>
      </c>
      <c r="H351" s="18"/>
    </row>
    <row r="352" customFormat="false" ht="16.5" hidden="false" customHeight="true" outlineLevel="0" collapsed="false">
      <c r="A352" s="5" t="s">
        <v>2699</v>
      </c>
      <c r="B352" s="5" t="s">
        <v>2700</v>
      </c>
      <c r="C352" s="5" t="s">
        <v>2474</v>
      </c>
      <c r="D352" s="14" t="s">
        <v>1986</v>
      </c>
      <c r="E352" s="5" t="s">
        <v>1986</v>
      </c>
      <c r="F352" s="5"/>
      <c r="G352" s="5" t="s">
        <v>1657</v>
      </c>
      <c r="H352" s="18"/>
    </row>
    <row r="353" customFormat="false" ht="30" hidden="false" customHeight="true" outlineLevel="0" collapsed="false">
      <c r="A353" s="5" t="s">
        <v>2701</v>
      </c>
      <c r="B353" s="5" t="s">
        <v>2702</v>
      </c>
      <c r="C353" s="5" t="s">
        <v>2474</v>
      </c>
      <c r="D353" s="14" t="s">
        <v>1986</v>
      </c>
      <c r="E353" s="5" t="s">
        <v>1986</v>
      </c>
      <c r="F353" s="5"/>
      <c r="G353" s="5" t="s">
        <v>1667</v>
      </c>
      <c r="H353" s="18"/>
    </row>
    <row r="354" customFormat="false" ht="30" hidden="false" customHeight="true" outlineLevel="0" collapsed="false">
      <c r="A354" s="5" t="s">
        <v>2703</v>
      </c>
      <c r="B354" s="5" t="s">
        <v>2704</v>
      </c>
      <c r="C354" s="5" t="s">
        <v>2474</v>
      </c>
      <c r="D354" s="14" t="s">
        <v>1986</v>
      </c>
      <c r="E354" s="5" t="s">
        <v>1986</v>
      </c>
      <c r="F354" s="5"/>
      <c r="G354" s="5" t="s">
        <v>1236</v>
      </c>
      <c r="H354" s="18"/>
    </row>
    <row r="355" customFormat="false" ht="16.5" hidden="false" customHeight="true" outlineLevel="0" collapsed="false">
      <c r="A355" s="5" t="s">
        <v>2705</v>
      </c>
      <c r="B355" s="5" t="s">
        <v>2706</v>
      </c>
      <c r="C355" s="5" t="s">
        <v>2474</v>
      </c>
      <c r="D355" s="14" t="s">
        <v>1986</v>
      </c>
      <c r="E355" s="5" t="s">
        <v>1986</v>
      </c>
      <c r="F355" s="5"/>
      <c r="G355" s="5" t="s">
        <v>1001</v>
      </c>
      <c r="H355" s="18"/>
    </row>
    <row r="356" customFormat="false" ht="16.5" hidden="false" customHeight="true" outlineLevel="0" collapsed="false">
      <c r="A356" s="5" t="s">
        <v>2707</v>
      </c>
      <c r="B356" s="5" t="s">
        <v>2708</v>
      </c>
      <c r="C356" s="5" t="s">
        <v>2474</v>
      </c>
      <c r="D356" s="14" t="s">
        <v>1986</v>
      </c>
      <c r="E356" s="5" t="s">
        <v>1986</v>
      </c>
      <c r="F356" s="5"/>
      <c r="G356" s="5" t="s">
        <v>1276</v>
      </c>
      <c r="H356" s="18"/>
    </row>
    <row r="357" customFormat="false" ht="16.5" hidden="false" customHeight="true" outlineLevel="0" collapsed="false">
      <c r="A357" s="5" t="s">
        <v>2709</v>
      </c>
      <c r="B357" s="5" t="s">
        <v>2710</v>
      </c>
      <c r="C357" s="5" t="s">
        <v>2474</v>
      </c>
      <c r="D357" s="14" t="s">
        <v>1986</v>
      </c>
      <c r="E357" s="5" t="s">
        <v>1986</v>
      </c>
      <c r="F357" s="5"/>
      <c r="G357" s="5" t="s">
        <v>1214</v>
      </c>
      <c r="H357" s="18"/>
    </row>
    <row r="358" customFormat="false" ht="16.5" hidden="false" customHeight="true" outlineLevel="0" collapsed="false">
      <c r="A358" s="5" t="s">
        <v>2711</v>
      </c>
      <c r="B358" s="5" t="s">
        <v>2712</v>
      </c>
      <c r="C358" s="5" t="s">
        <v>2474</v>
      </c>
      <c r="D358" s="14" t="s">
        <v>1986</v>
      </c>
      <c r="E358" s="5" t="s">
        <v>1986</v>
      </c>
      <c r="F358" s="5"/>
      <c r="G358" s="5" t="s">
        <v>1622</v>
      </c>
      <c r="H358" s="18"/>
    </row>
    <row r="359" customFormat="false" ht="16.5" hidden="false" customHeight="true" outlineLevel="0" collapsed="false">
      <c r="A359" s="5" t="s">
        <v>2713</v>
      </c>
      <c r="B359" s="5" t="s">
        <v>2714</v>
      </c>
      <c r="C359" s="5" t="s">
        <v>2474</v>
      </c>
      <c r="D359" s="14" t="s">
        <v>1986</v>
      </c>
      <c r="E359" s="5" t="s">
        <v>1986</v>
      </c>
      <c r="F359" s="5"/>
      <c r="G359" s="5" t="s">
        <v>1473</v>
      </c>
      <c r="H359" s="18"/>
    </row>
    <row r="360" customFormat="false" ht="16.5" hidden="false" customHeight="true" outlineLevel="0" collapsed="false">
      <c r="A360" s="5" t="s">
        <v>2715</v>
      </c>
      <c r="B360" s="5" t="s">
        <v>2716</v>
      </c>
      <c r="C360" s="5" t="s">
        <v>2474</v>
      </c>
      <c r="D360" s="14" t="s">
        <v>1986</v>
      </c>
      <c r="E360" s="5" t="s">
        <v>1986</v>
      </c>
      <c r="F360" s="5"/>
      <c r="G360" s="5" t="s">
        <v>330</v>
      </c>
      <c r="H360" s="18"/>
    </row>
    <row r="361" customFormat="false" ht="16.5" hidden="false" customHeight="true" outlineLevel="0" collapsed="false">
      <c r="A361" s="5" t="s">
        <v>2717</v>
      </c>
      <c r="B361" s="5" t="s">
        <v>2718</v>
      </c>
      <c r="C361" s="5" t="s">
        <v>2474</v>
      </c>
      <c r="D361" s="14" t="s">
        <v>1986</v>
      </c>
      <c r="E361" s="5" t="s">
        <v>1986</v>
      </c>
      <c r="F361" s="5"/>
      <c r="G361" s="5" t="s">
        <v>805</v>
      </c>
      <c r="H361" s="18"/>
    </row>
    <row r="362" customFormat="false" ht="16.5" hidden="false" customHeight="true" outlineLevel="0" collapsed="false">
      <c r="A362" s="5" t="s">
        <v>2719</v>
      </c>
      <c r="B362" s="5" t="s">
        <v>2720</v>
      </c>
      <c r="C362" s="5" t="s">
        <v>2474</v>
      </c>
      <c r="D362" s="14" t="s">
        <v>1986</v>
      </c>
      <c r="E362" s="5" t="s">
        <v>1986</v>
      </c>
      <c r="F362" s="5"/>
      <c r="G362" s="5" t="s">
        <v>1383</v>
      </c>
      <c r="H362" s="18"/>
    </row>
    <row r="363" customFormat="false" ht="16.5" hidden="false" customHeight="true" outlineLevel="0" collapsed="false">
      <c r="A363" s="5" t="s">
        <v>2721</v>
      </c>
      <c r="B363" s="5" t="s">
        <v>2722</v>
      </c>
      <c r="C363" s="5" t="s">
        <v>2474</v>
      </c>
      <c r="D363" s="14" t="s">
        <v>1986</v>
      </c>
      <c r="E363" s="5" t="s">
        <v>1986</v>
      </c>
      <c r="F363" s="5"/>
      <c r="G363" s="5" t="s">
        <v>1803</v>
      </c>
      <c r="H363" s="18"/>
    </row>
    <row r="364" customFormat="false" ht="16.5" hidden="false" customHeight="true" outlineLevel="0" collapsed="false">
      <c r="A364" s="5" t="s">
        <v>2723</v>
      </c>
      <c r="B364" s="5" t="s">
        <v>2724</v>
      </c>
      <c r="C364" s="5" t="s">
        <v>2474</v>
      </c>
      <c r="D364" s="14" t="s">
        <v>1986</v>
      </c>
      <c r="E364" s="5" t="s">
        <v>1986</v>
      </c>
      <c r="F364" s="5"/>
      <c r="G364" s="5" t="s">
        <v>1159</v>
      </c>
      <c r="H364" s="18"/>
    </row>
    <row r="365" customFormat="false" ht="30" hidden="false" customHeight="true" outlineLevel="0" collapsed="false">
      <c r="A365" s="5" t="s">
        <v>2725</v>
      </c>
      <c r="B365" s="5" t="s">
        <v>2726</v>
      </c>
      <c r="C365" s="5" t="s">
        <v>2474</v>
      </c>
      <c r="D365" s="14" t="s">
        <v>1986</v>
      </c>
      <c r="E365" s="5" t="s">
        <v>1986</v>
      </c>
      <c r="F365" s="5"/>
      <c r="G365" s="5" t="s">
        <v>1460</v>
      </c>
      <c r="H365" s="18"/>
    </row>
    <row r="366" customFormat="false" ht="30" hidden="false" customHeight="true" outlineLevel="0" collapsed="false">
      <c r="A366" s="5" t="s">
        <v>2727</v>
      </c>
      <c r="B366" s="5" t="s">
        <v>2728</v>
      </c>
      <c r="C366" s="5" t="s">
        <v>2474</v>
      </c>
      <c r="D366" s="14" t="s">
        <v>1986</v>
      </c>
      <c r="E366" s="5" t="s">
        <v>1986</v>
      </c>
      <c r="F366" s="5"/>
      <c r="G366" s="5" t="s">
        <v>814</v>
      </c>
      <c r="H366" s="18"/>
    </row>
    <row r="367" customFormat="false" ht="16.5" hidden="false" customHeight="true" outlineLevel="0" collapsed="false">
      <c r="A367" s="5" t="s">
        <v>2729</v>
      </c>
      <c r="B367" s="5" t="s">
        <v>2730</v>
      </c>
      <c r="C367" s="5" t="s">
        <v>2474</v>
      </c>
      <c r="D367" s="14" t="s">
        <v>1986</v>
      </c>
      <c r="E367" s="5" t="s">
        <v>1986</v>
      </c>
      <c r="F367" s="5"/>
      <c r="G367" s="5" t="s">
        <v>2139</v>
      </c>
      <c r="H367" s="18"/>
    </row>
    <row r="368" customFormat="false" ht="16.5" hidden="false" customHeight="true" outlineLevel="0" collapsed="false">
      <c r="A368" s="5" t="s">
        <v>2731</v>
      </c>
      <c r="B368" s="5" t="s">
        <v>2732</v>
      </c>
      <c r="C368" s="5" t="s">
        <v>2474</v>
      </c>
      <c r="D368" s="14" t="s">
        <v>1986</v>
      </c>
      <c r="E368" s="5" t="s">
        <v>1986</v>
      </c>
      <c r="F368" s="5"/>
      <c r="G368" s="5" t="s">
        <v>853</v>
      </c>
      <c r="H368" s="18"/>
    </row>
    <row r="369" customFormat="false" ht="16.5" hidden="false" customHeight="true" outlineLevel="0" collapsed="false">
      <c r="A369" s="5" t="s">
        <v>2733</v>
      </c>
      <c r="B369" s="5" t="s">
        <v>2734</v>
      </c>
      <c r="C369" s="5" t="s">
        <v>2474</v>
      </c>
      <c r="D369" s="14" t="s">
        <v>1986</v>
      </c>
      <c r="E369" s="5" t="s">
        <v>1986</v>
      </c>
      <c r="F369" s="5"/>
      <c r="G369" s="5" t="s">
        <v>1337</v>
      </c>
      <c r="H369" s="18"/>
    </row>
    <row r="370" customFormat="false" ht="30" hidden="false" customHeight="true" outlineLevel="0" collapsed="false">
      <c r="A370" s="5" t="s">
        <v>2735</v>
      </c>
      <c r="B370" s="5" t="s">
        <v>2736</v>
      </c>
      <c r="C370" s="5" t="s">
        <v>2474</v>
      </c>
      <c r="D370" s="14" t="s">
        <v>1986</v>
      </c>
      <c r="E370" s="5" t="s">
        <v>1986</v>
      </c>
      <c r="F370" s="5"/>
      <c r="G370" s="5" t="s">
        <v>526</v>
      </c>
      <c r="H370" s="18"/>
    </row>
    <row r="371" customFormat="false" ht="30" hidden="false" customHeight="true" outlineLevel="0" collapsed="false">
      <c r="A371" s="5" t="s">
        <v>2737</v>
      </c>
      <c r="B371" s="5" t="s">
        <v>2738</v>
      </c>
      <c r="C371" s="5" t="s">
        <v>2474</v>
      </c>
      <c r="D371" s="14" t="s">
        <v>1986</v>
      </c>
      <c r="E371" s="5" t="s">
        <v>1986</v>
      </c>
      <c r="F371" s="5"/>
      <c r="G371" s="5" t="s">
        <v>1465</v>
      </c>
      <c r="H371" s="18"/>
    </row>
    <row r="372" customFormat="false" ht="30" hidden="false" customHeight="true" outlineLevel="0" collapsed="false">
      <c r="A372" s="5" t="s">
        <v>2739</v>
      </c>
      <c r="B372" s="5" t="s">
        <v>2740</v>
      </c>
      <c r="C372" s="5" t="s">
        <v>2474</v>
      </c>
      <c r="D372" s="14" t="s">
        <v>1986</v>
      </c>
      <c r="E372" s="5" t="s">
        <v>1986</v>
      </c>
      <c r="F372" s="5"/>
      <c r="G372" s="5" t="s">
        <v>353</v>
      </c>
      <c r="H372" s="18"/>
    </row>
    <row r="373" customFormat="false" ht="16.5" hidden="false" customHeight="true" outlineLevel="0" collapsed="false">
      <c r="A373" s="5" t="s">
        <v>2741</v>
      </c>
      <c r="B373" s="5" t="s">
        <v>2742</v>
      </c>
      <c r="C373" s="5" t="s">
        <v>2474</v>
      </c>
      <c r="D373" s="14" t="s">
        <v>1986</v>
      </c>
      <c r="E373" s="5" t="s">
        <v>1986</v>
      </c>
      <c r="F373" s="5"/>
      <c r="G373" s="5" t="s">
        <v>340</v>
      </c>
      <c r="H373" s="18"/>
    </row>
    <row r="374" customFormat="false" ht="16.5" hidden="false" customHeight="true" outlineLevel="0" collapsed="false">
      <c r="A374" s="5" t="s">
        <v>2743</v>
      </c>
      <c r="B374" s="5" t="s">
        <v>2744</v>
      </c>
      <c r="C374" s="5" t="s">
        <v>2474</v>
      </c>
      <c r="D374" s="14" t="s">
        <v>1986</v>
      </c>
      <c r="E374" s="5" t="s">
        <v>1986</v>
      </c>
      <c r="F374" s="5"/>
      <c r="G374" s="5" t="s">
        <v>367</v>
      </c>
      <c r="H374" s="18"/>
    </row>
    <row r="375" customFormat="false" ht="16.5" hidden="false" customHeight="true" outlineLevel="0" collapsed="false">
      <c r="A375" s="5" t="s">
        <v>2745</v>
      </c>
      <c r="B375" s="5" t="s">
        <v>2746</v>
      </c>
      <c r="C375" s="5" t="s">
        <v>2474</v>
      </c>
      <c r="D375" s="14" t="s">
        <v>1986</v>
      </c>
      <c r="E375" s="5" t="s">
        <v>1986</v>
      </c>
      <c r="F375" s="5"/>
      <c r="G375" s="5" t="s">
        <v>1072</v>
      </c>
      <c r="H375" s="18"/>
    </row>
    <row r="376" customFormat="false" ht="16.5" hidden="false" customHeight="true" outlineLevel="0" collapsed="false">
      <c r="A376" s="5" t="s">
        <v>2747</v>
      </c>
      <c r="B376" s="5" t="s">
        <v>2748</v>
      </c>
      <c r="C376" s="5" t="s">
        <v>2474</v>
      </c>
      <c r="D376" s="14" t="s">
        <v>1986</v>
      </c>
      <c r="E376" s="5" t="s">
        <v>1986</v>
      </c>
      <c r="F376" s="5"/>
      <c r="G376" s="5" t="s">
        <v>971</v>
      </c>
      <c r="H376" s="18"/>
    </row>
    <row r="377" customFormat="false" ht="30" hidden="false" customHeight="true" outlineLevel="0" collapsed="false">
      <c r="A377" s="5" t="s">
        <v>2749</v>
      </c>
      <c r="B377" s="5" t="s">
        <v>2750</v>
      </c>
      <c r="C377" s="5" t="s">
        <v>2474</v>
      </c>
      <c r="D377" s="14" t="s">
        <v>1986</v>
      </c>
      <c r="E377" s="5" t="s">
        <v>1986</v>
      </c>
      <c r="F377" s="5"/>
      <c r="G377" s="5" t="s">
        <v>2118</v>
      </c>
      <c r="H377" s="18"/>
    </row>
    <row r="378" customFormat="false" ht="30" hidden="false" customHeight="true" outlineLevel="0" collapsed="false">
      <c r="A378" s="5" t="s">
        <v>2751</v>
      </c>
      <c r="B378" s="5" t="s">
        <v>2752</v>
      </c>
      <c r="C378" s="5" t="s">
        <v>2474</v>
      </c>
      <c r="D378" s="14" t="s">
        <v>1986</v>
      </c>
      <c r="E378" s="5" t="s">
        <v>1986</v>
      </c>
      <c r="F378" s="5"/>
      <c r="G378" s="5" t="s">
        <v>1172</v>
      </c>
      <c r="H378" s="18"/>
    </row>
    <row r="379" customFormat="false" ht="16.5" hidden="false" customHeight="true" outlineLevel="0" collapsed="false">
      <c r="A379" s="5" t="s">
        <v>2753</v>
      </c>
      <c r="B379" s="5" t="s">
        <v>2754</v>
      </c>
      <c r="C379" s="5" t="s">
        <v>2474</v>
      </c>
      <c r="D379" s="14" t="s">
        <v>1986</v>
      </c>
      <c r="E379" s="5" t="s">
        <v>1986</v>
      </c>
      <c r="F379" s="5"/>
      <c r="G379" s="5" t="s">
        <v>496</v>
      </c>
      <c r="H379" s="18"/>
    </row>
    <row r="380" customFormat="false" ht="30" hidden="false" customHeight="true" outlineLevel="0" collapsed="false">
      <c r="A380" s="5" t="s">
        <v>2755</v>
      </c>
      <c r="B380" s="5" t="s">
        <v>2756</v>
      </c>
      <c r="C380" s="5" t="s">
        <v>2474</v>
      </c>
      <c r="D380" s="14" t="s">
        <v>1986</v>
      </c>
      <c r="E380" s="5" t="s">
        <v>1986</v>
      </c>
      <c r="F380" s="5"/>
      <c r="G380" s="5" t="s">
        <v>1880</v>
      </c>
      <c r="H380" s="18"/>
    </row>
    <row r="381" customFormat="false" ht="16.5" hidden="false" customHeight="true" outlineLevel="0" collapsed="false">
      <c r="A381" s="5" t="s">
        <v>2757</v>
      </c>
      <c r="B381" s="5" t="s">
        <v>2758</v>
      </c>
      <c r="C381" s="5" t="s">
        <v>2474</v>
      </c>
      <c r="D381" s="14" t="s">
        <v>1986</v>
      </c>
      <c r="E381" s="5" t="s">
        <v>1986</v>
      </c>
      <c r="F381" s="5"/>
      <c r="G381" s="5" t="s">
        <v>1450</v>
      </c>
      <c r="H381" s="18"/>
    </row>
    <row r="382" customFormat="false" ht="16.5" hidden="false" customHeight="true" outlineLevel="0" collapsed="false">
      <c r="A382" s="5" t="s">
        <v>2759</v>
      </c>
      <c r="B382" s="5" t="s">
        <v>2760</v>
      </c>
      <c r="C382" s="5" t="s">
        <v>2474</v>
      </c>
      <c r="D382" s="14" t="s">
        <v>1986</v>
      </c>
      <c r="E382" s="5" t="s">
        <v>1986</v>
      </c>
      <c r="F382" s="5"/>
      <c r="G382" s="5" t="s">
        <v>868</v>
      </c>
      <c r="H382" s="18"/>
    </row>
    <row r="383" customFormat="false" ht="16.5" hidden="false" customHeight="true" outlineLevel="0" collapsed="false">
      <c r="A383" s="5" t="s">
        <v>2761</v>
      </c>
      <c r="B383" s="5" t="s">
        <v>2762</v>
      </c>
      <c r="C383" s="5" t="s">
        <v>2474</v>
      </c>
      <c r="D383" s="14" t="s">
        <v>1986</v>
      </c>
      <c r="E383" s="5" t="s">
        <v>1986</v>
      </c>
      <c r="F383" s="5"/>
      <c r="G383" s="5" t="s">
        <v>349</v>
      </c>
      <c r="H383" s="18"/>
    </row>
    <row r="384" customFormat="false" ht="16.5" hidden="false" customHeight="true" outlineLevel="0" collapsed="false">
      <c r="A384" s="5" t="s">
        <v>2763</v>
      </c>
      <c r="B384" s="5" t="s">
        <v>2764</v>
      </c>
      <c r="C384" s="5" t="s">
        <v>2474</v>
      </c>
      <c r="D384" s="14" t="s">
        <v>1986</v>
      </c>
      <c r="E384" s="5" t="s">
        <v>1986</v>
      </c>
      <c r="F384" s="5"/>
      <c r="G384" s="5" t="s">
        <v>1851</v>
      </c>
      <c r="H384" s="18"/>
    </row>
    <row r="385" customFormat="false" ht="16.5" hidden="false" customHeight="true" outlineLevel="0" collapsed="false">
      <c r="A385" s="5" t="s">
        <v>2765</v>
      </c>
      <c r="B385" s="5" t="s">
        <v>2766</v>
      </c>
      <c r="C385" s="5" t="s">
        <v>2474</v>
      </c>
      <c r="D385" s="14" t="s">
        <v>1986</v>
      </c>
      <c r="E385" s="5" t="s">
        <v>1986</v>
      </c>
      <c r="F385" s="5"/>
      <c r="G385" s="5" t="s">
        <v>702</v>
      </c>
      <c r="H385" s="18"/>
    </row>
    <row r="386" customFormat="false" ht="30" hidden="false" customHeight="true" outlineLevel="0" collapsed="false">
      <c r="A386" s="5" t="s">
        <v>2767</v>
      </c>
      <c r="B386" s="5" t="s">
        <v>2768</v>
      </c>
      <c r="C386" s="5" t="s">
        <v>2474</v>
      </c>
      <c r="D386" s="14" t="s">
        <v>1986</v>
      </c>
      <c r="E386" s="5" t="s">
        <v>1986</v>
      </c>
      <c r="F386" s="5"/>
      <c r="G386" s="5" t="s">
        <v>800</v>
      </c>
      <c r="H386" s="18"/>
    </row>
    <row r="387" customFormat="false" ht="30" hidden="false" customHeight="true" outlineLevel="0" collapsed="false">
      <c r="A387" s="5" t="s">
        <v>2769</v>
      </c>
      <c r="B387" s="5" t="s">
        <v>2770</v>
      </c>
      <c r="C387" s="5" t="s">
        <v>2474</v>
      </c>
      <c r="D387" s="14" t="s">
        <v>1986</v>
      </c>
      <c r="E387" s="5" t="s">
        <v>1986</v>
      </c>
      <c r="F387" s="5"/>
      <c r="G387" s="5" t="s">
        <v>2186</v>
      </c>
      <c r="H387" s="18"/>
    </row>
    <row r="388" customFormat="false" ht="16.5" hidden="false" customHeight="true" outlineLevel="0" collapsed="false">
      <c r="A388" s="5" t="s">
        <v>2771</v>
      </c>
      <c r="B388" s="5" t="s">
        <v>2772</v>
      </c>
      <c r="C388" s="5" t="s">
        <v>2474</v>
      </c>
      <c r="D388" s="14" t="s">
        <v>1986</v>
      </c>
      <c r="E388" s="5" t="s">
        <v>1986</v>
      </c>
      <c r="F388" s="5"/>
      <c r="G388" s="5" t="s">
        <v>1262</v>
      </c>
      <c r="H388" s="18"/>
    </row>
    <row r="389" customFormat="false" ht="16.5" hidden="false" customHeight="true" outlineLevel="0" collapsed="false">
      <c r="A389" s="5" t="s">
        <v>2773</v>
      </c>
      <c r="B389" s="5" t="s">
        <v>2774</v>
      </c>
      <c r="C389" s="5" t="s">
        <v>2474</v>
      </c>
      <c r="D389" s="14" t="s">
        <v>1986</v>
      </c>
      <c r="E389" s="5" t="s">
        <v>1986</v>
      </c>
      <c r="F389" s="5"/>
      <c r="G389" s="5" t="s">
        <v>2775</v>
      </c>
      <c r="H389" s="18"/>
    </row>
    <row r="390" customFormat="false" ht="16.5" hidden="false" customHeight="true" outlineLevel="0" collapsed="false">
      <c r="A390" s="5" t="s">
        <v>2776</v>
      </c>
      <c r="B390" s="5" t="s">
        <v>2777</v>
      </c>
      <c r="C390" s="5" t="s">
        <v>2474</v>
      </c>
      <c r="D390" s="14" t="s">
        <v>1986</v>
      </c>
      <c r="E390" s="5" t="s">
        <v>1986</v>
      </c>
      <c r="F390" s="5"/>
      <c r="G390" s="5" t="s">
        <v>1055</v>
      </c>
      <c r="H390" s="18"/>
    </row>
    <row r="391" customFormat="false" ht="16.5" hidden="false" customHeight="true" outlineLevel="0" collapsed="false">
      <c r="A391" s="5" t="s">
        <v>2778</v>
      </c>
      <c r="B391" s="5" t="s">
        <v>2779</v>
      </c>
      <c r="C391" s="5" t="s">
        <v>2474</v>
      </c>
      <c r="D391" s="14" t="s">
        <v>1986</v>
      </c>
      <c r="E391" s="5" t="s">
        <v>1986</v>
      </c>
      <c r="F391" s="5"/>
      <c r="G391" s="5" t="s">
        <v>1885</v>
      </c>
      <c r="H391" s="18"/>
    </row>
    <row r="392" customFormat="false" ht="16.5" hidden="false" customHeight="true" outlineLevel="0" collapsed="false">
      <c r="A392" s="5" t="s">
        <v>2780</v>
      </c>
      <c r="B392" s="5" t="s">
        <v>2781</v>
      </c>
      <c r="C392" s="5" t="s">
        <v>2474</v>
      </c>
      <c r="D392" s="14" t="s">
        <v>1986</v>
      </c>
      <c r="E392" s="5" t="s">
        <v>1986</v>
      </c>
      <c r="F392" s="5"/>
      <c r="G392" s="5" t="s">
        <v>1895</v>
      </c>
      <c r="H392" s="18"/>
    </row>
    <row r="393" customFormat="false" ht="16.5" hidden="false" customHeight="true" outlineLevel="0" collapsed="false">
      <c r="A393" s="5" t="s">
        <v>2782</v>
      </c>
      <c r="B393" s="5" t="s">
        <v>2783</v>
      </c>
      <c r="C393" s="5" t="s">
        <v>2474</v>
      </c>
      <c r="D393" s="14" t="s">
        <v>1986</v>
      </c>
      <c r="E393" s="5" t="s">
        <v>1986</v>
      </c>
      <c r="F393" s="5"/>
      <c r="G393" s="5" t="s">
        <v>1947</v>
      </c>
      <c r="H393" s="18"/>
    </row>
    <row r="394" customFormat="false" ht="16.5" hidden="false" customHeight="true" outlineLevel="0" collapsed="false">
      <c r="A394" s="5" t="s">
        <v>2784</v>
      </c>
      <c r="B394" s="5" t="s">
        <v>2785</v>
      </c>
      <c r="C394" s="5" t="s">
        <v>2474</v>
      </c>
      <c r="D394" s="14" t="s">
        <v>1986</v>
      </c>
      <c r="E394" s="5" t="s">
        <v>1986</v>
      </c>
      <c r="F394" s="5"/>
      <c r="G394" s="5" t="s">
        <v>2786</v>
      </c>
      <c r="H394" s="18"/>
    </row>
    <row r="395" customFormat="false" ht="16.5" hidden="false" customHeight="true" outlineLevel="0" collapsed="false">
      <c r="A395" s="5" t="s">
        <v>2787</v>
      </c>
      <c r="B395" s="5" t="s">
        <v>2788</v>
      </c>
      <c r="C395" s="5" t="s">
        <v>2474</v>
      </c>
      <c r="D395" s="14" t="s">
        <v>1986</v>
      </c>
      <c r="E395" s="5" t="s">
        <v>1986</v>
      </c>
      <c r="F395" s="5"/>
      <c r="G395" s="5" t="s">
        <v>1745</v>
      </c>
      <c r="H395" s="18"/>
    </row>
    <row r="396" customFormat="false" ht="16.5" hidden="false" customHeight="true" outlineLevel="0" collapsed="false">
      <c r="A396" s="5" t="s">
        <v>2789</v>
      </c>
      <c r="B396" s="5" t="s">
        <v>2790</v>
      </c>
      <c r="C396" s="5" t="s">
        <v>2474</v>
      </c>
      <c r="D396" s="14" t="s">
        <v>1986</v>
      </c>
      <c r="E396" s="5" t="s">
        <v>1986</v>
      </c>
      <c r="F396" s="5"/>
      <c r="G396" s="5" t="s">
        <v>720</v>
      </c>
      <c r="H396" s="18"/>
    </row>
    <row r="397" customFormat="false" ht="16.5" hidden="false" customHeight="true" outlineLevel="0" collapsed="false">
      <c r="A397" s="5" t="s">
        <v>2791</v>
      </c>
      <c r="B397" s="5" t="s">
        <v>2792</v>
      </c>
      <c r="C397" s="5" t="s">
        <v>2474</v>
      </c>
      <c r="D397" s="14" t="s">
        <v>1986</v>
      </c>
      <c r="E397" s="5" t="s">
        <v>1986</v>
      </c>
      <c r="F397" s="5"/>
      <c r="G397" s="5" t="s">
        <v>1502</v>
      </c>
      <c r="H397" s="18"/>
    </row>
    <row r="398" customFormat="false" ht="16.5" hidden="false" customHeight="true" outlineLevel="0" collapsed="false">
      <c r="A398" s="5" t="s">
        <v>2793</v>
      </c>
      <c r="B398" s="5" t="s">
        <v>2794</v>
      </c>
      <c r="C398" s="5" t="s">
        <v>2474</v>
      </c>
      <c r="D398" s="14" t="s">
        <v>1986</v>
      </c>
      <c r="E398" s="5" t="s">
        <v>1986</v>
      </c>
      <c r="F398" s="5"/>
      <c r="G398" s="5" t="s">
        <v>1524</v>
      </c>
      <c r="H398" s="18"/>
    </row>
    <row r="399" customFormat="false" ht="30" hidden="false" customHeight="true" outlineLevel="0" collapsed="false">
      <c r="A399" s="5" t="s">
        <v>2795</v>
      </c>
      <c r="B399" s="5" t="s">
        <v>2796</v>
      </c>
      <c r="C399" s="5" t="s">
        <v>2474</v>
      </c>
      <c r="D399" s="14" t="s">
        <v>1986</v>
      </c>
      <c r="E399" s="5" t="s">
        <v>1986</v>
      </c>
      <c r="F399" s="5"/>
      <c r="G399" s="5" t="s">
        <v>1688</v>
      </c>
      <c r="H399" s="18"/>
    </row>
    <row r="400" customFormat="false" ht="16.5" hidden="false" customHeight="true" outlineLevel="0" collapsed="false">
      <c r="A400" s="5" t="s">
        <v>2797</v>
      </c>
      <c r="B400" s="5" t="s">
        <v>2798</v>
      </c>
      <c r="C400" s="5" t="s">
        <v>2474</v>
      </c>
      <c r="D400" s="14" t="s">
        <v>1986</v>
      </c>
      <c r="E400" s="5" t="s">
        <v>1986</v>
      </c>
      <c r="F400" s="5"/>
      <c r="G400" s="5" t="s">
        <v>1110</v>
      </c>
      <c r="H400" s="18"/>
    </row>
    <row r="401" customFormat="false" ht="16.5" hidden="false" customHeight="true" outlineLevel="0" collapsed="false">
      <c r="A401" s="5" t="s">
        <v>2799</v>
      </c>
      <c r="B401" s="5" t="s">
        <v>2800</v>
      </c>
      <c r="C401" s="5" t="s">
        <v>2474</v>
      </c>
      <c r="D401" s="14" t="s">
        <v>1986</v>
      </c>
      <c r="E401" s="5" t="s">
        <v>1986</v>
      </c>
      <c r="F401" s="5"/>
      <c r="G401" s="5" t="s">
        <v>1135</v>
      </c>
      <c r="H401" s="18"/>
    </row>
    <row r="402" customFormat="false" ht="16.5" hidden="false" customHeight="true" outlineLevel="0" collapsed="false">
      <c r="A402" s="5" t="s">
        <v>2801</v>
      </c>
      <c r="B402" s="5" t="s">
        <v>2802</v>
      </c>
      <c r="C402" s="5" t="s">
        <v>2474</v>
      </c>
      <c r="D402" s="14" t="s">
        <v>1986</v>
      </c>
      <c r="E402" s="5" t="s">
        <v>1986</v>
      </c>
      <c r="F402" s="5"/>
      <c r="G402" s="5" t="s">
        <v>560</v>
      </c>
      <c r="H402" s="18"/>
    </row>
    <row r="403" customFormat="false" ht="16.5" hidden="false" customHeight="true" outlineLevel="0" collapsed="false">
      <c r="A403" s="5" t="s">
        <v>2803</v>
      </c>
      <c r="B403" s="5" t="s">
        <v>2804</v>
      </c>
      <c r="C403" s="5" t="s">
        <v>2474</v>
      </c>
      <c r="D403" s="14" t="s">
        <v>1986</v>
      </c>
      <c r="E403" s="5" t="s">
        <v>1986</v>
      </c>
      <c r="F403" s="5"/>
      <c r="G403" s="5" t="s">
        <v>308</v>
      </c>
      <c r="H403" s="18"/>
    </row>
    <row r="404" customFormat="false" ht="16.5" hidden="false" customHeight="true" outlineLevel="0" collapsed="false">
      <c r="A404" s="5" t="s">
        <v>2805</v>
      </c>
      <c r="B404" s="5" t="s">
        <v>2806</v>
      </c>
      <c r="C404" s="5" t="s">
        <v>2474</v>
      </c>
      <c r="D404" s="14" t="s">
        <v>1986</v>
      </c>
      <c r="E404" s="5" t="s">
        <v>1986</v>
      </c>
      <c r="F404" s="5"/>
      <c r="G404" s="5" t="s">
        <v>2807</v>
      </c>
      <c r="H404" s="18"/>
    </row>
    <row r="405" customFormat="false" ht="43.5" hidden="false" customHeight="true" outlineLevel="0" collapsed="false">
      <c r="A405" s="5" t="s">
        <v>2808</v>
      </c>
      <c r="B405" s="5" t="s">
        <v>2809</v>
      </c>
      <c r="C405" s="5" t="s">
        <v>2474</v>
      </c>
      <c r="D405" s="14" t="s">
        <v>1986</v>
      </c>
      <c r="E405" s="5" t="s">
        <v>1986</v>
      </c>
      <c r="F405" s="5"/>
      <c r="G405" s="5" t="s">
        <v>1587</v>
      </c>
      <c r="H405" s="18"/>
    </row>
    <row r="406" customFormat="false" ht="30" hidden="false" customHeight="true" outlineLevel="0" collapsed="false">
      <c r="A406" s="5" t="s">
        <v>2810</v>
      </c>
      <c r="B406" s="5" t="s">
        <v>2811</v>
      </c>
      <c r="C406" s="5" t="s">
        <v>2474</v>
      </c>
      <c r="D406" s="14" t="s">
        <v>1964</v>
      </c>
      <c r="E406" s="5" t="s">
        <v>1986</v>
      </c>
      <c r="F406" s="23" t="s">
        <v>176</v>
      </c>
      <c r="G406" s="5" t="s">
        <v>1608</v>
      </c>
      <c r="H406" s="18"/>
    </row>
    <row r="407" customFormat="false" ht="30" hidden="false" customHeight="true" outlineLevel="0" collapsed="false">
      <c r="A407" s="5" t="s">
        <v>2812</v>
      </c>
      <c r="B407" s="5" t="s">
        <v>2813</v>
      </c>
      <c r="C407" s="5" t="s">
        <v>2474</v>
      </c>
      <c r="D407" s="14" t="s">
        <v>1986</v>
      </c>
      <c r="E407" s="5" t="s">
        <v>1986</v>
      </c>
      <c r="F407" s="5"/>
      <c r="G407" s="5" t="s">
        <v>1561</v>
      </c>
      <c r="H407" s="18"/>
    </row>
    <row r="408" customFormat="false" ht="30" hidden="false" customHeight="true" outlineLevel="0" collapsed="false">
      <c r="A408" s="5" t="s">
        <v>2814</v>
      </c>
      <c r="B408" s="5" t="s">
        <v>2815</v>
      </c>
      <c r="C408" s="5" t="s">
        <v>2474</v>
      </c>
      <c r="D408" s="14" t="s">
        <v>1986</v>
      </c>
      <c r="E408" s="5" t="s">
        <v>1986</v>
      </c>
      <c r="F408" s="5"/>
      <c r="G408" s="5" t="s">
        <v>2254</v>
      </c>
      <c r="H408" s="18"/>
    </row>
    <row r="409" customFormat="false" ht="16.5" hidden="false" customHeight="true" outlineLevel="0" collapsed="false">
      <c r="A409" s="5" t="s">
        <v>2816</v>
      </c>
      <c r="B409" s="5" t="s">
        <v>2817</v>
      </c>
      <c r="C409" s="5" t="s">
        <v>2474</v>
      </c>
      <c r="D409" s="14" t="s">
        <v>1986</v>
      </c>
      <c r="E409" s="5" t="s">
        <v>1986</v>
      </c>
      <c r="F409" s="5"/>
      <c r="G409" s="5" t="s">
        <v>1417</v>
      </c>
      <c r="H409" s="18"/>
    </row>
    <row r="410" customFormat="false" ht="30" hidden="false" customHeight="true" outlineLevel="0" collapsed="false">
      <c r="A410" s="5" t="s">
        <v>2818</v>
      </c>
      <c r="B410" s="5" t="s">
        <v>2819</v>
      </c>
      <c r="C410" s="5" t="s">
        <v>2474</v>
      </c>
      <c r="D410" s="14" t="s">
        <v>1986</v>
      </c>
      <c r="E410" s="5" t="s">
        <v>1986</v>
      </c>
      <c r="F410" s="5"/>
      <c r="G410" s="5" t="s">
        <v>1591</v>
      </c>
      <c r="H410" s="18"/>
    </row>
    <row r="411" customFormat="false" ht="30" hidden="false" customHeight="true" outlineLevel="0" collapsed="false">
      <c r="A411" s="5" t="s">
        <v>2820</v>
      </c>
      <c r="B411" s="5" t="s">
        <v>2821</v>
      </c>
      <c r="C411" s="5" t="s">
        <v>2474</v>
      </c>
      <c r="D411" s="14" t="s">
        <v>1964</v>
      </c>
      <c r="E411" s="5" t="s">
        <v>1986</v>
      </c>
      <c r="F411" s="23" t="s">
        <v>176</v>
      </c>
      <c r="G411" s="5" t="s">
        <v>1612</v>
      </c>
      <c r="H411" s="18"/>
    </row>
    <row r="412" customFormat="false" ht="30" hidden="false" customHeight="true" outlineLevel="0" collapsed="false">
      <c r="A412" s="5" t="s">
        <v>2822</v>
      </c>
      <c r="B412" s="5" t="s">
        <v>2823</v>
      </c>
      <c r="C412" s="5" t="s">
        <v>2474</v>
      </c>
      <c r="D412" s="14" t="s">
        <v>1986</v>
      </c>
      <c r="E412" s="5" t="s">
        <v>1986</v>
      </c>
      <c r="F412" s="5"/>
      <c r="G412" s="5" t="s">
        <v>1565</v>
      </c>
      <c r="H412" s="18"/>
    </row>
    <row r="413" customFormat="false" ht="30" hidden="false" customHeight="true" outlineLevel="0" collapsed="false">
      <c r="A413" s="5" t="s">
        <v>2824</v>
      </c>
      <c r="B413" s="5" t="s">
        <v>2825</v>
      </c>
      <c r="C413" s="5" t="s">
        <v>2474</v>
      </c>
      <c r="D413" s="14" t="s">
        <v>1986</v>
      </c>
      <c r="E413" s="5" t="s">
        <v>1986</v>
      </c>
      <c r="F413" s="5"/>
      <c r="G413" s="5" t="s">
        <v>818</v>
      </c>
      <c r="H413" s="18"/>
    </row>
    <row r="414" customFormat="false" ht="16.5" hidden="false" customHeight="true" outlineLevel="0" collapsed="false">
      <c r="A414" s="5" t="s">
        <v>2826</v>
      </c>
      <c r="B414" s="5" t="s">
        <v>2827</v>
      </c>
      <c r="C414" s="5" t="s">
        <v>2474</v>
      </c>
      <c r="D414" s="14" t="s">
        <v>1986</v>
      </c>
      <c r="E414" s="5" t="s">
        <v>1986</v>
      </c>
      <c r="F414" s="5"/>
      <c r="G414" s="5" t="s">
        <v>1083</v>
      </c>
      <c r="H414" s="18"/>
    </row>
    <row r="415" customFormat="false" ht="30" hidden="false" customHeight="true" outlineLevel="0" collapsed="false">
      <c r="A415" s="5" t="s">
        <v>2828</v>
      </c>
      <c r="B415" s="5" t="s">
        <v>2829</v>
      </c>
      <c r="C415" s="5" t="s">
        <v>2474</v>
      </c>
      <c r="D415" s="14" t="s">
        <v>1986</v>
      </c>
      <c r="E415" s="5" t="s">
        <v>1986</v>
      </c>
      <c r="F415" s="5"/>
      <c r="G415" s="5" t="s">
        <v>787</v>
      </c>
      <c r="H415" s="18"/>
    </row>
    <row r="416" customFormat="false" ht="16.5" hidden="false" customHeight="true" outlineLevel="0" collapsed="false">
      <c r="A416" s="5" t="s">
        <v>2830</v>
      </c>
      <c r="B416" s="5" t="s">
        <v>2831</v>
      </c>
      <c r="C416" s="5" t="s">
        <v>2474</v>
      </c>
      <c r="D416" s="14" t="s">
        <v>1986</v>
      </c>
      <c r="E416" s="5" t="s">
        <v>1986</v>
      </c>
      <c r="F416" s="5"/>
      <c r="G416" s="5" t="s">
        <v>1130</v>
      </c>
      <c r="H416" s="18"/>
    </row>
    <row r="417" customFormat="false" ht="16.5" hidden="false" customHeight="true" outlineLevel="0" collapsed="false">
      <c r="A417" s="5" t="s">
        <v>2832</v>
      </c>
      <c r="B417" s="5" t="s">
        <v>2833</v>
      </c>
      <c r="C417" s="5" t="s">
        <v>2474</v>
      </c>
      <c r="D417" s="14" t="s">
        <v>1986</v>
      </c>
      <c r="E417" s="5" t="s">
        <v>1986</v>
      </c>
      <c r="F417" s="5"/>
      <c r="G417" s="5" t="s">
        <v>1087</v>
      </c>
      <c r="H417" s="18"/>
    </row>
    <row r="418" customFormat="false" ht="16.5" hidden="false" customHeight="true" outlineLevel="0" collapsed="false">
      <c r="A418" s="5" t="s">
        <v>2834</v>
      </c>
      <c r="B418" s="5" t="s">
        <v>2835</v>
      </c>
      <c r="C418" s="5" t="s">
        <v>2474</v>
      </c>
      <c r="D418" s="14" t="s">
        <v>1986</v>
      </c>
      <c r="E418" s="5" t="s">
        <v>1986</v>
      </c>
      <c r="F418" s="5"/>
      <c r="G418" s="5" t="s">
        <v>539</v>
      </c>
      <c r="H418" s="18"/>
    </row>
    <row r="419" customFormat="false" ht="16.5" hidden="false" customHeight="true" outlineLevel="0" collapsed="false">
      <c r="A419" s="5" t="s">
        <v>2836</v>
      </c>
      <c r="B419" s="5" t="s">
        <v>2837</v>
      </c>
      <c r="C419" s="5" t="s">
        <v>2474</v>
      </c>
      <c r="D419" s="14" t="s">
        <v>1986</v>
      </c>
      <c r="E419" s="5" t="s">
        <v>1986</v>
      </c>
      <c r="F419" s="5"/>
      <c r="G419" s="5" t="s">
        <v>1368</v>
      </c>
      <c r="H419" s="18"/>
    </row>
    <row r="420" customFormat="false" ht="30" hidden="false" customHeight="true" outlineLevel="0" collapsed="false">
      <c r="A420" s="5" t="s">
        <v>2838</v>
      </c>
      <c r="B420" s="5" t="s">
        <v>2839</v>
      </c>
      <c r="C420" s="5" t="s">
        <v>2474</v>
      </c>
      <c r="D420" s="14" t="s">
        <v>1986</v>
      </c>
      <c r="E420" s="5" t="s">
        <v>1986</v>
      </c>
      <c r="F420" s="5"/>
      <c r="G420" s="5" t="s">
        <v>411</v>
      </c>
      <c r="H420" s="18"/>
    </row>
    <row r="421" customFormat="false" ht="16.5" hidden="false" customHeight="true" outlineLevel="0" collapsed="false">
      <c r="A421" s="5" t="s">
        <v>2840</v>
      </c>
      <c r="B421" s="5" t="s">
        <v>2841</v>
      </c>
      <c r="C421" s="5" t="s">
        <v>2474</v>
      </c>
      <c r="D421" s="14" t="s">
        <v>1986</v>
      </c>
      <c r="E421" s="5" t="s">
        <v>1986</v>
      </c>
      <c r="F421" s="5"/>
      <c r="G421" s="5" t="s">
        <v>313</v>
      </c>
      <c r="H421" s="18"/>
    </row>
    <row r="422" customFormat="false" ht="16.5" hidden="false" customHeight="true" outlineLevel="0" collapsed="false">
      <c r="A422" s="5" t="s">
        <v>2842</v>
      </c>
      <c r="B422" s="5" t="s">
        <v>2843</v>
      </c>
      <c r="C422" s="5" t="s">
        <v>2474</v>
      </c>
      <c r="D422" s="14" t="s">
        <v>1986</v>
      </c>
      <c r="E422" s="5" t="s">
        <v>1986</v>
      </c>
      <c r="F422" s="5"/>
      <c r="G422" s="5" t="s">
        <v>1648</v>
      </c>
      <c r="H422" s="18"/>
    </row>
    <row r="423" customFormat="false" ht="16.5" hidden="false" customHeight="true" outlineLevel="0" collapsed="false">
      <c r="A423" s="5" t="s">
        <v>2844</v>
      </c>
      <c r="B423" s="5" t="s">
        <v>2845</v>
      </c>
      <c r="C423" s="5" t="s">
        <v>2474</v>
      </c>
      <c r="D423" s="14" t="s">
        <v>1986</v>
      </c>
      <c r="E423" s="5" t="s">
        <v>1986</v>
      </c>
      <c r="F423" s="5"/>
      <c r="G423" s="5" t="s">
        <v>443</v>
      </c>
      <c r="H423" s="18"/>
    </row>
    <row r="424" customFormat="false" ht="30" hidden="false" customHeight="true" outlineLevel="0" collapsed="false">
      <c r="A424" s="5" t="s">
        <v>2846</v>
      </c>
      <c r="B424" s="5" t="s">
        <v>2847</v>
      </c>
      <c r="C424" s="5" t="s">
        <v>2474</v>
      </c>
      <c r="D424" s="14" t="s">
        <v>1986</v>
      </c>
      <c r="E424" s="5" t="s">
        <v>1986</v>
      </c>
      <c r="F424" s="5"/>
      <c r="G424" s="5" t="s">
        <v>1684</v>
      </c>
      <c r="H424" s="18"/>
    </row>
    <row r="425" customFormat="false" ht="30" hidden="false" customHeight="true" outlineLevel="0" collapsed="false">
      <c r="A425" s="5" t="s">
        <v>2848</v>
      </c>
      <c r="B425" s="5" t="s">
        <v>2849</v>
      </c>
      <c r="C425" s="5" t="s">
        <v>2474</v>
      </c>
      <c r="D425" s="14" t="s">
        <v>1986</v>
      </c>
      <c r="E425" s="5" t="s">
        <v>1986</v>
      </c>
      <c r="F425" s="5"/>
      <c r="G425" s="5" t="s">
        <v>1640</v>
      </c>
      <c r="H425" s="18"/>
    </row>
    <row r="426" customFormat="false" ht="16.5" hidden="false" customHeight="true" outlineLevel="0" collapsed="false">
      <c r="A426" s="5" t="s">
        <v>2850</v>
      </c>
      <c r="B426" s="5" t="s">
        <v>2851</v>
      </c>
      <c r="C426" s="5" t="s">
        <v>2474</v>
      </c>
      <c r="D426" s="14" t="s">
        <v>1986</v>
      </c>
      <c r="E426" s="5" t="s">
        <v>1986</v>
      </c>
      <c r="F426" s="5"/>
      <c r="G426" s="5" t="s">
        <v>1644</v>
      </c>
      <c r="H426" s="18"/>
    </row>
    <row r="427" customFormat="false" ht="30" hidden="false" customHeight="true" outlineLevel="0" collapsed="false">
      <c r="A427" s="5" t="s">
        <v>2852</v>
      </c>
      <c r="B427" s="5" t="s">
        <v>2853</v>
      </c>
      <c r="C427" s="5" t="s">
        <v>2474</v>
      </c>
      <c r="D427" s="14" t="s">
        <v>1986</v>
      </c>
      <c r="E427" s="5" t="s">
        <v>1986</v>
      </c>
      <c r="F427" s="5"/>
      <c r="G427" s="5" t="s">
        <v>1636</v>
      </c>
      <c r="H427" s="18"/>
    </row>
    <row r="428" customFormat="false" ht="43.5" hidden="false" customHeight="true" outlineLevel="0" collapsed="false">
      <c r="A428" s="5" t="s">
        <v>2854</v>
      </c>
      <c r="B428" s="5" t="s">
        <v>2855</v>
      </c>
      <c r="C428" s="5" t="s">
        <v>2474</v>
      </c>
      <c r="D428" s="14" t="s">
        <v>1986</v>
      </c>
      <c r="E428" s="5" t="s">
        <v>1986</v>
      </c>
      <c r="F428" s="5"/>
      <c r="G428" s="5" t="s">
        <v>1583</v>
      </c>
      <c r="H428" s="18"/>
    </row>
    <row r="429" customFormat="false" ht="30" hidden="false" customHeight="true" outlineLevel="0" collapsed="false">
      <c r="A429" s="5" t="s">
        <v>2856</v>
      </c>
      <c r="B429" s="5" t="s">
        <v>2857</v>
      </c>
      <c r="C429" s="5" t="s">
        <v>2474</v>
      </c>
      <c r="D429" s="14" t="s">
        <v>1964</v>
      </c>
      <c r="E429" s="5" t="s">
        <v>1986</v>
      </c>
      <c r="F429" s="23" t="s">
        <v>176</v>
      </c>
      <c r="G429" s="5" t="s">
        <v>1604</v>
      </c>
      <c r="H429" s="18"/>
    </row>
    <row r="430" customFormat="false" ht="43.5" hidden="false" customHeight="true" outlineLevel="0" collapsed="false">
      <c r="A430" s="5" t="s">
        <v>2858</v>
      </c>
      <c r="B430" s="5" t="s">
        <v>2859</v>
      </c>
      <c r="C430" s="5" t="s">
        <v>2474</v>
      </c>
      <c r="D430" s="14" t="s">
        <v>1986</v>
      </c>
      <c r="E430" s="5" t="s">
        <v>1986</v>
      </c>
      <c r="F430" s="5"/>
      <c r="G430" s="5" t="s">
        <v>1557</v>
      </c>
      <c r="H430" s="18"/>
    </row>
    <row r="431" customFormat="false" ht="16.5" hidden="false" customHeight="true" outlineLevel="0" collapsed="false">
      <c r="A431" s="5" t="s">
        <v>2860</v>
      </c>
      <c r="B431" s="5" t="s">
        <v>2861</v>
      </c>
      <c r="C431" s="5" t="s">
        <v>2474</v>
      </c>
      <c r="D431" s="14" t="s">
        <v>1986</v>
      </c>
      <c r="E431" s="5" t="s">
        <v>1986</v>
      </c>
      <c r="F431" s="5"/>
      <c r="G431" s="5" t="s">
        <v>1918</v>
      </c>
      <c r="H431" s="18"/>
    </row>
    <row r="432" customFormat="false" ht="16.5" hidden="false" customHeight="true" outlineLevel="0" collapsed="false">
      <c r="A432" s="5" t="s">
        <v>2862</v>
      </c>
      <c r="B432" s="5" t="s">
        <v>2863</v>
      </c>
      <c r="C432" s="5" t="s">
        <v>2474</v>
      </c>
      <c r="D432" s="14" t="s">
        <v>1964</v>
      </c>
      <c r="E432" s="5" t="s">
        <v>1986</v>
      </c>
      <c r="F432" s="23" t="s">
        <v>176</v>
      </c>
      <c r="G432" s="5" t="s">
        <v>403</v>
      </c>
      <c r="H432" s="18"/>
    </row>
    <row r="433" customFormat="false" ht="30" hidden="false" customHeight="true" outlineLevel="0" collapsed="false">
      <c r="A433" s="5" t="s">
        <v>2864</v>
      </c>
      <c r="B433" s="5" t="s">
        <v>2865</v>
      </c>
      <c r="C433" s="5" t="s">
        <v>2474</v>
      </c>
      <c r="D433" s="14" t="s">
        <v>1986</v>
      </c>
      <c r="E433" s="5" t="s">
        <v>1986</v>
      </c>
      <c r="F433" s="5"/>
      <c r="G433" s="5" t="s">
        <v>1937</v>
      </c>
      <c r="H433" s="18"/>
    </row>
    <row r="434" customFormat="false" ht="16.5" hidden="false" customHeight="true" outlineLevel="0" collapsed="false">
      <c r="A434" s="5" t="s">
        <v>2866</v>
      </c>
      <c r="B434" s="5" t="s">
        <v>2867</v>
      </c>
      <c r="C434" s="5" t="s">
        <v>2474</v>
      </c>
      <c r="D434" s="14" t="s">
        <v>1986</v>
      </c>
      <c r="E434" s="5" t="s">
        <v>1986</v>
      </c>
      <c r="F434" s="5"/>
      <c r="G434" s="5" t="s">
        <v>1910</v>
      </c>
      <c r="H434" s="18"/>
    </row>
    <row r="435" customFormat="false" ht="30" hidden="false" customHeight="true" outlineLevel="0" collapsed="false">
      <c r="A435" s="5" t="s">
        <v>2868</v>
      </c>
      <c r="B435" s="5" t="s">
        <v>2869</v>
      </c>
      <c r="C435" s="5" t="s">
        <v>2474</v>
      </c>
      <c r="D435" s="14" t="s">
        <v>1986</v>
      </c>
      <c r="E435" s="5" t="s">
        <v>1986</v>
      </c>
      <c r="F435" s="5"/>
      <c r="G435" s="5" t="s">
        <v>302</v>
      </c>
      <c r="H435" s="18"/>
    </row>
    <row r="436" customFormat="false" ht="16.5" hidden="false" customHeight="true" outlineLevel="0" collapsed="false">
      <c r="A436" s="5" t="s">
        <v>2870</v>
      </c>
      <c r="B436" s="5" t="s">
        <v>2871</v>
      </c>
      <c r="C436" s="5" t="s">
        <v>2474</v>
      </c>
      <c r="D436" s="14" t="s">
        <v>1986</v>
      </c>
      <c r="E436" s="5" t="s">
        <v>1986</v>
      </c>
      <c r="F436" s="5"/>
      <c r="G436" s="5" t="s">
        <v>1741</v>
      </c>
      <c r="H436" s="18"/>
    </row>
    <row r="437" customFormat="false" ht="30" hidden="false" customHeight="true" outlineLevel="0" collapsed="false">
      <c r="A437" s="5" t="s">
        <v>2872</v>
      </c>
      <c r="B437" s="5" t="s">
        <v>2873</v>
      </c>
      <c r="C437" s="5" t="s">
        <v>2474</v>
      </c>
      <c r="D437" s="14" t="s">
        <v>1986</v>
      </c>
      <c r="E437" s="5" t="s">
        <v>1986</v>
      </c>
      <c r="F437" s="5"/>
      <c r="G437" s="5" t="s">
        <v>1241</v>
      </c>
      <c r="H437" s="18"/>
    </row>
    <row r="438" customFormat="false" ht="30" hidden="false" customHeight="true" outlineLevel="0" collapsed="false">
      <c r="A438" s="5" t="s">
        <v>2874</v>
      </c>
      <c r="B438" s="5" t="s">
        <v>2875</v>
      </c>
      <c r="C438" s="5" t="s">
        <v>2474</v>
      </c>
      <c r="D438" s="14" t="s">
        <v>1986</v>
      </c>
      <c r="E438" s="5" t="s">
        <v>1986</v>
      </c>
      <c r="F438" s="5"/>
      <c r="G438" s="5" t="s">
        <v>655</v>
      </c>
      <c r="H438" s="18"/>
    </row>
    <row r="439" customFormat="false" ht="30" hidden="false" customHeight="true" outlineLevel="0" collapsed="false">
      <c r="A439" s="5" t="s">
        <v>2876</v>
      </c>
      <c r="B439" s="5" t="s">
        <v>2877</v>
      </c>
      <c r="C439" s="5" t="s">
        <v>2474</v>
      </c>
      <c r="D439" s="14" t="s">
        <v>1986</v>
      </c>
      <c r="E439" s="5" t="s">
        <v>1986</v>
      </c>
      <c r="F439" s="5"/>
      <c r="G439" s="5" t="s">
        <v>660</v>
      </c>
      <c r="H439" s="18"/>
    </row>
    <row r="440" customFormat="false" ht="30" hidden="false" customHeight="true" outlineLevel="0" collapsed="false">
      <c r="A440" s="5" t="s">
        <v>2878</v>
      </c>
      <c r="B440" s="5" t="s">
        <v>2879</v>
      </c>
      <c r="C440" s="5" t="s">
        <v>2474</v>
      </c>
      <c r="D440" s="14" t="s">
        <v>1986</v>
      </c>
      <c r="E440" s="5" t="s">
        <v>1986</v>
      </c>
      <c r="F440" s="5"/>
      <c r="G440" s="5" t="s">
        <v>1191</v>
      </c>
      <c r="H440" s="18"/>
    </row>
    <row r="441" customFormat="false" ht="30" hidden="false" customHeight="true" outlineLevel="0" collapsed="false">
      <c r="A441" s="5" t="s">
        <v>2880</v>
      </c>
      <c r="B441" s="5" t="s">
        <v>2881</v>
      </c>
      <c r="C441" s="5" t="s">
        <v>2474</v>
      </c>
      <c r="D441" s="14" t="s">
        <v>1986</v>
      </c>
      <c r="E441" s="5" t="s">
        <v>1986</v>
      </c>
      <c r="F441" s="5"/>
      <c r="G441" s="5" t="s">
        <v>1196</v>
      </c>
      <c r="H441" s="18"/>
    </row>
    <row r="442" customFormat="false" ht="30" hidden="false" customHeight="true" outlineLevel="0" collapsed="false">
      <c r="A442" s="5" t="s">
        <v>2882</v>
      </c>
      <c r="B442" s="5" t="s">
        <v>2883</v>
      </c>
      <c r="C442" s="5" t="s">
        <v>2474</v>
      </c>
      <c r="D442" s="14" t="s">
        <v>1986</v>
      </c>
      <c r="E442" s="5" t="s">
        <v>1986</v>
      </c>
      <c r="F442" s="5"/>
      <c r="G442" s="5" t="s">
        <v>1201</v>
      </c>
      <c r="H442" s="18"/>
    </row>
    <row r="443" customFormat="false" ht="30" hidden="false" customHeight="true" outlineLevel="0" collapsed="false">
      <c r="A443" s="5" t="s">
        <v>2884</v>
      </c>
      <c r="B443" s="5" t="s">
        <v>2885</v>
      </c>
      <c r="C443" s="5" t="s">
        <v>2474</v>
      </c>
      <c r="D443" s="14" t="s">
        <v>1986</v>
      </c>
      <c r="E443" s="5" t="s">
        <v>1986</v>
      </c>
      <c r="F443" s="5"/>
      <c r="G443" s="5" t="s">
        <v>1544</v>
      </c>
      <c r="H443" s="18"/>
    </row>
    <row r="444" customFormat="false" ht="16.5" hidden="false" customHeight="true" outlineLevel="0" collapsed="false">
      <c r="A444" s="5" t="s">
        <v>2886</v>
      </c>
      <c r="B444" s="5" t="s">
        <v>2887</v>
      </c>
      <c r="C444" s="5" t="s">
        <v>2474</v>
      </c>
      <c r="D444" s="14" t="s">
        <v>1986</v>
      </c>
      <c r="E444" s="5" t="s">
        <v>1986</v>
      </c>
      <c r="F444" s="5"/>
      <c r="G444" s="5" t="s">
        <v>682</v>
      </c>
      <c r="H444" s="18"/>
    </row>
    <row r="445" customFormat="false" ht="30" hidden="false" customHeight="true" outlineLevel="0" collapsed="false">
      <c r="A445" s="5" t="s">
        <v>2888</v>
      </c>
      <c r="B445" s="5" t="s">
        <v>2889</v>
      </c>
      <c r="C445" s="5" t="s">
        <v>2474</v>
      </c>
      <c r="D445" s="14" t="s">
        <v>1986</v>
      </c>
      <c r="E445" s="5" t="s">
        <v>1986</v>
      </c>
      <c r="F445" s="5"/>
      <c r="G445" s="5" t="s">
        <v>1569</v>
      </c>
      <c r="H445" s="18"/>
    </row>
    <row r="446" customFormat="false" ht="16.5" hidden="false" customHeight="true" outlineLevel="0" collapsed="false">
      <c r="A446" s="5" t="s">
        <v>2890</v>
      </c>
      <c r="B446" s="5" t="s">
        <v>2891</v>
      </c>
      <c r="C446" s="5" t="s">
        <v>2474</v>
      </c>
      <c r="D446" s="14" t="s">
        <v>1986</v>
      </c>
      <c r="E446" s="5" t="s">
        <v>1986</v>
      </c>
      <c r="F446" s="5"/>
      <c r="G446" s="5" t="s">
        <v>1486</v>
      </c>
      <c r="H446" s="18"/>
    </row>
    <row r="447" customFormat="false" ht="16.5" hidden="false" customHeight="true" outlineLevel="0" collapsed="false">
      <c r="A447" s="5" t="s">
        <v>2892</v>
      </c>
      <c r="B447" s="5" t="s">
        <v>2893</v>
      </c>
      <c r="C447" s="5" t="s">
        <v>2474</v>
      </c>
      <c r="D447" s="14" t="s">
        <v>1986</v>
      </c>
      <c r="E447" s="5" t="s">
        <v>1986</v>
      </c>
      <c r="F447" s="5"/>
      <c r="G447" s="5" t="s">
        <v>1438</v>
      </c>
      <c r="H447" s="18"/>
    </row>
    <row r="448" customFormat="false" ht="16.5" hidden="false" customHeight="true" outlineLevel="0" collapsed="false">
      <c r="A448" s="5" t="s">
        <v>2894</v>
      </c>
      <c r="B448" s="5" t="s">
        <v>2895</v>
      </c>
      <c r="C448" s="5" t="s">
        <v>2474</v>
      </c>
      <c r="D448" s="14" t="s">
        <v>1986</v>
      </c>
      <c r="E448" s="5" t="s">
        <v>1986</v>
      </c>
      <c r="F448" s="5"/>
      <c r="G448" s="5" t="s">
        <v>371</v>
      </c>
      <c r="H448" s="18"/>
    </row>
    <row r="449" customFormat="false" ht="30" hidden="false" customHeight="true" outlineLevel="0" collapsed="false">
      <c r="A449" s="5" t="s">
        <v>2896</v>
      </c>
      <c r="B449" s="5" t="s">
        <v>2897</v>
      </c>
      <c r="C449" s="5" t="s">
        <v>2474</v>
      </c>
      <c r="D449" s="14" t="s">
        <v>1986</v>
      </c>
      <c r="E449" s="5" t="s">
        <v>1986</v>
      </c>
      <c r="F449" s="5"/>
      <c r="G449" s="5" t="s">
        <v>1097</v>
      </c>
      <c r="H449" s="18"/>
    </row>
    <row r="450" customFormat="false" ht="16.5" hidden="false" customHeight="true" outlineLevel="0" collapsed="false">
      <c r="A450" s="5" t="s">
        <v>2898</v>
      </c>
      <c r="B450" s="5" t="s">
        <v>2899</v>
      </c>
      <c r="C450" s="5" t="s">
        <v>2474</v>
      </c>
      <c r="D450" s="14" t="s">
        <v>1986</v>
      </c>
      <c r="E450" s="5" t="s">
        <v>1986</v>
      </c>
      <c r="F450" s="5"/>
      <c r="G450" s="5" t="s">
        <v>1871</v>
      </c>
      <c r="H450" s="18"/>
    </row>
    <row r="451" customFormat="false" ht="16.5" hidden="false" customHeight="true" outlineLevel="0" collapsed="false">
      <c r="A451" s="5" t="s">
        <v>2900</v>
      </c>
      <c r="B451" s="5" t="s">
        <v>2901</v>
      </c>
      <c r="C451" s="5" t="s">
        <v>2474</v>
      </c>
      <c r="D451" s="14" t="s">
        <v>1986</v>
      </c>
      <c r="E451" s="5" t="s">
        <v>1986</v>
      </c>
      <c r="F451" s="5"/>
      <c r="G451" s="5" t="s">
        <v>743</v>
      </c>
      <c r="H451" s="18"/>
    </row>
    <row r="452" customFormat="false" ht="30" hidden="false" customHeight="true" outlineLevel="0" collapsed="false">
      <c r="A452" s="5" t="s">
        <v>2902</v>
      </c>
      <c r="B452" s="5" t="s">
        <v>2903</v>
      </c>
      <c r="C452" s="5" t="s">
        <v>2474</v>
      </c>
      <c r="D452" s="14" t="s">
        <v>1986</v>
      </c>
      <c r="E452" s="5" t="s">
        <v>1986</v>
      </c>
      <c r="F452" s="5"/>
      <c r="G452" s="5" t="s">
        <v>1914</v>
      </c>
      <c r="H452" s="18"/>
    </row>
    <row r="453" customFormat="false" ht="30" hidden="false" customHeight="true" outlineLevel="0" collapsed="false">
      <c r="A453" s="5" t="s">
        <v>2904</v>
      </c>
      <c r="B453" s="5" t="s">
        <v>2905</v>
      </c>
      <c r="C453" s="5" t="s">
        <v>2474</v>
      </c>
      <c r="D453" s="14" t="s">
        <v>1986</v>
      </c>
      <c r="E453" s="5" t="s">
        <v>1986</v>
      </c>
      <c r="F453" s="5"/>
      <c r="G453" s="5" t="s">
        <v>1528</v>
      </c>
      <c r="H453" s="18"/>
    </row>
    <row r="454" customFormat="false" ht="30" hidden="false" customHeight="true" outlineLevel="0" collapsed="false">
      <c r="A454" s="5" t="s">
        <v>2906</v>
      </c>
      <c r="B454" s="5" t="s">
        <v>2907</v>
      </c>
      <c r="C454" s="5" t="s">
        <v>2474</v>
      </c>
      <c r="D454" s="14" t="s">
        <v>1986</v>
      </c>
      <c r="E454" s="5" t="s">
        <v>1986</v>
      </c>
      <c r="F454" s="5"/>
      <c r="G454" s="5" t="s">
        <v>1789</v>
      </c>
      <c r="H454" s="18"/>
    </row>
    <row r="455" customFormat="false" ht="16.5" hidden="false" customHeight="true" outlineLevel="0" collapsed="false">
      <c r="A455" s="5" t="s">
        <v>2908</v>
      </c>
      <c r="B455" s="5" t="s">
        <v>2909</v>
      </c>
      <c r="C455" s="5" t="s">
        <v>2474</v>
      </c>
      <c r="D455" s="14" t="s">
        <v>1986</v>
      </c>
      <c r="E455" s="5" t="s">
        <v>1986</v>
      </c>
      <c r="F455" s="5"/>
      <c r="G455" s="5" t="s">
        <v>1794</v>
      </c>
      <c r="H455" s="18"/>
    </row>
    <row r="456" customFormat="false" ht="16.5" hidden="false" customHeight="true" outlineLevel="0" collapsed="false">
      <c r="A456" s="5" t="s">
        <v>2910</v>
      </c>
      <c r="B456" s="5" t="s">
        <v>2911</v>
      </c>
      <c r="C456" s="5" t="s">
        <v>2474</v>
      </c>
      <c r="D456" s="14" t="s">
        <v>1986</v>
      </c>
      <c r="E456" s="5" t="s">
        <v>1986</v>
      </c>
      <c r="F456" s="5"/>
      <c r="G456" s="5" t="s">
        <v>422</v>
      </c>
      <c r="H456" s="18"/>
    </row>
    <row r="457" customFormat="false" ht="16.5" hidden="false" customHeight="true" outlineLevel="0" collapsed="false">
      <c r="A457" s="5" t="s">
        <v>2912</v>
      </c>
      <c r="B457" s="5" t="s">
        <v>2913</v>
      </c>
      <c r="C457" s="5" t="s">
        <v>2474</v>
      </c>
      <c r="D457" s="14" t="s">
        <v>1986</v>
      </c>
      <c r="E457" s="5" t="s">
        <v>1986</v>
      </c>
      <c r="F457" s="5"/>
      <c r="G457" s="5" t="s">
        <v>669</v>
      </c>
      <c r="H457" s="18"/>
    </row>
    <row r="458" customFormat="false" ht="16.5" hidden="false" customHeight="true" outlineLevel="0" collapsed="false">
      <c r="A458" s="5" t="s">
        <v>2914</v>
      </c>
      <c r="B458" s="5" t="s">
        <v>2915</v>
      </c>
      <c r="C458" s="5" t="s">
        <v>2474</v>
      </c>
      <c r="D458" s="14" t="s">
        <v>1986</v>
      </c>
      <c r="E458" s="5" t="s">
        <v>1986</v>
      </c>
      <c r="F458" s="5"/>
      <c r="G458" s="5" t="s">
        <v>1969</v>
      </c>
      <c r="H458" s="18"/>
    </row>
    <row r="459" customFormat="false" ht="16.5" hidden="false" customHeight="true" outlineLevel="0" collapsed="false">
      <c r="A459" s="5" t="s">
        <v>2916</v>
      </c>
      <c r="B459" s="5" t="s">
        <v>2917</v>
      </c>
      <c r="C459" s="5" t="s">
        <v>2474</v>
      </c>
      <c r="D459" s="14" t="s">
        <v>1986</v>
      </c>
      <c r="E459" s="5" t="s">
        <v>1986</v>
      </c>
      <c r="F459" s="5"/>
      <c r="G459" s="5" t="s">
        <v>357</v>
      </c>
      <c r="H459" s="18"/>
    </row>
    <row r="460" customFormat="false" ht="43.5" hidden="false" customHeight="true" outlineLevel="0" collapsed="false">
      <c r="A460" s="5" t="s">
        <v>2918</v>
      </c>
      <c r="B460" s="5" t="s">
        <v>2919</v>
      </c>
      <c r="C460" s="5" t="s">
        <v>2474</v>
      </c>
      <c r="D460" s="14" t="s">
        <v>1986</v>
      </c>
      <c r="E460" s="5" t="s">
        <v>1986</v>
      </c>
      <c r="F460" s="5"/>
      <c r="G460" s="5" t="s">
        <v>1579</v>
      </c>
      <c r="H460" s="18"/>
    </row>
    <row r="461" customFormat="false" ht="30" hidden="false" customHeight="true" outlineLevel="0" collapsed="false">
      <c r="A461" s="5" t="s">
        <v>2920</v>
      </c>
      <c r="B461" s="5" t="s">
        <v>2921</v>
      </c>
      <c r="C461" s="5" t="s">
        <v>2474</v>
      </c>
      <c r="D461" s="14" t="s">
        <v>1964</v>
      </c>
      <c r="E461" s="5" t="s">
        <v>1986</v>
      </c>
      <c r="F461" s="23" t="s">
        <v>176</v>
      </c>
      <c r="G461" s="5" t="s">
        <v>1600</v>
      </c>
      <c r="H461" s="18"/>
    </row>
    <row r="462" customFormat="false" ht="43.5" hidden="false" customHeight="true" outlineLevel="0" collapsed="false">
      <c r="A462" s="5" t="s">
        <v>2922</v>
      </c>
      <c r="B462" s="5" t="s">
        <v>2923</v>
      </c>
      <c r="C462" s="5" t="s">
        <v>2474</v>
      </c>
      <c r="D462" s="14" t="s">
        <v>1986</v>
      </c>
      <c r="E462" s="5" t="s">
        <v>1986</v>
      </c>
      <c r="F462" s="5"/>
      <c r="G462" s="5" t="s">
        <v>1552</v>
      </c>
      <c r="H462" s="18"/>
    </row>
    <row r="463" customFormat="false" ht="16.5" hidden="false" customHeight="true" outlineLevel="0" collapsed="false">
      <c r="A463" s="5" t="s">
        <v>2924</v>
      </c>
      <c r="B463" s="5" t="s">
        <v>2925</v>
      </c>
      <c r="C463" s="5" t="s">
        <v>2474</v>
      </c>
      <c r="D463" s="14" t="s">
        <v>1986</v>
      </c>
      <c r="E463" s="5" t="s">
        <v>1986</v>
      </c>
      <c r="F463" s="5"/>
      <c r="G463" s="5" t="s">
        <v>1767</v>
      </c>
      <c r="H463" s="18"/>
    </row>
    <row r="464" customFormat="false" ht="16.5" hidden="false" customHeight="true" outlineLevel="0" collapsed="false">
      <c r="A464" s="5" t="s">
        <v>2926</v>
      </c>
      <c r="B464" s="5" t="s">
        <v>2927</v>
      </c>
      <c r="C464" s="5" t="s">
        <v>2474</v>
      </c>
      <c r="D464" s="14" t="s">
        <v>1986</v>
      </c>
      <c r="E464" s="5" t="s">
        <v>1986</v>
      </c>
      <c r="F464" s="5"/>
      <c r="G464" s="5" t="s">
        <v>1398</v>
      </c>
      <c r="H464" s="18"/>
    </row>
    <row r="465" customFormat="false" ht="16.5" hidden="false" customHeight="true" outlineLevel="0" collapsed="false">
      <c r="A465" s="5" t="s">
        <v>2928</v>
      </c>
      <c r="B465" s="5" t="s">
        <v>2929</v>
      </c>
      <c r="C465" s="5" t="s">
        <v>2474</v>
      </c>
      <c r="D465" s="14" t="s">
        <v>1986</v>
      </c>
      <c r="E465" s="5" t="s">
        <v>1986</v>
      </c>
      <c r="F465" s="5"/>
      <c r="G465" s="5" t="s">
        <v>1346</v>
      </c>
      <c r="H465" s="18"/>
    </row>
    <row r="466" customFormat="false" ht="16.5" hidden="false" customHeight="true" outlineLevel="0" collapsed="false">
      <c r="A466" s="5" t="s">
        <v>2930</v>
      </c>
      <c r="B466" s="5" t="s">
        <v>2931</v>
      </c>
      <c r="C466" s="5" t="s">
        <v>2474</v>
      </c>
      <c r="D466" s="14" t="s">
        <v>1986</v>
      </c>
      <c r="E466" s="5" t="s">
        <v>1986</v>
      </c>
      <c r="F466" s="5"/>
      <c r="G466" s="5" t="s">
        <v>2033</v>
      </c>
      <c r="H466" s="18"/>
    </row>
    <row r="467" customFormat="false" ht="313.5" hidden="false" customHeight="true" outlineLevel="0" collapsed="false">
      <c r="A467" s="5" t="s">
        <v>2932</v>
      </c>
      <c r="B467" s="5" t="s">
        <v>2933</v>
      </c>
      <c r="C467" s="5" t="s">
        <v>2474</v>
      </c>
      <c r="D467" s="14" t="s">
        <v>1986</v>
      </c>
      <c r="E467" s="5" t="s">
        <v>1986</v>
      </c>
      <c r="F467" s="5"/>
      <c r="G467" s="5" t="s">
        <v>2934</v>
      </c>
      <c r="H467" s="18"/>
    </row>
    <row r="468" customFormat="false" ht="16.5" hidden="false" customHeight="true" outlineLevel="0" collapsed="false">
      <c r="A468" s="5" t="s">
        <v>2935</v>
      </c>
      <c r="B468" s="5" t="s">
        <v>2936</v>
      </c>
      <c r="C468" s="5" t="s">
        <v>2474</v>
      </c>
      <c r="D468" s="14" t="s">
        <v>1986</v>
      </c>
      <c r="E468" s="5" t="s">
        <v>1986</v>
      </c>
      <c r="F468" s="5"/>
      <c r="G468" s="5" t="s">
        <v>1507</v>
      </c>
      <c r="H468" s="18"/>
    </row>
    <row r="469" customFormat="false" ht="30" hidden="false" customHeight="true" outlineLevel="0" collapsed="false">
      <c r="A469" s="5" t="s">
        <v>2937</v>
      </c>
      <c r="B469" s="5" t="s">
        <v>2938</v>
      </c>
      <c r="C469" s="5" t="s">
        <v>2474</v>
      </c>
      <c r="D469" s="14" t="s">
        <v>1986</v>
      </c>
      <c r="E469" s="5" t="s">
        <v>1986</v>
      </c>
      <c r="F469" s="5"/>
      <c r="G469" s="5" t="s">
        <v>384</v>
      </c>
      <c r="H469" s="18"/>
    </row>
    <row r="470" customFormat="false" ht="16.5" hidden="false" customHeight="true" outlineLevel="0" collapsed="false">
      <c r="A470" s="5" t="s">
        <v>2939</v>
      </c>
      <c r="B470" s="5" t="s">
        <v>2940</v>
      </c>
      <c r="C470" s="5" t="s">
        <v>2474</v>
      </c>
      <c r="D470" s="14" t="s">
        <v>1986</v>
      </c>
      <c r="E470" s="5" t="s">
        <v>1986</v>
      </c>
      <c r="F470" s="5"/>
      <c r="G470" s="5" t="s">
        <v>380</v>
      </c>
      <c r="H470" s="18"/>
    </row>
    <row r="471" customFormat="false" ht="16.5" hidden="false" customHeight="true" outlineLevel="0" collapsed="false">
      <c r="A471" s="5" t="s">
        <v>2941</v>
      </c>
      <c r="B471" s="5" t="s">
        <v>2942</v>
      </c>
      <c r="C471" s="5" t="s">
        <v>2474</v>
      </c>
      <c r="D471" s="14" t="s">
        <v>1986</v>
      </c>
      <c r="E471" s="5" t="s">
        <v>1986</v>
      </c>
      <c r="F471" s="5"/>
      <c r="G471" s="5" t="s">
        <v>547</v>
      </c>
      <c r="H471" s="18"/>
    </row>
    <row r="472" customFormat="false" ht="16.5" hidden="false" customHeight="true" outlineLevel="0" collapsed="false">
      <c r="A472" s="5" t="s">
        <v>2943</v>
      </c>
      <c r="B472" s="5" t="s">
        <v>2944</v>
      </c>
      <c r="C472" s="5" t="s">
        <v>2474</v>
      </c>
      <c r="D472" s="14" t="s">
        <v>1986</v>
      </c>
      <c r="E472" s="5" t="s">
        <v>1986</v>
      </c>
      <c r="F472" s="5"/>
      <c r="G472" s="5" t="s">
        <v>1019</v>
      </c>
      <c r="H472" s="18"/>
    </row>
    <row r="473" customFormat="false" ht="16.5" hidden="false" customHeight="true" outlineLevel="0" collapsed="false">
      <c r="A473" s="5" t="s">
        <v>2945</v>
      </c>
      <c r="B473" s="5" t="s">
        <v>2946</v>
      </c>
      <c r="C473" s="5" t="s">
        <v>2474</v>
      </c>
      <c r="D473" s="14" t="s">
        <v>1986</v>
      </c>
      <c r="E473" s="5" t="s">
        <v>1986</v>
      </c>
      <c r="F473" s="5"/>
      <c r="G473" s="5" t="s">
        <v>556</v>
      </c>
      <c r="H473" s="18"/>
    </row>
    <row r="474" customFormat="false" ht="16.5" hidden="false" customHeight="true" outlineLevel="0" collapsed="false">
      <c r="A474" s="5" t="s">
        <v>2947</v>
      </c>
      <c r="B474" s="5" t="s">
        <v>2948</v>
      </c>
      <c r="C474" s="5" t="s">
        <v>2474</v>
      </c>
      <c r="D474" s="14" t="s">
        <v>1986</v>
      </c>
      <c r="E474" s="5" t="s">
        <v>1986</v>
      </c>
      <c r="F474" s="5"/>
      <c r="G474" s="5" t="s">
        <v>564</v>
      </c>
      <c r="H474" s="18"/>
    </row>
  </sheetData>
  <sheetProtection sheet="true" formatColumns="false" formatRows="false" sort="false" autoFilter="false"/>
  <autoFilter ref="A1:H474"/>
  <dataValidations count="1">
    <dataValidation allowBlank="true" error="Bitte einen Wert aus der Liste wählen: T, O" errorStyle="stop" errorTitle="Ungültige Eingabe" operator="between" prompt="Auswahl: T, O" promptTitle="Art richtig?" showDropDown="false" showErrorMessage="true" showInputMessage="true" sqref="H2:H474" type="list">
      <formula1>"T,O"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0"/>
    <col collapsed="false" customWidth="true" hidden="false" outlineLevel="0" max="4" min="4" style="0" width="26"/>
    <col collapsed="false" customWidth="true" hidden="false" outlineLevel="0" max="5" min="5" style="0" width="9"/>
    <col collapsed="false" customWidth="true" hidden="false" outlineLevel="0" max="6" min="6" style="0" width="44"/>
    <col collapsed="false" customWidth="true" hidden="false" outlineLevel="0" max="7" min="7" style="0" width="36"/>
    <col collapsed="false" customWidth="true" hidden="false" outlineLevel="0" max="8" min="8" style="0" width="30"/>
    <col collapsed="false" customWidth="true" hidden="false" outlineLevel="0" max="9" min="9" style="0" width="20"/>
    <col collapsed="false" customWidth="true" hidden="false" outlineLevel="0" max="10" min="10" style="0" width="60"/>
  </cols>
  <sheetData>
    <row r="1" customFormat="false" ht="23.85" hidden="false" customHeight="false" outlineLevel="0" collapsed="false">
      <c r="A1" s="4" t="s">
        <v>2949</v>
      </c>
      <c r="B1" s="4" t="s">
        <v>263</v>
      </c>
      <c r="C1" s="4" t="s">
        <v>2950</v>
      </c>
      <c r="D1" s="4" t="s">
        <v>22</v>
      </c>
      <c r="E1" s="4" t="s">
        <v>2951</v>
      </c>
      <c r="F1" s="4" t="s">
        <v>2952</v>
      </c>
      <c r="G1" s="4" t="s">
        <v>2953</v>
      </c>
      <c r="H1" s="4" t="s">
        <v>2954</v>
      </c>
      <c r="I1" s="4" t="s">
        <v>2955</v>
      </c>
      <c r="J1" s="4" t="s">
        <v>2956</v>
      </c>
    </row>
    <row r="2" customFormat="false" ht="57" hidden="false" customHeight="true" outlineLevel="0" collapsed="false">
      <c r="A2" s="5" t="s">
        <v>2957</v>
      </c>
      <c r="B2" s="5" t="s">
        <v>2958</v>
      </c>
      <c r="C2" s="5" t="s">
        <v>2959</v>
      </c>
      <c r="D2" s="5" t="s">
        <v>2960</v>
      </c>
      <c r="E2" s="5" t="s">
        <v>2961</v>
      </c>
      <c r="F2" s="5" t="s">
        <v>2962</v>
      </c>
      <c r="G2" s="5" t="s">
        <v>2963</v>
      </c>
      <c r="H2" s="5" t="s">
        <v>1094</v>
      </c>
      <c r="I2" s="5"/>
      <c r="J2" s="5" t="s">
        <v>2964</v>
      </c>
    </row>
    <row r="3" customFormat="false" ht="57" hidden="false" customHeight="true" outlineLevel="0" collapsed="false">
      <c r="A3" s="5" t="s">
        <v>2965</v>
      </c>
      <c r="B3" s="5" t="s">
        <v>2966</v>
      </c>
      <c r="C3" s="5" t="s">
        <v>2967</v>
      </c>
      <c r="D3" s="5" t="s">
        <v>2960</v>
      </c>
      <c r="E3" s="5" t="s">
        <v>2961</v>
      </c>
      <c r="F3" s="5" t="s">
        <v>2968</v>
      </c>
      <c r="G3" s="5" t="s">
        <v>2963</v>
      </c>
      <c r="H3" s="5" t="s">
        <v>2969</v>
      </c>
      <c r="I3" s="5"/>
      <c r="J3" s="5" t="s">
        <v>2969</v>
      </c>
    </row>
    <row r="4" customFormat="false" ht="16.5" hidden="false" customHeight="true" outlineLevel="0" collapsed="false">
      <c r="A4" s="5" t="s">
        <v>2970</v>
      </c>
      <c r="B4" s="5" t="s">
        <v>2971</v>
      </c>
      <c r="C4" s="5" t="s">
        <v>2972</v>
      </c>
      <c r="D4" s="5" t="s">
        <v>2960</v>
      </c>
      <c r="E4" s="5" t="s">
        <v>2973</v>
      </c>
      <c r="F4" s="5" t="s">
        <v>2974</v>
      </c>
      <c r="G4" s="5" t="s">
        <v>2963</v>
      </c>
      <c r="H4" s="5" t="s">
        <v>1494</v>
      </c>
      <c r="I4" s="5"/>
      <c r="J4" s="5" t="s">
        <v>2975</v>
      </c>
    </row>
    <row r="5" customFormat="false" ht="57" hidden="false" customHeight="true" outlineLevel="0" collapsed="false">
      <c r="A5" s="5" t="s">
        <v>2976</v>
      </c>
      <c r="B5" s="5" t="s">
        <v>2977</v>
      </c>
      <c r="C5" s="5" t="s">
        <v>2978</v>
      </c>
      <c r="D5" s="5" t="s">
        <v>2960</v>
      </c>
      <c r="E5" s="5" t="s">
        <v>2979</v>
      </c>
      <c r="F5" s="5" t="s">
        <v>2980</v>
      </c>
      <c r="G5" s="5" t="s">
        <v>2981</v>
      </c>
      <c r="H5" s="5" t="s">
        <v>2969</v>
      </c>
      <c r="I5" s="5"/>
      <c r="J5" s="5" t="s">
        <v>2982</v>
      </c>
    </row>
    <row r="6" customFormat="false" ht="30" hidden="false" customHeight="true" outlineLevel="0" collapsed="false">
      <c r="A6" s="5" t="s">
        <v>2983</v>
      </c>
      <c r="B6" s="5" t="s">
        <v>2984</v>
      </c>
      <c r="C6" s="5" t="s">
        <v>2985</v>
      </c>
      <c r="D6" s="5" t="s">
        <v>2960</v>
      </c>
      <c r="E6" s="5" t="s">
        <v>2979</v>
      </c>
      <c r="F6" s="5" t="s">
        <v>2980</v>
      </c>
      <c r="G6" s="5" t="s">
        <v>2963</v>
      </c>
      <c r="H6" s="5" t="s">
        <v>394</v>
      </c>
      <c r="I6" s="5"/>
      <c r="J6" s="5" t="s">
        <v>2986</v>
      </c>
    </row>
    <row r="7" customFormat="false" ht="30" hidden="false" customHeight="true" outlineLevel="0" collapsed="false">
      <c r="A7" s="5" t="s">
        <v>2987</v>
      </c>
      <c r="B7" s="5" t="s">
        <v>2988</v>
      </c>
      <c r="C7" s="5" t="s">
        <v>2989</v>
      </c>
      <c r="D7" s="5" t="s">
        <v>2960</v>
      </c>
      <c r="E7" s="5" t="s">
        <v>2979</v>
      </c>
      <c r="F7" s="5" t="s">
        <v>2980</v>
      </c>
      <c r="G7" s="5" t="s">
        <v>2990</v>
      </c>
      <c r="H7" s="5" t="s">
        <v>2969</v>
      </c>
      <c r="I7" s="5"/>
      <c r="J7" s="5" t="s">
        <v>2969</v>
      </c>
    </row>
    <row r="8" customFormat="false" ht="16.5" hidden="false" customHeight="true" outlineLevel="0" collapsed="false">
      <c r="A8" s="5" t="s">
        <v>2991</v>
      </c>
      <c r="B8" s="5" t="s">
        <v>2992</v>
      </c>
      <c r="C8" s="5" t="s">
        <v>2993</v>
      </c>
      <c r="D8" s="5" t="s">
        <v>2960</v>
      </c>
      <c r="E8" s="5" t="s">
        <v>2979</v>
      </c>
      <c r="F8" s="5" t="s">
        <v>2980</v>
      </c>
      <c r="G8" s="5" t="s">
        <v>2963</v>
      </c>
      <c r="H8" s="5" t="s">
        <v>2969</v>
      </c>
      <c r="I8" s="5"/>
      <c r="J8" s="5" t="s">
        <v>2969</v>
      </c>
    </row>
    <row r="9" customFormat="false" ht="43.5" hidden="false" customHeight="true" outlineLevel="0" collapsed="false">
      <c r="A9" s="5" t="s">
        <v>2994</v>
      </c>
      <c r="B9" s="5" t="s">
        <v>2995</v>
      </c>
      <c r="C9" s="5" t="s">
        <v>2996</v>
      </c>
      <c r="D9" s="5" t="s">
        <v>2960</v>
      </c>
      <c r="E9" s="5" t="s">
        <v>2979</v>
      </c>
      <c r="F9" s="5" t="s">
        <v>2980</v>
      </c>
      <c r="G9" s="5" t="s">
        <v>2963</v>
      </c>
      <c r="H9" s="5" t="s">
        <v>2969</v>
      </c>
      <c r="I9" s="5"/>
      <c r="J9" s="5" t="s">
        <v>2997</v>
      </c>
    </row>
    <row r="10" customFormat="false" ht="43.5" hidden="false" customHeight="true" outlineLevel="0" collapsed="false">
      <c r="A10" s="5" t="s">
        <v>2998</v>
      </c>
      <c r="B10" s="5" t="s">
        <v>2999</v>
      </c>
      <c r="C10" s="5" t="s">
        <v>3000</v>
      </c>
      <c r="D10" s="5" t="s">
        <v>2960</v>
      </c>
      <c r="E10" s="5" t="s">
        <v>2979</v>
      </c>
      <c r="F10" s="5" t="s">
        <v>2980</v>
      </c>
      <c r="G10" s="5" t="s">
        <v>2963</v>
      </c>
      <c r="H10" s="5" t="s">
        <v>3001</v>
      </c>
      <c r="I10" s="5"/>
      <c r="J10" s="5" t="s">
        <v>3002</v>
      </c>
    </row>
    <row r="11" customFormat="false" ht="16.5" hidden="false" customHeight="true" outlineLevel="0" collapsed="false">
      <c r="A11" s="5" t="s">
        <v>3003</v>
      </c>
      <c r="B11" s="5" t="s">
        <v>3004</v>
      </c>
      <c r="C11" s="5" t="s">
        <v>3005</v>
      </c>
      <c r="D11" s="5" t="s">
        <v>2960</v>
      </c>
      <c r="E11" s="5" t="s">
        <v>2979</v>
      </c>
      <c r="F11" s="5" t="s">
        <v>2980</v>
      </c>
      <c r="G11" s="5" t="s">
        <v>2963</v>
      </c>
      <c r="H11" s="5" t="s">
        <v>2969</v>
      </c>
      <c r="I11" s="5"/>
      <c r="J11" s="5" t="s">
        <v>2969</v>
      </c>
    </row>
    <row r="12" customFormat="false" ht="16.5" hidden="false" customHeight="true" outlineLevel="0" collapsed="false">
      <c r="A12" s="5" t="s">
        <v>3006</v>
      </c>
      <c r="B12" s="5" t="s">
        <v>3007</v>
      </c>
      <c r="C12" s="5" t="s">
        <v>3008</v>
      </c>
      <c r="D12" s="5" t="s">
        <v>2960</v>
      </c>
      <c r="E12" s="5" t="s">
        <v>2979</v>
      </c>
      <c r="F12" s="5" t="s">
        <v>2980</v>
      </c>
      <c r="G12" s="5" t="s">
        <v>2963</v>
      </c>
      <c r="H12" s="5" t="s">
        <v>2969</v>
      </c>
      <c r="I12" s="5"/>
      <c r="J12" s="5" t="s">
        <v>2969</v>
      </c>
    </row>
    <row r="13" customFormat="false" ht="16.5" hidden="false" customHeight="true" outlineLevel="0" collapsed="false">
      <c r="A13" s="5" t="s">
        <v>3009</v>
      </c>
      <c r="B13" s="5" t="s">
        <v>3010</v>
      </c>
      <c r="C13" s="5" t="s">
        <v>3011</v>
      </c>
      <c r="D13" s="5" t="s">
        <v>2960</v>
      </c>
      <c r="E13" s="5" t="s">
        <v>2979</v>
      </c>
      <c r="F13" s="5" t="s">
        <v>2980</v>
      </c>
      <c r="G13" s="5" t="s">
        <v>2963</v>
      </c>
      <c r="H13" s="5" t="s">
        <v>2969</v>
      </c>
      <c r="I13" s="5"/>
      <c r="J13" s="5" t="s">
        <v>2969</v>
      </c>
    </row>
    <row r="14" customFormat="false" ht="57" hidden="false" customHeight="true" outlineLevel="0" collapsed="false">
      <c r="A14" s="5" t="s">
        <v>3012</v>
      </c>
      <c r="B14" s="5" t="s">
        <v>3013</v>
      </c>
      <c r="C14" s="5" t="s">
        <v>3014</v>
      </c>
      <c r="D14" s="5" t="s">
        <v>2960</v>
      </c>
      <c r="E14" s="5" t="s">
        <v>2961</v>
      </c>
      <c r="F14" s="5" t="s">
        <v>3015</v>
      </c>
      <c r="G14" s="5" t="s">
        <v>2963</v>
      </c>
      <c r="H14" s="5" t="s">
        <v>3016</v>
      </c>
      <c r="I14" s="5"/>
      <c r="J14" s="5" t="s">
        <v>2969</v>
      </c>
    </row>
    <row r="15" customFormat="false" ht="30" hidden="false" customHeight="true" outlineLevel="0" collapsed="false">
      <c r="A15" s="5" t="s">
        <v>3017</v>
      </c>
      <c r="B15" s="5" t="s">
        <v>3018</v>
      </c>
      <c r="C15" s="5" t="s">
        <v>3019</v>
      </c>
      <c r="D15" s="5" t="s">
        <v>2960</v>
      </c>
      <c r="E15" s="5" t="s">
        <v>2979</v>
      </c>
      <c r="F15" s="5" t="s">
        <v>2980</v>
      </c>
      <c r="G15" s="5" t="s">
        <v>2963</v>
      </c>
      <c r="H15" s="5" t="s">
        <v>3020</v>
      </c>
      <c r="I15" s="5"/>
      <c r="J15" s="5" t="s">
        <v>3021</v>
      </c>
    </row>
    <row r="16" customFormat="false" ht="43.5" hidden="false" customHeight="true" outlineLevel="0" collapsed="false">
      <c r="A16" s="5" t="s">
        <v>3022</v>
      </c>
      <c r="B16" s="5" t="s">
        <v>3023</v>
      </c>
      <c r="C16" s="5" t="s">
        <v>3024</v>
      </c>
      <c r="D16" s="5" t="s">
        <v>2960</v>
      </c>
      <c r="E16" s="5" t="s">
        <v>2979</v>
      </c>
      <c r="F16" s="5" t="s">
        <v>2980</v>
      </c>
      <c r="G16" s="5" t="s">
        <v>2963</v>
      </c>
      <c r="H16" s="5" t="s">
        <v>2969</v>
      </c>
      <c r="I16" s="5"/>
      <c r="J16" s="5" t="s">
        <v>3025</v>
      </c>
    </row>
    <row r="17" customFormat="false" ht="30" hidden="false" customHeight="true" outlineLevel="0" collapsed="false">
      <c r="A17" s="5" t="s">
        <v>3026</v>
      </c>
      <c r="B17" s="5" t="s">
        <v>3027</v>
      </c>
      <c r="C17" s="5" t="s">
        <v>3028</v>
      </c>
      <c r="D17" s="5" t="s">
        <v>2960</v>
      </c>
      <c r="E17" s="5" t="s">
        <v>2979</v>
      </c>
      <c r="F17" s="5" t="s">
        <v>2980</v>
      </c>
      <c r="G17" s="5" t="s">
        <v>2963</v>
      </c>
      <c r="H17" s="5" t="s">
        <v>3029</v>
      </c>
      <c r="I17" s="5"/>
      <c r="J17" s="5" t="s">
        <v>2969</v>
      </c>
    </row>
    <row r="18" customFormat="false" ht="84" hidden="false" customHeight="true" outlineLevel="0" collapsed="false">
      <c r="A18" s="5" t="s">
        <v>3030</v>
      </c>
      <c r="B18" s="5" t="s">
        <v>3031</v>
      </c>
      <c r="C18" s="5" t="s">
        <v>3032</v>
      </c>
      <c r="D18" s="5" t="s">
        <v>2960</v>
      </c>
      <c r="E18" s="5" t="s">
        <v>2973</v>
      </c>
      <c r="F18" s="5" t="s">
        <v>3033</v>
      </c>
      <c r="G18" s="5" t="s">
        <v>2963</v>
      </c>
      <c r="H18" s="5" t="s">
        <v>1924</v>
      </c>
      <c r="I18" s="5"/>
      <c r="J18" s="5" t="s">
        <v>3034</v>
      </c>
    </row>
    <row r="19" customFormat="false" ht="57" hidden="false" customHeight="true" outlineLevel="0" collapsed="false">
      <c r="A19" s="5" t="s">
        <v>3035</v>
      </c>
      <c r="B19" s="5" t="s">
        <v>3036</v>
      </c>
      <c r="C19" s="5" t="s">
        <v>3037</v>
      </c>
      <c r="D19" s="5" t="s">
        <v>2960</v>
      </c>
      <c r="E19" s="5" t="s">
        <v>2961</v>
      </c>
      <c r="F19" s="5" t="s">
        <v>3038</v>
      </c>
      <c r="G19" s="5" t="s">
        <v>2963</v>
      </c>
      <c r="H19" s="5" t="s">
        <v>1924</v>
      </c>
      <c r="I19" s="5"/>
      <c r="J19" s="5" t="s">
        <v>3039</v>
      </c>
    </row>
    <row r="20" customFormat="false" ht="30" hidden="false" customHeight="true" outlineLevel="0" collapsed="false">
      <c r="A20" s="5" t="s">
        <v>3040</v>
      </c>
      <c r="B20" s="5" t="s">
        <v>3041</v>
      </c>
      <c r="C20" s="5" t="s">
        <v>3042</v>
      </c>
      <c r="D20" s="5" t="s">
        <v>2960</v>
      </c>
      <c r="E20" s="5" t="s">
        <v>2979</v>
      </c>
      <c r="F20" s="5" t="s">
        <v>2980</v>
      </c>
      <c r="G20" s="5" t="s">
        <v>2963</v>
      </c>
      <c r="H20" s="5" t="s">
        <v>2969</v>
      </c>
      <c r="I20" s="5"/>
      <c r="J20" s="5" t="s">
        <v>2969</v>
      </c>
    </row>
    <row r="21" customFormat="false" ht="30" hidden="false" customHeight="true" outlineLevel="0" collapsed="false">
      <c r="A21" s="5" t="s">
        <v>3043</v>
      </c>
      <c r="B21" s="5" t="s">
        <v>3044</v>
      </c>
      <c r="C21" s="5" t="s">
        <v>3045</v>
      </c>
      <c r="D21" s="5" t="s">
        <v>2960</v>
      </c>
      <c r="E21" s="5" t="s">
        <v>2979</v>
      </c>
      <c r="F21" s="5" t="s">
        <v>2980</v>
      </c>
      <c r="G21" s="5" t="s">
        <v>2963</v>
      </c>
      <c r="H21" s="5" t="s">
        <v>2969</v>
      </c>
      <c r="I21" s="5"/>
      <c r="J21" s="5" t="s">
        <v>3046</v>
      </c>
    </row>
    <row r="22" customFormat="false" ht="16.5" hidden="false" customHeight="true" outlineLevel="0" collapsed="false">
      <c r="A22" s="5" t="s">
        <v>3047</v>
      </c>
      <c r="B22" s="5" t="s">
        <v>3048</v>
      </c>
      <c r="C22" s="5" t="s">
        <v>3049</v>
      </c>
      <c r="D22" s="5" t="s">
        <v>2960</v>
      </c>
      <c r="E22" s="5" t="s">
        <v>2979</v>
      </c>
      <c r="F22" s="5" t="s">
        <v>2980</v>
      </c>
      <c r="G22" s="5" t="s">
        <v>2963</v>
      </c>
      <c r="H22" s="5" t="s">
        <v>2969</v>
      </c>
      <c r="I22" s="5"/>
      <c r="J22" s="5" t="s">
        <v>2969</v>
      </c>
    </row>
    <row r="23" customFormat="false" ht="30" hidden="false" customHeight="true" outlineLevel="0" collapsed="false">
      <c r="A23" s="5" t="s">
        <v>3050</v>
      </c>
      <c r="B23" s="5" t="s">
        <v>3051</v>
      </c>
      <c r="C23" s="5" t="s">
        <v>3052</v>
      </c>
      <c r="D23" s="5" t="s">
        <v>2960</v>
      </c>
      <c r="E23" s="5" t="s">
        <v>2979</v>
      </c>
      <c r="F23" s="5" t="s">
        <v>2980</v>
      </c>
      <c r="G23" s="5" t="s">
        <v>2963</v>
      </c>
      <c r="H23" s="5" t="s">
        <v>2969</v>
      </c>
      <c r="I23" s="5"/>
      <c r="J23" s="5" t="s">
        <v>2969</v>
      </c>
    </row>
    <row r="24" customFormat="false" ht="30" hidden="false" customHeight="true" outlineLevel="0" collapsed="false">
      <c r="A24" s="5" t="s">
        <v>3053</v>
      </c>
      <c r="B24" s="5" t="s">
        <v>3054</v>
      </c>
      <c r="C24" s="5" t="s">
        <v>3055</v>
      </c>
      <c r="D24" s="5" t="s">
        <v>2960</v>
      </c>
      <c r="E24" s="5" t="s">
        <v>2979</v>
      </c>
      <c r="F24" s="5" t="s">
        <v>2980</v>
      </c>
      <c r="G24" s="5" t="s">
        <v>2963</v>
      </c>
      <c r="H24" s="5" t="s">
        <v>2969</v>
      </c>
      <c r="I24" s="5"/>
      <c r="J24" s="5" t="s">
        <v>2969</v>
      </c>
    </row>
    <row r="25" customFormat="false" ht="124.5" hidden="false" customHeight="true" outlineLevel="0" collapsed="false">
      <c r="A25" s="5" t="s">
        <v>3056</v>
      </c>
      <c r="B25" s="5" t="s">
        <v>3057</v>
      </c>
      <c r="C25" s="5" t="s">
        <v>3058</v>
      </c>
      <c r="D25" s="5" t="s">
        <v>2960</v>
      </c>
      <c r="E25" s="5" t="s">
        <v>2979</v>
      </c>
      <c r="F25" s="5" t="s">
        <v>2980</v>
      </c>
      <c r="G25" s="5" t="s">
        <v>2963</v>
      </c>
      <c r="H25" s="5" t="s">
        <v>3059</v>
      </c>
      <c r="I25" s="5" t="s">
        <v>3060</v>
      </c>
      <c r="J25" s="5" t="s">
        <v>3061</v>
      </c>
    </row>
    <row r="26" customFormat="false" ht="43.5" hidden="false" customHeight="true" outlineLevel="0" collapsed="false">
      <c r="A26" s="5" t="s">
        <v>3062</v>
      </c>
      <c r="B26" s="5" t="s">
        <v>3063</v>
      </c>
      <c r="C26" s="5" t="s">
        <v>3064</v>
      </c>
      <c r="D26" s="5" t="s">
        <v>2960</v>
      </c>
      <c r="E26" s="5" t="s">
        <v>2979</v>
      </c>
      <c r="F26" s="5" t="s">
        <v>2980</v>
      </c>
      <c r="G26" s="5" t="s">
        <v>3065</v>
      </c>
      <c r="H26" s="5" t="s">
        <v>3066</v>
      </c>
      <c r="I26" s="5"/>
      <c r="J26" s="5" t="s">
        <v>3067</v>
      </c>
    </row>
    <row r="27" customFormat="false" ht="30" hidden="false" customHeight="true" outlineLevel="0" collapsed="false">
      <c r="A27" s="5" t="s">
        <v>3068</v>
      </c>
      <c r="B27" s="5" t="s">
        <v>3069</v>
      </c>
      <c r="C27" s="5" t="s">
        <v>3070</v>
      </c>
      <c r="D27" s="5" t="s">
        <v>2960</v>
      </c>
      <c r="E27" s="5" t="s">
        <v>2979</v>
      </c>
      <c r="F27" s="5" t="s">
        <v>2980</v>
      </c>
      <c r="G27" s="5" t="s">
        <v>2963</v>
      </c>
      <c r="H27" s="5" t="s">
        <v>2969</v>
      </c>
      <c r="I27" s="5"/>
      <c r="J27" s="5" t="s">
        <v>3071</v>
      </c>
    </row>
    <row r="28" customFormat="false" ht="70.5" hidden="false" customHeight="true" outlineLevel="0" collapsed="false">
      <c r="A28" s="5" t="s">
        <v>3072</v>
      </c>
      <c r="B28" s="5" t="s">
        <v>3073</v>
      </c>
      <c r="C28" s="5" t="s">
        <v>3074</v>
      </c>
      <c r="D28" s="5" t="s">
        <v>2960</v>
      </c>
      <c r="E28" s="5" t="s">
        <v>2979</v>
      </c>
      <c r="F28" s="5" t="s">
        <v>2980</v>
      </c>
      <c r="G28" s="5" t="s">
        <v>3075</v>
      </c>
      <c r="H28" s="5" t="s">
        <v>3076</v>
      </c>
      <c r="I28" s="5"/>
      <c r="J28" s="5" t="s">
        <v>3077</v>
      </c>
    </row>
    <row r="29" customFormat="false" ht="43.5" hidden="false" customHeight="true" outlineLevel="0" collapsed="false">
      <c r="A29" s="5" t="s">
        <v>3078</v>
      </c>
      <c r="B29" s="5" t="s">
        <v>3079</v>
      </c>
      <c r="C29" s="5" t="s">
        <v>3080</v>
      </c>
      <c r="D29" s="5" t="s">
        <v>53</v>
      </c>
      <c r="E29" s="5" t="s">
        <v>2979</v>
      </c>
      <c r="F29" s="5" t="s">
        <v>2980</v>
      </c>
      <c r="G29" s="5" t="s">
        <v>3081</v>
      </c>
      <c r="H29" s="5" t="s">
        <v>3082</v>
      </c>
      <c r="I29" s="5"/>
      <c r="J29" s="5" t="s">
        <v>3083</v>
      </c>
    </row>
    <row r="30" customFormat="false" ht="43.5" hidden="false" customHeight="true" outlineLevel="0" collapsed="false">
      <c r="A30" s="5" t="s">
        <v>3084</v>
      </c>
      <c r="B30" s="5" t="s">
        <v>3085</v>
      </c>
      <c r="C30" s="5" t="s">
        <v>3086</v>
      </c>
      <c r="D30" s="5" t="s">
        <v>53</v>
      </c>
      <c r="E30" s="5" t="s">
        <v>2961</v>
      </c>
      <c r="F30" s="5" t="s">
        <v>3087</v>
      </c>
      <c r="G30" s="5" t="s">
        <v>2963</v>
      </c>
      <c r="H30" s="5" t="s">
        <v>727</v>
      </c>
      <c r="I30" s="5"/>
      <c r="J30" s="5" t="s">
        <v>2969</v>
      </c>
    </row>
    <row r="31" customFormat="false" ht="43.5" hidden="false" customHeight="true" outlineLevel="0" collapsed="false">
      <c r="A31" s="5" t="s">
        <v>3088</v>
      </c>
      <c r="B31" s="5" t="s">
        <v>3089</v>
      </c>
      <c r="C31" s="5" t="s">
        <v>3090</v>
      </c>
      <c r="D31" s="5" t="s">
        <v>53</v>
      </c>
      <c r="E31" s="5" t="s">
        <v>2961</v>
      </c>
      <c r="F31" s="5" t="s">
        <v>3091</v>
      </c>
      <c r="G31" s="5" t="s">
        <v>2963</v>
      </c>
      <c r="H31" s="5" t="s">
        <v>727</v>
      </c>
      <c r="I31" s="5"/>
      <c r="J31" s="5" t="s">
        <v>2969</v>
      </c>
    </row>
    <row r="32" customFormat="false" ht="30" hidden="false" customHeight="true" outlineLevel="0" collapsed="false">
      <c r="A32" s="5" t="s">
        <v>3092</v>
      </c>
      <c r="B32" s="5" t="s">
        <v>3093</v>
      </c>
      <c r="C32" s="5" t="s">
        <v>3094</v>
      </c>
      <c r="D32" s="5" t="s">
        <v>53</v>
      </c>
      <c r="E32" s="5" t="s">
        <v>2979</v>
      </c>
      <c r="F32" s="5" t="s">
        <v>2980</v>
      </c>
      <c r="G32" s="5" t="s">
        <v>2963</v>
      </c>
      <c r="H32" s="5" t="s">
        <v>793</v>
      </c>
      <c r="I32" s="5"/>
      <c r="J32" s="5" t="s">
        <v>2969</v>
      </c>
    </row>
    <row r="33" customFormat="false" ht="43.5" hidden="false" customHeight="true" outlineLevel="0" collapsed="false">
      <c r="A33" s="5" t="s">
        <v>3095</v>
      </c>
      <c r="B33" s="5" t="s">
        <v>3096</v>
      </c>
      <c r="C33" s="5" t="s">
        <v>3097</v>
      </c>
      <c r="D33" s="5" t="s">
        <v>53</v>
      </c>
      <c r="E33" s="5" t="s">
        <v>2961</v>
      </c>
      <c r="F33" s="5" t="s">
        <v>3098</v>
      </c>
      <c r="G33" s="5" t="s">
        <v>2963</v>
      </c>
      <c r="H33" s="5" t="s">
        <v>2969</v>
      </c>
      <c r="I33" s="5"/>
      <c r="J33" s="5" t="s">
        <v>2969</v>
      </c>
    </row>
    <row r="34" customFormat="false" ht="43.5" hidden="false" customHeight="true" outlineLevel="0" collapsed="false">
      <c r="A34" s="5" t="s">
        <v>3099</v>
      </c>
      <c r="B34" s="5" t="s">
        <v>3100</v>
      </c>
      <c r="C34" s="5" t="s">
        <v>3101</v>
      </c>
      <c r="D34" s="5" t="s">
        <v>53</v>
      </c>
      <c r="E34" s="5" t="s">
        <v>2979</v>
      </c>
      <c r="F34" s="5" t="s">
        <v>2980</v>
      </c>
      <c r="G34" s="5" t="s">
        <v>2963</v>
      </c>
      <c r="H34" s="5" t="s">
        <v>1838</v>
      </c>
      <c r="I34" s="5"/>
      <c r="J34" s="5" t="s">
        <v>3102</v>
      </c>
    </row>
    <row r="35" customFormat="false" ht="57" hidden="false" customHeight="true" outlineLevel="0" collapsed="false">
      <c r="A35" s="5" t="s">
        <v>3103</v>
      </c>
      <c r="B35" s="5" t="s">
        <v>3104</v>
      </c>
      <c r="C35" s="5" t="s">
        <v>3105</v>
      </c>
      <c r="D35" s="5" t="s">
        <v>53</v>
      </c>
      <c r="E35" s="5" t="s">
        <v>2961</v>
      </c>
      <c r="F35" s="5" t="s">
        <v>3106</v>
      </c>
      <c r="G35" s="5" t="s">
        <v>2963</v>
      </c>
      <c r="H35" s="5" t="s">
        <v>1848</v>
      </c>
      <c r="I35" s="5"/>
      <c r="J35" s="5" t="s">
        <v>2969</v>
      </c>
    </row>
    <row r="36" customFormat="false" ht="30" hidden="false" customHeight="true" outlineLevel="0" collapsed="false">
      <c r="A36" s="5" t="s">
        <v>3107</v>
      </c>
      <c r="B36" s="5" t="s">
        <v>3108</v>
      </c>
      <c r="C36" s="5" t="s">
        <v>3109</v>
      </c>
      <c r="D36" s="5" t="s">
        <v>53</v>
      </c>
      <c r="E36" s="5" t="s">
        <v>2979</v>
      </c>
      <c r="F36" s="5" t="s">
        <v>2980</v>
      </c>
      <c r="G36" s="5" t="s">
        <v>2963</v>
      </c>
      <c r="H36" s="5" t="s">
        <v>1863</v>
      </c>
      <c r="I36" s="5"/>
      <c r="J36" s="5" t="s">
        <v>2969</v>
      </c>
    </row>
    <row r="37" customFormat="false" ht="30" hidden="false" customHeight="true" outlineLevel="0" collapsed="false">
      <c r="A37" s="5" t="s">
        <v>3110</v>
      </c>
      <c r="B37" s="5" t="s">
        <v>3111</v>
      </c>
      <c r="C37" s="5" t="s">
        <v>3112</v>
      </c>
      <c r="D37" s="5" t="s">
        <v>53</v>
      </c>
      <c r="E37" s="5" t="s">
        <v>2979</v>
      </c>
      <c r="F37" s="5" t="s">
        <v>2980</v>
      </c>
      <c r="G37" s="5" t="s">
        <v>2963</v>
      </c>
      <c r="H37" s="5" t="s">
        <v>1863</v>
      </c>
      <c r="I37" s="5"/>
      <c r="J37" s="5" t="s">
        <v>2969</v>
      </c>
    </row>
    <row r="38" customFormat="false" ht="30" hidden="false" customHeight="true" outlineLevel="0" collapsed="false">
      <c r="A38" s="5" t="s">
        <v>3113</v>
      </c>
      <c r="B38" s="5" t="s">
        <v>3114</v>
      </c>
      <c r="C38" s="5" t="s">
        <v>3115</v>
      </c>
      <c r="D38" s="5" t="s">
        <v>53</v>
      </c>
      <c r="E38" s="5" t="s">
        <v>2979</v>
      </c>
      <c r="F38" s="5" t="s">
        <v>2980</v>
      </c>
      <c r="G38" s="5" t="s">
        <v>2963</v>
      </c>
      <c r="H38" s="5" t="s">
        <v>1877</v>
      </c>
      <c r="I38" s="5"/>
      <c r="J38" s="5" t="s">
        <v>2969</v>
      </c>
    </row>
    <row r="39" customFormat="false" ht="111" hidden="false" customHeight="true" outlineLevel="0" collapsed="false">
      <c r="A39" s="5" t="s">
        <v>3116</v>
      </c>
      <c r="B39" s="5" t="s">
        <v>3117</v>
      </c>
      <c r="C39" s="5" t="s">
        <v>3118</v>
      </c>
      <c r="D39" s="5" t="s">
        <v>53</v>
      </c>
      <c r="E39" s="5" t="s">
        <v>2961</v>
      </c>
      <c r="F39" s="5" t="s">
        <v>3119</v>
      </c>
      <c r="G39" s="5" t="s">
        <v>2963</v>
      </c>
      <c r="H39" s="5" t="s">
        <v>1877</v>
      </c>
      <c r="I39" s="5"/>
      <c r="J39" s="5" t="s">
        <v>3120</v>
      </c>
    </row>
    <row r="40" customFormat="false" ht="30" hidden="false" customHeight="true" outlineLevel="0" collapsed="false">
      <c r="A40" s="5" t="s">
        <v>3121</v>
      </c>
      <c r="B40" s="5" t="s">
        <v>3122</v>
      </c>
      <c r="C40" s="5" t="s">
        <v>3123</v>
      </c>
      <c r="D40" s="5" t="s">
        <v>53</v>
      </c>
      <c r="E40" s="5" t="s">
        <v>2979</v>
      </c>
      <c r="F40" s="5" t="s">
        <v>2980</v>
      </c>
      <c r="G40" s="5" t="s">
        <v>2963</v>
      </c>
      <c r="H40" s="5" t="s">
        <v>1877</v>
      </c>
      <c r="I40" s="5"/>
      <c r="J40" s="5" t="s">
        <v>2969</v>
      </c>
    </row>
    <row r="41" customFormat="false" ht="30" hidden="false" customHeight="true" outlineLevel="0" collapsed="false">
      <c r="A41" s="5" t="s">
        <v>3124</v>
      </c>
      <c r="B41" s="5" t="s">
        <v>3125</v>
      </c>
      <c r="C41" s="5" t="s">
        <v>3126</v>
      </c>
      <c r="D41" s="5" t="s">
        <v>53</v>
      </c>
      <c r="E41" s="5" t="s">
        <v>2979</v>
      </c>
      <c r="F41" s="5" t="s">
        <v>2980</v>
      </c>
      <c r="G41" s="5" t="s">
        <v>2963</v>
      </c>
      <c r="H41" s="5" t="s">
        <v>1901</v>
      </c>
      <c r="I41" s="5"/>
      <c r="J41" s="5" t="s">
        <v>2969</v>
      </c>
    </row>
    <row r="42" customFormat="false" ht="43.5" hidden="false" customHeight="true" outlineLevel="0" collapsed="false">
      <c r="A42" s="5" t="s">
        <v>3127</v>
      </c>
      <c r="B42" s="5" t="s">
        <v>3128</v>
      </c>
      <c r="C42" s="5" t="s">
        <v>3129</v>
      </c>
      <c r="D42" s="5" t="s">
        <v>53</v>
      </c>
      <c r="E42" s="5" t="s">
        <v>2979</v>
      </c>
      <c r="F42" s="5" t="s">
        <v>2980</v>
      </c>
      <c r="G42" s="5" t="s">
        <v>3081</v>
      </c>
      <c r="H42" s="5" t="s">
        <v>3130</v>
      </c>
      <c r="I42" s="5"/>
      <c r="J42" s="5" t="s">
        <v>2969</v>
      </c>
    </row>
    <row r="43" customFormat="false" ht="30" hidden="false" customHeight="true" outlineLevel="0" collapsed="false">
      <c r="A43" s="5" t="s">
        <v>3131</v>
      </c>
      <c r="B43" s="5" t="s">
        <v>3132</v>
      </c>
      <c r="C43" s="5" t="s">
        <v>3133</v>
      </c>
      <c r="D43" s="5" t="s">
        <v>53</v>
      </c>
      <c r="E43" s="5" t="s">
        <v>2979</v>
      </c>
      <c r="F43" s="5" t="s">
        <v>2980</v>
      </c>
      <c r="G43" s="5" t="s">
        <v>2963</v>
      </c>
      <c r="H43" s="5" t="s">
        <v>1901</v>
      </c>
      <c r="I43" s="5"/>
      <c r="J43" s="5" t="s">
        <v>2969</v>
      </c>
    </row>
    <row r="44" customFormat="false" ht="30" hidden="false" customHeight="true" outlineLevel="0" collapsed="false">
      <c r="A44" s="5" t="s">
        <v>3134</v>
      </c>
      <c r="B44" s="5" t="s">
        <v>3135</v>
      </c>
      <c r="C44" s="5" t="s">
        <v>3136</v>
      </c>
      <c r="D44" s="5" t="s">
        <v>53</v>
      </c>
      <c r="E44" s="5" t="s">
        <v>2979</v>
      </c>
      <c r="F44" s="5" t="s">
        <v>2980</v>
      </c>
      <c r="G44" s="5" t="s">
        <v>2963</v>
      </c>
      <c r="H44" s="5" t="s">
        <v>1901</v>
      </c>
      <c r="I44" s="5"/>
      <c r="J44" s="5" t="s">
        <v>2969</v>
      </c>
    </row>
    <row r="45" customFormat="false" ht="30" hidden="false" customHeight="true" outlineLevel="0" collapsed="false">
      <c r="A45" s="5" t="s">
        <v>3137</v>
      </c>
      <c r="B45" s="5" t="s">
        <v>3138</v>
      </c>
      <c r="C45" s="5" t="s">
        <v>3139</v>
      </c>
      <c r="D45" s="5" t="s">
        <v>53</v>
      </c>
      <c r="E45" s="5" t="s">
        <v>2979</v>
      </c>
      <c r="F45" s="5" t="s">
        <v>2980</v>
      </c>
      <c r="G45" s="5" t="s">
        <v>2963</v>
      </c>
      <c r="H45" s="5" t="s">
        <v>2969</v>
      </c>
      <c r="I45" s="5"/>
      <c r="J45" s="5" t="s">
        <v>2969</v>
      </c>
    </row>
    <row r="46" customFormat="false" ht="70.5" hidden="false" customHeight="true" outlineLevel="0" collapsed="false">
      <c r="A46" s="5" t="s">
        <v>3140</v>
      </c>
      <c r="B46" s="5" t="s">
        <v>3141</v>
      </c>
      <c r="C46" s="5" t="s">
        <v>3142</v>
      </c>
      <c r="D46" s="5" t="s">
        <v>53</v>
      </c>
      <c r="E46" s="5" t="s">
        <v>2979</v>
      </c>
      <c r="F46" s="5" t="s">
        <v>2980</v>
      </c>
      <c r="G46" s="5" t="s">
        <v>2963</v>
      </c>
      <c r="H46" s="5" t="s">
        <v>3143</v>
      </c>
      <c r="I46" s="5"/>
      <c r="J46" s="5" t="s">
        <v>3144</v>
      </c>
    </row>
    <row r="47" customFormat="false" ht="30" hidden="false" customHeight="true" outlineLevel="0" collapsed="false">
      <c r="A47" s="5" t="s">
        <v>3145</v>
      </c>
      <c r="B47" s="5" t="s">
        <v>3146</v>
      </c>
      <c r="C47" s="5" t="s">
        <v>3147</v>
      </c>
      <c r="D47" s="5" t="s">
        <v>49</v>
      </c>
      <c r="E47" s="5" t="s">
        <v>2979</v>
      </c>
      <c r="F47" s="5" t="s">
        <v>2980</v>
      </c>
      <c r="G47" s="5" t="s">
        <v>2963</v>
      </c>
      <c r="H47" s="5" t="s">
        <v>2969</v>
      </c>
      <c r="I47" s="5"/>
      <c r="J47" s="5" t="s">
        <v>2969</v>
      </c>
    </row>
    <row r="48" customFormat="false" ht="43.5" hidden="false" customHeight="true" outlineLevel="0" collapsed="false">
      <c r="A48" s="5" t="s">
        <v>3148</v>
      </c>
      <c r="B48" s="5" t="s">
        <v>3149</v>
      </c>
      <c r="C48" s="5" t="s">
        <v>3150</v>
      </c>
      <c r="D48" s="5" t="s">
        <v>49</v>
      </c>
      <c r="E48" s="5" t="s">
        <v>2979</v>
      </c>
      <c r="F48" s="5" t="s">
        <v>3151</v>
      </c>
      <c r="G48" s="5" t="s">
        <v>2963</v>
      </c>
      <c r="H48" s="5" t="s">
        <v>150</v>
      </c>
      <c r="I48" s="5"/>
      <c r="J48" s="5" t="s">
        <v>3152</v>
      </c>
    </row>
    <row r="49" customFormat="false" ht="30" hidden="false" customHeight="true" outlineLevel="0" collapsed="false">
      <c r="A49" s="5" t="s">
        <v>3153</v>
      </c>
      <c r="B49" s="5" t="s">
        <v>3154</v>
      </c>
      <c r="C49" s="5" t="s">
        <v>3155</v>
      </c>
      <c r="D49" s="5" t="s">
        <v>49</v>
      </c>
      <c r="E49" s="5" t="s">
        <v>2979</v>
      </c>
      <c r="F49" s="5" t="s">
        <v>3151</v>
      </c>
      <c r="G49" s="5" t="s">
        <v>2963</v>
      </c>
      <c r="H49" s="5" t="s">
        <v>1618</v>
      </c>
      <c r="I49" s="5"/>
      <c r="J49" s="5" t="s">
        <v>2969</v>
      </c>
    </row>
    <row r="50" customFormat="false" ht="30" hidden="false" customHeight="true" outlineLevel="0" collapsed="false">
      <c r="A50" s="5" t="s">
        <v>3156</v>
      </c>
      <c r="B50" s="5" t="s">
        <v>3157</v>
      </c>
      <c r="C50" s="5" t="s">
        <v>3158</v>
      </c>
      <c r="D50" s="5" t="s">
        <v>49</v>
      </c>
      <c r="E50" s="5" t="s">
        <v>2979</v>
      </c>
      <c r="F50" s="5" t="s">
        <v>3151</v>
      </c>
      <c r="G50" s="5" t="s">
        <v>2963</v>
      </c>
      <c r="H50" s="5" t="s">
        <v>1618</v>
      </c>
      <c r="I50" s="5"/>
      <c r="J50" s="5" t="s">
        <v>2969</v>
      </c>
    </row>
    <row r="51" customFormat="false" ht="30" hidden="false" customHeight="true" outlineLevel="0" collapsed="false">
      <c r="A51" s="5" t="s">
        <v>3159</v>
      </c>
      <c r="B51" s="5" t="s">
        <v>3160</v>
      </c>
      <c r="C51" s="5" t="s">
        <v>3161</v>
      </c>
      <c r="D51" s="5" t="s">
        <v>49</v>
      </c>
      <c r="E51" s="5" t="s">
        <v>2979</v>
      </c>
      <c r="F51" s="5" t="s">
        <v>3151</v>
      </c>
      <c r="G51" s="5" t="s">
        <v>2963</v>
      </c>
      <c r="H51" s="5" t="s">
        <v>1633</v>
      </c>
      <c r="I51" s="5"/>
      <c r="J51" s="5" t="s">
        <v>2969</v>
      </c>
    </row>
    <row r="52" customFormat="false" ht="30" hidden="false" customHeight="true" outlineLevel="0" collapsed="false">
      <c r="A52" s="5" t="s">
        <v>3162</v>
      </c>
      <c r="B52" s="5" t="s">
        <v>3163</v>
      </c>
      <c r="C52" s="5" t="s">
        <v>3164</v>
      </c>
      <c r="D52" s="5" t="s">
        <v>49</v>
      </c>
      <c r="E52" s="5" t="s">
        <v>2979</v>
      </c>
      <c r="F52" s="5" t="s">
        <v>3151</v>
      </c>
      <c r="G52" s="5" t="s">
        <v>2963</v>
      </c>
      <c r="H52" s="5" t="s">
        <v>1633</v>
      </c>
      <c r="I52" s="5"/>
      <c r="J52" s="5" t="s">
        <v>2969</v>
      </c>
    </row>
    <row r="53" customFormat="false" ht="30" hidden="false" customHeight="true" outlineLevel="0" collapsed="false">
      <c r="A53" s="5" t="s">
        <v>3165</v>
      </c>
      <c r="B53" s="5" t="s">
        <v>3166</v>
      </c>
      <c r="C53" s="5" t="s">
        <v>3167</v>
      </c>
      <c r="D53" s="5" t="s">
        <v>49</v>
      </c>
      <c r="E53" s="5" t="s">
        <v>2979</v>
      </c>
      <c r="F53" s="5" t="s">
        <v>3151</v>
      </c>
      <c r="G53" s="5" t="s">
        <v>2963</v>
      </c>
      <c r="H53" s="5" t="s">
        <v>1633</v>
      </c>
      <c r="I53" s="5"/>
      <c r="J53" s="5" t="s">
        <v>2969</v>
      </c>
    </row>
    <row r="54" customFormat="false" ht="30" hidden="false" customHeight="true" outlineLevel="0" collapsed="false">
      <c r="A54" s="5" t="s">
        <v>3168</v>
      </c>
      <c r="B54" s="5" t="s">
        <v>3169</v>
      </c>
      <c r="C54" s="5" t="s">
        <v>3170</v>
      </c>
      <c r="D54" s="5" t="s">
        <v>49</v>
      </c>
      <c r="E54" s="5" t="s">
        <v>2979</v>
      </c>
      <c r="F54" s="5" t="s">
        <v>3151</v>
      </c>
      <c r="G54" s="5" t="s">
        <v>2963</v>
      </c>
      <c r="H54" s="5" t="s">
        <v>1633</v>
      </c>
      <c r="I54" s="5"/>
      <c r="J54" s="5" t="s">
        <v>2969</v>
      </c>
    </row>
    <row r="55" customFormat="false" ht="30" hidden="false" customHeight="true" outlineLevel="0" collapsed="false">
      <c r="A55" s="5" t="s">
        <v>3171</v>
      </c>
      <c r="B55" s="5" t="s">
        <v>3172</v>
      </c>
      <c r="C55" s="5" t="s">
        <v>3173</v>
      </c>
      <c r="D55" s="5" t="s">
        <v>49</v>
      </c>
      <c r="E55" s="5" t="s">
        <v>2979</v>
      </c>
      <c r="F55" s="5" t="s">
        <v>3151</v>
      </c>
      <c r="G55" s="5" t="s">
        <v>2963</v>
      </c>
      <c r="H55" s="5" t="s">
        <v>1654</v>
      </c>
      <c r="I55" s="5"/>
      <c r="J55" s="5" t="s">
        <v>2969</v>
      </c>
    </row>
    <row r="56" customFormat="false" ht="43.5" hidden="false" customHeight="true" outlineLevel="0" collapsed="false">
      <c r="A56" s="5" t="s">
        <v>3174</v>
      </c>
      <c r="B56" s="5" t="s">
        <v>3175</v>
      </c>
      <c r="C56" s="5" t="s">
        <v>3176</v>
      </c>
      <c r="D56" s="5" t="s">
        <v>49</v>
      </c>
      <c r="E56" s="5" t="s">
        <v>2979</v>
      </c>
      <c r="F56" s="5" t="s">
        <v>2980</v>
      </c>
      <c r="G56" s="5" t="s">
        <v>1668</v>
      </c>
      <c r="H56" s="5" t="s">
        <v>3177</v>
      </c>
      <c r="I56" s="5"/>
      <c r="J56" s="5" t="s">
        <v>2969</v>
      </c>
    </row>
    <row r="57" customFormat="false" ht="43.5" hidden="false" customHeight="true" outlineLevel="0" collapsed="false">
      <c r="A57" s="5" t="s">
        <v>3178</v>
      </c>
      <c r="B57" s="5" t="s">
        <v>3179</v>
      </c>
      <c r="C57" s="5" t="s">
        <v>3180</v>
      </c>
      <c r="D57" s="5" t="s">
        <v>49</v>
      </c>
      <c r="E57" s="5" t="s">
        <v>2979</v>
      </c>
      <c r="F57" s="5" t="s">
        <v>2980</v>
      </c>
      <c r="G57" s="5" t="s">
        <v>3181</v>
      </c>
      <c r="H57" s="5" t="s">
        <v>3177</v>
      </c>
      <c r="I57" s="5"/>
      <c r="J57" s="5" t="s">
        <v>2969</v>
      </c>
    </row>
    <row r="58" customFormat="false" ht="30" hidden="false" customHeight="true" outlineLevel="0" collapsed="false">
      <c r="A58" s="5" t="s">
        <v>3182</v>
      </c>
      <c r="B58" s="5" t="s">
        <v>3183</v>
      </c>
      <c r="C58" s="5" t="s">
        <v>3184</v>
      </c>
      <c r="D58" s="5" t="s">
        <v>49</v>
      </c>
      <c r="E58" s="5" t="s">
        <v>2979</v>
      </c>
      <c r="F58" s="5" t="s">
        <v>3151</v>
      </c>
      <c r="G58" s="5" t="s">
        <v>2963</v>
      </c>
      <c r="H58" s="5" t="s">
        <v>1674</v>
      </c>
      <c r="I58" s="5"/>
      <c r="J58" s="5" t="s">
        <v>2969</v>
      </c>
    </row>
    <row r="59" customFormat="false" ht="57" hidden="false" customHeight="true" outlineLevel="0" collapsed="false">
      <c r="A59" s="5" t="s">
        <v>3185</v>
      </c>
      <c r="B59" s="5" t="s">
        <v>3186</v>
      </c>
      <c r="C59" s="5" t="s">
        <v>3187</v>
      </c>
      <c r="D59" s="5" t="s">
        <v>49</v>
      </c>
      <c r="E59" s="5" t="s">
        <v>2979</v>
      </c>
      <c r="F59" s="5" t="s">
        <v>3151</v>
      </c>
      <c r="G59" s="5" t="s">
        <v>2963</v>
      </c>
      <c r="H59" s="5" t="s">
        <v>1674</v>
      </c>
      <c r="I59" s="5"/>
      <c r="J59" s="5" t="s">
        <v>3188</v>
      </c>
    </row>
    <row r="60" customFormat="false" ht="30" hidden="false" customHeight="true" outlineLevel="0" collapsed="false">
      <c r="A60" s="5" t="s">
        <v>3189</v>
      </c>
      <c r="B60" s="5" t="s">
        <v>3190</v>
      </c>
      <c r="C60" s="5" t="s">
        <v>3191</v>
      </c>
      <c r="D60" s="5" t="s">
        <v>49</v>
      </c>
      <c r="E60" s="5" t="s">
        <v>2979</v>
      </c>
      <c r="F60" s="5" t="s">
        <v>3151</v>
      </c>
      <c r="G60" s="5" t="s">
        <v>2963</v>
      </c>
      <c r="H60" s="5" t="s">
        <v>1674</v>
      </c>
      <c r="I60" s="5"/>
      <c r="J60" s="5" t="s">
        <v>2969</v>
      </c>
    </row>
    <row r="61" customFormat="false" ht="30" hidden="false" customHeight="true" outlineLevel="0" collapsed="false">
      <c r="A61" s="5" t="s">
        <v>3192</v>
      </c>
      <c r="B61" s="5" t="s">
        <v>3193</v>
      </c>
      <c r="C61" s="5" t="s">
        <v>3194</v>
      </c>
      <c r="D61" s="5" t="s">
        <v>49</v>
      </c>
      <c r="E61" s="5" t="s">
        <v>2979</v>
      </c>
      <c r="F61" s="5" t="s">
        <v>3151</v>
      </c>
      <c r="G61" s="5" t="s">
        <v>2963</v>
      </c>
      <c r="H61" s="5" t="s">
        <v>1698</v>
      </c>
      <c r="I61" s="5"/>
      <c r="J61" s="5" t="s">
        <v>2969</v>
      </c>
    </row>
    <row r="62" customFormat="false" ht="43.5" hidden="false" customHeight="true" outlineLevel="0" collapsed="false">
      <c r="A62" s="5" t="s">
        <v>3195</v>
      </c>
      <c r="B62" s="5" t="s">
        <v>3196</v>
      </c>
      <c r="C62" s="5" t="s">
        <v>3197</v>
      </c>
      <c r="D62" s="5" t="s">
        <v>49</v>
      </c>
      <c r="E62" s="5" t="s">
        <v>2979</v>
      </c>
      <c r="F62" s="5" t="s">
        <v>3151</v>
      </c>
      <c r="G62" s="5" t="s">
        <v>2963</v>
      </c>
      <c r="H62" s="5" t="s">
        <v>1698</v>
      </c>
      <c r="I62" s="5"/>
      <c r="J62" s="5" t="s">
        <v>2969</v>
      </c>
    </row>
    <row r="63" customFormat="false" ht="30" hidden="false" customHeight="true" outlineLevel="0" collapsed="false">
      <c r="A63" s="5" t="s">
        <v>3198</v>
      </c>
      <c r="B63" s="5" t="s">
        <v>3199</v>
      </c>
      <c r="C63" s="5" t="s">
        <v>3200</v>
      </c>
      <c r="D63" s="5" t="s">
        <v>49</v>
      </c>
      <c r="E63" s="5" t="s">
        <v>2979</v>
      </c>
      <c r="F63" s="5" t="s">
        <v>3201</v>
      </c>
      <c r="G63" s="5" t="s">
        <v>3202</v>
      </c>
      <c r="H63" s="5" t="s">
        <v>3203</v>
      </c>
      <c r="I63" s="5"/>
      <c r="J63" s="5" t="s">
        <v>2969</v>
      </c>
    </row>
    <row r="64" customFormat="false" ht="43.5" hidden="false" customHeight="true" outlineLevel="0" collapsed="false">
      <c r="A64" s="5" t="s">
        <v>3204</v>
      </c>
      <c r="B64" s="5" t="s">
        <v>3205</v>
      </c>
      <c r="C64" s="5" t="s">
        <v>3206</v>
      </c>
      <c r="D64" s="5" t="s">
        <v>49</v>
      </c>
      <c r="E64" s="5" t="s">
        <v>2979</v>
      </c>
      <c r="F64" s="5" t="s">
        <v>3201</v>
      </c>
      <c r="G64" s="5" t="s">
        <v>3207</v>
      </c>
      <c r="H64" s="5" t="s">
        <v>3203</v>
      </c>
      <c r="I64" s="5"/>
      <c r="J64" s="5" t="s">
        <v>2969</v>
      </c>
    </row>
    <row r="65" customFormat="false" ht="57" hidden="false" customHeight="true" outlineLevel="0" collapsed="false">
      <c r="A65" s="5" t="s">
        <v>3208</v>
      </c>
      <c r="B65" s="5" t="s">
        <v>3209</v>
      </c>
      <c r="C65" s="5" t="s">
        <v>3210</v>
      </c>
      <c r="D65" s="5" t="s">
        <v>49</v>
      </c>
      <c r="E65" s="5" t="s">
        <v>2979</v>
      </c>
      <c r="F65" s="5" t="s">
        <v>3201</v>
      </c>
      <c r="G65" s="5" t="s">
        <v>3202</v>
      </c>
      <c r="H65" s="5" t="s">
        <v>3203</v>
      </c>
      <c r="I65" s="5"/>
      <c r="J65" s="5" t="s">
        <v>3211</v>
      </c>
    </row>
    <row r="66" customFormat="false" ht="30" hidden="false" customHeight="true" outlineLevel="0" collapsed="false">
      <c r="A66" s="5" t="s">
        <v>3212</v>
      </c>
      <c r="B66" s="5" t="s">
        <v>3213</v>
      </c>
      <c r="C66" s="5" t="s">
        <v>3214</v>
      </c>
      <c r="D66" s="5" t="s">
        <v>49</v>
      </c>
      <c r="E66" s="5" t="s">
        <v>2979</v>
      </c>
      <c r="F66" s="5" t="s">
        <v>3151</v>
      </c>
      <c r="G66" s="5" t="s">
        <v>2963</v>
      </c>
      <c r="H66" s="5" t="s">
        <v>1711</v>
      </c>
      <c r="I66" s="5"/>
      <c r="J66" s="5" t="s">
        <v>2969</v>
      </c>
    </row>
    <row r="67" customFormat="false" ht="70.5" hidden="false" customHeight="true" outlineLevel="0" collapsed="false">
      <c r="A67" s="5" t="s">
        <v>3215</v>
      </c>
      <c r="B67" s="5" t="s">
        <v>3216</v>
      </c>
      <c r="C67" s="5" t="s">
        <v>3217</v>
      </c>
      <c r="D67" s="5" t="s">
        <v>49</v>
      </c>
      <c r="E67" s="5" t="s">
        <v>2961</v>
      </c>
      <c r="F67" s="5" t="s">
        <v>3218</v>
      </c>
      <c r="G67" s="5" t="s">
        <v>3219</v>
      </c>
      <c r="H67" s="5" t="s">
        <v>1734</v>
      </c>
      <c r="I67" s="5"/>
      <c r="J67" s="5" t="s">
        <v>2969</v>
      </c>
    </row>
    <row r="68" customFormat="false" ht="30" hidden="false" customHeight="true" outlineLevel="0" collapsed="false">
      <c r="A68" s="5" t="s">
        <v>3220</v>
      </c>
      <c r="B68" s="5" t="s">
        <v>3221</v>
      </c>
      <c r="C68" s="5" t="s">
        <v>3222</v>
      </c>
      <c r="D68" s="5" t="s">
        <v>49</v>
      </c>
      <c r="E68" s="5" t="s">
        <v>2979</v>
      </c>
      <c r="F68" s="5" t="s">
        <v>3201</v>
      </c>
      <c r="G68" s="5" t="s">
        <v>3223</v>
      </c>
      <c r="H68" s="5" t="s">
        <v>1751</v>
      </c>
      <c r="I68" s="5"/>
      <c r="J68" s="5" t="s">
        <v>2969</v>
      </c>
    </row>
    <row r="69" customFormat="false" ht="43.5" hidden="false" customHeight="true" outlineLevel="0" collapsed="false">
      <c r="A69" s="5" t="s">
        <v>3224</v>
      </c>
      <c r="B69" s="5" t="s">
        <v>3225</v>
      </c>
      <c r="C69" s="5" t="s">
        <v>3226</v>
      </c>
      <c r="D69" s="5" t="s">
        <v>49</v>
      </c>
      <c r="E69" s="5" t="s">
        <v>2979</v>
      </c>
      <c r="F69" s="5" t="s">
        <v>3151</v>
      </c>
      <c r="G69" s="5" t="s">
        <v>2963</v>
      </c>
      <c r="H69" s="5" t="s">
        <v>1760</v>
      </c>
      <c r="I69" s="5"/>
      <c r="J69" s="5" t="s">
        <v>2969</v>
      </c>
    </row>
    <row r="70" customFormat="false" ht="57" hidden="false" customHeight="true" outlineLevel="0" collapsed="false">
      <c r="A70" s="5" t="s">
        <v>3227</v>
      </c>
      <c r="B70" s="5" t="s">
        <v>3228</v>
      </c>
      <c r="C70" s="5" t="s">
        <v>3229</v>
      </c>
      <c r="D70" s="5" t="s">
        <v>49</v>
      </c>
      <c r="E70" s="5" t="s">
        <v>2979</v>
      </c>
      <c r="F70" s="5" t="s">
        <v>2980</v>
      </c>
      <c r="G70" s="5" t="s">
        <v>3230</v>
      </c>
      <c r="H70" s="5" t="s">
        <v>3231</v>
      </c>
      <c r="I70" s="5"/>
      <c r="J70" s="5" t="s">
        <v>2969</v>
      </c>
    </row>
    <row r="71" customFormat="false" ht="30" hidden="false" customHeight="true" outlineLevel="0" collapsed="false">
      <c r="A71" s="5" t="s">
        <v>3232</v>
      </c>
      <c r="B71" s="5" t="s">
        <v>3233</v>
      </c>
      <c r="C71" s="5" t="s">
        <v>3234</v>
      </c>
      <c r="D71" s="5" t="s">
        <v>49</v>
      </c>
      <c r="E71" s="5" t="s">
        <v>2979</v>
      </c>
      <c r="F71" s="5" t="s">
        <v>3201</v>
      </c>
      <c r="G71" s="5" t="s">
        <v>2963</v>
      </c>
      <c r="H71" s="5" t="s">
        <v>1773</v>
      </c>
      <c r="I71" s="5"/>
      <c r="J71" s="5" t="s">
        <v>2969</v>
      </c>
    </row>
    <row r="72" customFormat="false" ht="30" hidden="false" customHeight="true" outlineLevel="0" collapsed="false">
      <c r="A72" s="5" t="s">
        <v>3235</v>
      </c>
      <c r="B72" s="5" t="s">
        <v>3236</v>
      </c>
      <c r="C72" s="5" t="s">
        <v>3237</v>
      </c>
      <c r="D72" s="5" t="s">
        <v>49</v>
      </c>
      <c r="E72" s="5" t="s">
        <v>2979</v>
      </c>
      <c r="F72" s="5" t="s">
        <v>3201</v>
      </c>
      <c r="G72" s="5" t="s">
        <v>2963</v>
      </c>
      <c r="H72" s="5" t="s">
        <v>1773</v>
      </c>
      <c r="I72" s="5"/>
      <c r="J72" s="5" t="s">
        <v>2969</v>
      </c>
    </row>
    <row r="73" customFormat="false" ht="30" hidden="false" customHeight="true" outlineLevel="0" collapsed="false">
      <c r="A73" s="5" t="s">
        <v>3238</v>
      </c>
      <c r="B73" s="5" t="s">
        <v>3239</v>
      </c>
      <c r="C73" s="5" t="s">
        <v>3240</v>
      </c>
      <c r="D73" s="5" t="s">
        <v>49</v>
      </c>
      <c r="E73" s="5" t="s">
        <v>2979</v>
      </c>
      <c r="F73" s="5" t="s">
        <v>3151</v>
      </c>
      <c r="G73" s="5" t="s">
        <v>2963</v>
      </c>
      <c r="H73" s="5" t="s">
        <v>1786</v>
      </c>
      <c r="I73" s="5"/>
      <c r="J73" s="5" t="s">
        <v>2969</v>
      </c>
    </row>
    <row r="74" customFormat="false" ht="30" hidden="false" customHeight="true" outlineLevel="0" collapsed="false">
      <c r="A74" s="5" t="s">
        <v>3241</v>
      </c>
      <c r="B74" s="5" t="s">
        <v>3242</v>
      </c>
      <c r="C74" s="5" t="s">
        <v>3243</v>
      </c>
      <c r="D74" s="5" t="s">
        <v>49</v>
      </c>
      <c r="E74" s="5" t="s">
        <v>2979</v>
      </c>
      <c r="F74" s="5" t="s">
        <v>3151</v>
      </c>
      <c r="G74" s="5" t="s">
        <v>2963</v>
      </c>
      <c r="H74" s="5" t="s">
        <v>1800</v>
      </c>
      <c r="I74" s="5"/>
      <c r="J74" s="5" t="s">
        <v>2969</v>
      </c>
    </row>
    <row r="75" customFormat="false" ht="30" hidden="false" customHeight="true" outlineLevel="0" collapsed="false">
      <c r="A75" s="5" t="s">
        <v>3244</v>
      </c>
      <c r="B75" s="5" t="s">
        <v>3245</v>
      </c>
      <c r="C75" s="5" t="s">
        <v>3246</v>
      </c>
      <c r="D75" s="5" t="s">
        <v>49</v>
      </c>
      <c r="E75" s="5" t="s">
        <v>2979</v>
      </c>
      <c r="F75" s="5" t="s">
        <v>3151</v>
      </c>
      <c r="G75" s="5" t="s">
        <v>2963</v>
      </c>
      <c r="H75" s="5" t="s">
        <v>2969</v>
      </c>
      <c r="I75" s="5"/>
      <c r="J75" s="5" t="s">
        <v>2969</v>
      </c>
    </row>
    <row r="76" customFormat="false" ht="30" hidden="false" customHeight="true" outlineLevel="0" collapsed="false">
      <c r="A76" s="5" t="s">
        <v>3247</v>
      </c>
      <c r="B76" s="5" t="s">
        <v>3248</v>
      </c>
      <c r="C76" s="5" t="s">
        <v>3249</v>
      </c>
      <c r="D76" s="5" t="s">
        <v>49</v>
      </c>
      <c r="E76" s="5" t="s">
        <v>2979</v>
      </c>
      <c r="F76" s="5" t="s">
        <v>3151</v>
      </c>
      <c r="G76" s="5" t="s">
        <v>2963</v>
      </c>
      <c r="H76" s="5" t="s">
        <v>2969</v>
      </c>
      <c r="I76" s="5"/>
      <c r="J76" s="5" t="s">
        <v>2969</v>
      </c>
    </row>
    <row r="77" customFormat="false" ht="30" hidden="false" customHeight="true" outlineLevel="0" collapsed="false">
      <c r="A77" s="5" t="s">
        <v>3250</v>
      </c>
      <c r="B77" s="5" t="s">
        <v>3251</v>
      </c>
      <c r="C77" s="5" t="s">
        <v>3252</v>
      </c>
      <c r="D77" s="5" t="s">
        <v>35</v>
      </c>
      <c r="E77" s="5" t="s">
        <v>2979</v>
      </c>
      <c r="F77" s="5" t="s">
        <v>3201</v>
      </c>
      <c r="G77" s="5" t="s">
        <v>2963</v>
      </c>
      <c r="H77" s="5" t="s">
        <v>275</v>
      </c>
      <c r="I77" s="5"/>
      <c r="J77" s="5" t="s">
        <v>2969</v>
      </c>
    </row>
    <row r="78" customFormat="false" ht="30" hidden="false" customHeight="true" outlineLevel="0" collapsed="false">
      <c r="A78" s="5" t="s">
        <v>3253</v>
      </c>
      <c r="B78" s="5" t="s">
        <v>3254</v>
      </c>
      <c r="C78" s="5" t="s">
        <v>3255</v>
      </c>
      <c r="D78" s="5" t="s">
        <v>35</v>
      </c>
      <c r="E78" s="5" t="s">
        <v>2979</v>
      </c>
      <c r="F78" s="5" t="s">
        <v>3201</v>
      </c>
      <c r="G78" s="5" t="s">
        <v>3256</v>
      </c>
      <c r="H78" s="5" t="s">
        <v>3257</v>
      </c>
      <c r="I78" s="5"/>
      <c r="J78" s="5" t="s">
        <v>2969</v>
      </c>
    </row>
    <row r="79" customFormat="false" ht="43.5" hidden="false" customHeight="true" outlineLevel="0" collapsed="false">
      <c r="A79" s="5" t="s">
        <v>3258</v>
      </c>
      <c r="B79" s="5" t="s">
        <v>3259</v>
      </c>
      <c r="C79" s="5" t="s">
        <v>3260</v>
      </c>
      <c r="D79" s="5" t="s">
        <v>35</v>
      </c>
      <c r="E79" s="5" t="s">
        <v>2979</v>
      </c>
      <c r="F79" s="5" t="s">
        <v>3151</v>
      </c>
      <c r="G79" s="5" t="s">
        <v>286</v>
      </c>
      <c r="H79" s="5" t="s">
        <v>3257</v>
      </c>
      <c r="I79" s="5"/>
      <c r="J79" s="5" t="s">
        <v>3261</v>
      </c>
    </row>
    <row r="80" customFormat="false" ht="30" hidden="false" customHeight="true" outlineLevel="0" collapsed="false">
      <c r="A80" s="5" t="s">
        <v>3262</v>
      </c>
      <c r="B80" s="5" t="s">
        <v>3263</v>
      </c>
      <c r="C80" s="5" t="s">
        <v>3264</v>
      </c>
      <c r="D80" s="5" t="s">
        <v>35</v>
      </c>
      <c r="E80" s="5" t="s">
        <v>2979</v>
      </c>
      <c r="F80" s="5" t="s">
        <v>3201</v>
      </c>
      <c r="G80" s="5" t="s">
        <v>2963</v>
      </c>
      <c r="H80" s="5" t="s">
        <v>299</v>
      </c>
      <c r="I80" s="5"/>
      <c r="J80" s="5" t="s">
        <v>3265</v>
      </c>
    </row>
    <row r="81" customFormat="false" ht="43.5" hidden="false" customHeight="true" outlineLevel="0" collapsed="false">
      <c r="A81" s="5" t="s">
        <v>3266</v>
      </c>
      <c r="B81" s="5" t="s">
        <v>3267</v>
      </c>
      <c r="C81" s="5" t="s">
        <v>3268</v>
      </c>
      <c r="D81" s="5" t="s">
        <v>35</v>
      </c>
      <c r="E81" s="5" t="s">
        <v>2979</v>
      </c>
      <c r="F81" s="5" t="s">
        <v>3151</v>
      </c>
      <c r="G81" s="5" t="s">
        <v>303</v>
      </c>
      <c r="H81" s="5" t="s">
        <v>3269</v>
      </c>
      <c r="I81" s="5"/>
      <c r="J81" s="5" t="s">
        <v>2969</v>
      </c>
    </row>
    <row r="82" customFormat="false" ht="43.5" hidden="false" customHeight="true" outlineLevel="0" collapsed="false">
      <c r="A82" s="5" t="s">
        <v>3270</v>
      </c>
      <c r="B82" s="5" t="s">
        <v>3271</v>
      </c>
      <c r="C82" s="5" t="s">
        <v>3272</v>
      </c>
      <c r="D82" s="5" t="s">
        <v>35</v>
      </c>
      <c r="E82" s="5" t="s">
        <v>2979</v>
      </c>
      <c r="F82" s="5" t="s">
        <v>3151</v>
      </c>
      <c r="G82" s="5" t="s">
        <v>303</v>
      </c>
      <c r="H82" s="5" t="s">
        <v>3269</v>
      </c>
      <c r="I82" s="5"/>
      <c r="J82" s="5" t="s">
        <v>2969</v>
      </c>
    </row>
    <row r="83" customFormat="false" ht="30" hidden="false" customHeight="true" outlineLevel="0" collapsed="false">
      <c r="A83" s="5" t="s">
        <v>3273</v>
      </c>
      <c r="B83" s="5" t="s">
        <v>3274</v>
      </c>
      <c r="C83" s="5" t="s">
        <v>3275</v>
      </c>
      <c r="D83" s="5" t="s">
        <v>35</v>
      </c>
      <c r="E83" s="5" t="s">
        <v>2979</v>
      </c>
      <c r="F83" s="5" t="s">
        <v>2980</v>
      </c>
      <c r="G83" s="5" t="s">
        <v>2963</v>
      </c>
      <c r="H83" s="5" t="s">
        <v>2969</v>
      </c>
      <c r="I83" s="5"/>
      <c r="J83" s="5" t="s">
        <v>2969</v>
      </c>
    </row>
    <row r="84" customFormat="false" ht="124.5" hidden="false" customHeight="true" outlineLevel="0" collapsed="false">
      <c r="A84" s="5" t="s">
        <v>3276</v>
      </c>
      <c r="B84" s="5" t="s">
        <v>3277</v>
      </c>
      <c r="C84" s="5" t="s">
        <v>3278</v>
      </c>
      <c r="D84" s="5" t="s">
        <v>35</v>
      </c>
      <c r="E84" s="5" t="s">
        <v>2961</v>
      </c>
      <c r="F84" s="5" t="s">
        <v>3279</v>
      </c>
      <c r="G84" s="5" t="s">
        <v>2990</v>
      </c>
      <c r="H84" s="5" t="s">
        <v>319</v>
      </c>
      <c r="I84" s="5"/>
      <c r="J84" s="5" t="s">
        <v>2969</v>
      </c>
    </row>
    <row r="85" customFormat="false" ht="30" hidden="false" customHeight="true" outlineLevel="0" collapsed="false">
      <c r="A85" s="5" t="s">
        <v>3280</v>
      </c>
      <c r="B85" s="5" t="s">
        <v>3281</v>
      </c>
      <c r="C85" s="5" t="s">
        <v>3282</v>
      </c>
      <c r="D85" s="5" t="s">
        <v>35</v>
      </c>
      <c r="E85" s="5" t="s">
        <v>2979</v>
      </c>
      <c r="F85" s="5" t="s">
        <v>3151</v>
      </c>
      <c r="G85" s="5" t="s">
        <v>3283</v>
      </c>
      <c r="H85" s="5" t="s">
        <v>3284</v>
      </c>
      <c r="I85" s="5"/>
      <c r="J85" s="5" t="s">
        <v>2969</v>
      </c>
    </row>
    <row r="86" customFormat="false" ht="30" hidden="false" customHeight="true" outlineLevel="0" collapsed="false">
      <c r="A86" s="5" t="s">
        <v>3285</v>
      </c>
      <c r="B86" s="5" t="s">
        <v>3286</v>
      </c>
      <c r="C86" s="5" t="s">
        <v>3287</v>
      </c>
      <c r="D86" s="5" t="s">
        <v>35</v>
      </c>
      <c r="E86" s="5" t="s">
        <v>2979</v>
      </c>
      <c r="F86" s="5" t="s">
        <v>3151</v>
      </c>
      <c r="G86" s="5" t="s">
        <v>2963</v>
      </c>
      <c r="H86" s="5" t="s">
        <v>346</v>
      </c>
      <c r="I86" s="5"/>
      <c r="J86" s="5" t="s">
        <v>2969</v>
      </c>
    </row>
    <row r="87" customFormat="false" ht="43.5" hidden="false" customHeight="true" outlineLevel="0" collapsed="false">
      <c r="A87" s="5" t="s">
        <v>3288</v>
      </c>
      <c r="B87" s="5" t="s">
        <v>3289</v>
      </c>
      <c r="C87" s="5" t="s">
        <v>3290</v>
      </c>
      <c r="D87" s="5" t="s">
        <v>35</v>
      </c>
      <c r="E87" s="5" t="s">
        <v>2979</v>
      </c>
      <c r="F87" s="5" t="s">
        <v>3201</v>
      </c>
      <c r="G87" s="5" t="s">
        <v>3291</v>
      </c>
      <c r="H87" s="5" t="s">
        <v>3292</v>
      </c>
      <c r="I87" s="5"/>
      <c r="J87" s="5" t="s">
        <v>2969</v>
      </c>
    </row>
    <row r="88" customFormat="false" ht="70.5" hidden="false" customHeight="true" outlineLevel="0" collapsed="false">
      <c r="A88" s="5" t="s">
        <v>3293</v>
      </c>
      <c r="B88" s="5" t="s">
        <v>3294</v>
      </c>
      <c r="C88" s="5" t="s">
        <v>3295</v>
      </c>
      <c r="D88" s="5" t="s">
        <v>35</v>
      </c>
      <c r="E88" s="5" t="s">
        <v>2979</v>
      </c>
      <c r="F88" s="5" t="s">
        <v>2980</v>
      </c>
      <c r="G88" s="5" t="s">
        <v>3296</v>
      </c>
      <c r="H88" s="5" t="s">
        <v>3292</v>
      </c>
      <c r="I88" s="5"/>
      <c r="J88" s="5" t="s">
        <v>2969</v>
      </c>
    </row>
    <row r="89" customFormat="false" ht="30" hidden="false" customHeight="true" outlineLevel="0" collapsed="false">
      <c r="A89" s="5" t="s">
        <v>3297</v>
      </c>
      <c r="B89" s="5" t="s">
        <v>3298</v>
      </c>
      <c r="C89" s="5" t="s">
        <v>3299</v>
      </c>
      <c r="D89" s="5" t="s">
        <v>35</v>
      </c>
      <c r="E89" s="5" t="s">
        <v>2979</v>
      </c>
      <c r="F89" s="5" t="s">
        <v>3151</v>
      </c>
      <c r="G89" s="5" t="s">
        <v>2963</v>
      </c>
      <c r="H89" s="5" t="s">
        <v>346</v>
      </c>
      <c r="I89" s="5"/>
      <c r="J89" s="5" t="s">
        <v>2969</v>
      </c>
    </row>
    <row r="90" customFormat="false" ht="70.5" hidden="false" customHeight="true" outlineLevel="0" collapsed="false">
      <c r="A90" s="5" t="s">
        <v>3300</v>
      </c>
      <c r="B90" s="5" t="s">
        <v>3301</v>
      </c>
      <c r="C90" s="5" t="s">
        <v>3302</v>
      </c>
      <c r="D90" s="5" t="s">
        <v>35</v>
      </c>
      <c r="E90" s="5" t="s">
        <v>2961</v>
      </c>
      <c r="F90" s="5" t="s">
        <v>3303</v>
      </c>
      <c r="G90" s="5" t="s">
        <v>2990</v>
      </c>
      <c r="H90" s="5" t="s">
        <v>363</v>
      </c>
      <c r="I90" s="5"/>
      <c r="J90" s="5" t="s">
        <v>2969</v>
      </c>
    </row>
    <row r="91" customFormat="false" ht="57" hidden="false" customHeight="true" outlineLevel="0" collapsed="false">
      <c r="A91" s="5" t="s">
        <v>3304</v>
      </c>
      <c r="B91" s="5" t="s">
        <v>3305</v>
      </c>
      <c r="C91" s="5" t="s">
        <v>3306</v>
      </c>
      <c r="D91" s="5" t="s">
        <v>35</v>
      </c>
      <c r="E91" s="5" t="s">
        <v>2961</v>
      </c>
      <c r="F91" s="5" t="s">
        <v>3307</v>
      </c>
      <c r="G91" s="5" t="s">
        <v>2963</v>
      </c>
      <c r="H91" s="5" t="s">
        <v>377</v>
      </c>
      <c r="I91" s="5"/>
      <c r="J91" s="5" t="s">
        <v>2969</v>
      </c>
    </row>
    <row r="92" customFormat="false" ht="43.5" hidden="false" customHeight="true" outlineLevel="0" collapsed="false">
      <c r="A92" s="5" t="s">
        <v>3308</v>
      </c>
      <c r="B92" s="5" t="s">
        <v>3309</v>
      </c>
      <c r="C92" s="5" t="s">
        <v>3310</v>
      </c>
      <c r="D92" s="5" t="s">
        <v>35</v>
      </c>
      <c r="E92" s="5" t="s">
        <v>2979</v>
      </c>
      <c r="F92" s="5" t="s">
        <v>3151</v>
      </c>
      <c r="G92" s="5" t="s">
        <v>2963</v>
      </c>
      <c r="H92" s="5" t="s">
        <v>377</v>
      </c>
      <c r="I92" s="5"/>
      <c r="J92" s="5" t="s">
        <v>2969</v>
      </c>
    </row>
    <row r="93" customFormat="false" ht="30" hidden="false" customHeight="true" outlineLevel="0" collapsed="false">
      <c r="A93" s="5" t="s">
        <v>3311</v>
      </c>
      <c r="B93" s="5" t="s">
        <v>3312</v>
      </c>
      <c r="C93" s="5" t="s">
        <v>3313</v>
      </c>
      <c r="D93" s="5" t="s">
        <v>35</v>
      </c>
      <c r="E93" s="5" t="s">
        <v>2979</v>
      </c>
      <c r="F93" s="5" t="s">
        <v>3201</v>
      </c>
      <c r="G93" s="5" t="s">
        <v>2990</v>
      </c>
      <c r="H93" s="5" t="s">
        <v>3314</v>
      </c>
      <c r="I93" s="5"/>
      <c r="J93" s="5" t="s">
        <v>2969</v>
      </c>
    </row>
    <row r="94" customFormat="false" ht="30" hidden="false" customHeight="true" outlineLevel="0" collapsed="false">
      <c r="A94" s="5" t="s">
        <v>3315</v>
      </c>
      <c r="B94" s="5" t="s">
        <v>3316</v>
      </c>
      <c r="C94" s="5" t="s">
        <v>3317</v>
      </c>
      <c r="D94" s="5" t="s">
        <v>35</v>
      </c>
      <c r="E94" s="5" t="s">
        <v>2979</v>
      </c>
      <c r="F94" s="5" t="s">
        <v>3201</v>
      </c>
      <c r="G94" s="5" t="s">
        <v>3318</v>
      </c>
      <c r="H94" s="5" t="s">
        <v>3314</v>
      </c>
      <c r="I94" s="5"/>
      <c r="J94" s="5" t="s">
        <v>2969</v>
      </c>
    </row>
    <row r="95" customFormat="false" ht="30" hidden="false" customHeight="true" outlineLevel="0" collapsed="false">
      <c r="A95" s="5" t="s">
        <v>3319</v>
      </c>
      <c r="B95" s="5" t="s">
        <v>3320</v>
      </c>
      <c r="C95" s="5" t="s">
        <v>3321</v>
      </c>
      <c r="D95" s="5" t="s">
        <v>35</v>
      </c>
      <c r="E95" s="5" t="s">
        <v>2979</v>
      </c>
      <c r="F95" s="5" t="s">
        <v>3201</v>
      </c>
      <c r="G95" s="5" t="s">
        <v>3318</v>
      </c>
      <c r="H95" s="5" t="s">
        <v>3314</v>
      </c>
      <c r="I95" s="5"/>
      <c r="J95" s="5" t="s">
        <v>2969</v>
      </c>
    </row>
    <row r="96" customFormat="false" ht="97.5" hidden="false" customHeight="true" outlineLevel="0" collapsed="false">
      <c r="A96" s="5" t="s">
        <v>3322</v>
      </c>
      <c r="B96" s="5" t="s">
        <v>3323</v>
      </c>
      <c r="C96" s="5" t="s">
        <v>3324</v>
      </c>
      <c r="D96" s="5" t="s">
        <v>35</v>
      </c>
      <c r="E96" s="5" t="s">
        <v>2979</v>
      </c>
      <c r="F96" s="5" t="s">
        <v>3201</v>
      </c>
      <c r="G96" s="5" t="s">
        <v>3318</v>
      </c>
      <c r="H96" s="5" t="s">
        <v>3314</v>
      </c>
      <c r="I96" s="5" t="s">
        <v>3325</v>
      </c>
      <c r="J96" s="5" t="s">
        <v>2969</v>
      </c>
    </row>
    <row r="97" customFormat="false" ht="57" hidden="false" customHeight="true" outlineLevel="0" collapsed="false">
      <c r="A97" s="5" t="s">
        <v>3326</v>
      </c>
      <c r="B97" s="5" t="s">
        <v>3327</v>
      </c>
      <c r="C97" s="5" t="s">
        <v>3328</v>
      </c>
      <c r="D97" s="5" t="s">
        <v>35</v>
      </c>
      <c r="E97" s="5" t="s">
        <v>2979</v>
      </c>
      <c r="F97" s="5" t="s">
        <v>3201</v>
      </c>
      <c r="G97" s="5" t="s">
        <v>3329</v>
      </c>
      <c r="H97" s="5" t="s">
        <v>3314</v>
      </c>
      <c r="I97" s="5"/>
      <c r="J97" s="5" t="s">
        <v>3330</v>
      </c>
    </row>
    <row r="98" customFormat="false" ht="30" hidden="false" customHeight="true" outlineLevel="0" collapsed="false">
      <c r="A98" s="5" t="s">
        <v>3331</v>
      </c>
      <c r="B98" s="5" t="s">
        <v>3332</v>
      </c>
      <c r="C98" s="5" t="s">
        <v>3333</v>
      </c>
      <c r="D98" s="5" t="s">
        <v>35</v>
      </c>
      <c r="E98" s="5" t="s">
        <v>2979</v>
      </c>
      <c r="F98" s="5" t="s">
        <v>3201</v>
      </c>
      <c r="G98" s="5" t="s">
        <v>2963</v>
      </c>
      <c r="H98" s="5" t="s">
        <v>418</v>
      </c>
      <c r="I98" s="5"/>
      <c r="J98" s="5" t="s">
        <v>2969</v>
      </c>
    </row>
    <row r="99" customFormat="false" ht="43.5" hidden="false" customHeight="true" outlineLevel="0" collapsed="false">
      <c r="A99" s="5" t="s">
        <v>3334</v>
      </c>
      <c r="B99" s="5" t="s">
        <v>3335</v>
      </c>
      <c r="C99" s="5" t="s">
        <v>3336</v>
      </c>
      <c r="D99" s="5" t="s">
        <v>35</v>
      </c>
      <c r="E99" s="5" t="s">
        <v>2979</v>
      </c>
      <c r="F99" s="5" t="s">
        <v>3201</v>
      </c>
      <c r="G99" s="5" t="s">
        <v>3337</v>
      </c>
      <c r="H99" s="5" t="s">
        <v>3338</v>
      </c>
      <c r="I99" s="5"/>
      <c r="J99" s="5" t="s">
        <v>2969</v>
      </c>
    </row>
    <row r="100" customFormat="false" ht="43.5" hidden="false" customHeight="true" outlineLevel="0" collapsed="false">
      <c r="A100" s="5" t="s">
        <v>3339</v>
      </c>
      <c r="B100" s="5" t="s">
        <v>3340</v>
      </c>
      <c r="C100" s="5" t="s">
        <v>3341</v>
      </c>
      <c r="D100" s="5" t="s">
        <v>35</v>
      </c>
      <c r="E100" s="5" t="s">
        <v>2979</v>
      </c>
      <c r="F100" s="5" t="s">
        <v>3151</v>
      </c>
      <c r="G100" s="5" t="s">
        <v>3337</v>
      </c>
      <c r="H100" s="5" t="s">
        <v>3338</v>
      </c>
      <c r="I100" s="5"/>
      <c r="J100" s="5" t="s">
        <v>2969</v>
      </c>
    </row>
    <row r="101" customFormat="false" ht="70.5" hidden="false" customHeight="true" outlineLevel="0" collapsed="false">
      <c r="A101" s="5" t="s">
        <v>3342</v>
      </c>
      <c r="B101" s="5" t="s">
        <v>3343</v>
      </c>
      <c r="C101" s="5" t="s">
        <v>3344</v>
      </c>
      <c r="D101" s="5" t="s">
        <v>35</v>
      </c>
      <c r="E101" s="5" t="s">
        <v>2961</v>
      </c>
      <c r="F101" s="5" t="s">
        <v>3345</v>
      </c>
      <c r="G101" s="5" t="s">
        <v>2963</v>
      </c>
      <c r="H101" s="5" t="s">
        <v>439</v>
      </c>
      <c r="I101" s="5"/>
      <c r="J101" s="5" t="s">
        <v>3346</v>
      </c>
    </row>
    <row r="102" customFormat="false" ht="43.5" hidden="false" customHeight="true" outlineLevel="0" collapsed="false">
      <c r="A102" s="5" t="s">
        <v>3347</v>
      </c>
      <c r="B102" s="5" t="s">
        <v>3348</v>
      </c>
      <c r="C102" s="5" t="s">
        <v>3349</v>
      </c>
      <c r="D102" s="5" t="s">
        <v>35</v>
      </c>
      <c r="E102" s="5" t="s">
        <v>2979</v>
      </c>
      <c r="F102" s="5" t="s">
        <v>3151</v>
      </c>
      <c r="G102" s="5" t="s">
        <v>2963</v>
      </c>
      <c r="H102" s="5" t="s">
        <v>150</v>
      </c>
      <c r="I102" s="5"/>
      <c r="J102" s="5" t="s">
        <v>2969</v>
      </c>
    </row>
    <row r="103" customFormat="false" ht="30" hidden="false" customHeight="true" outlineLevel="0" collapsed="false">
      <c r="A103" s="5" t="s">
        <v>3350</v>
      </c>
      <c r="B103" s="5" t="s">
        <v>3351</v>
      </c>
      <c r="C103" s="5" t="s">
        <v>3352</v>
      </c>
      <c r="D103" s="5" t="s">
        <v>35</v>
      </c>
      <c r="E103" s="5" t="s">
        <v>2979</v>
      </c>
      <c r="F103" s="5" t="s">
        <v>3151</v>
      </c>
      <c r="G103" s="5" t="s">
        <v>2963</v>
      </c>
      <c r="H103" s="5" t="s">
        <v>1576</v>
      </c>
      <c r="I103" s="5"/>
      <c r="J103" s="5" t="s">
        <v>2969</v>
      </c>
    </row>
    <row r="104" customFormat="false" ht="30" hidden="false" customHeight="true" outlineLevel="0" collapsed="false">
      <c r="A104" s="5" t="s">
        <v>3353</v>
      </c>
      <c r="B104" s="5" t="s">
        <v>3354</v>
      </c>
      <c r="C104" s="5" t="s">
        <v>3355</v>
      </c>
      <c r="D104" s="5" t="s">
        <v>35</v>
      </c>
      <c r="E104" s="5" t="s">
        <v>2979</v>
      </c>
      <c r="F104" s="5" t="s">
        <v>3151</v>
      </c>
      <c r="G104" s="5" t="s">
        <v>2963</v>
      </c>
      <c r="H104" s="5" t="s">
        <v>1597</v>
      </c>
      <c r="I104" s="5"/>
      <c r="J104" s="5" t="s">
        <v>2969</v>
      </c>
    </row>
    <row r="105" customFormat="false" ht="30" hidden="false" customHeight="true" outlineLevel="0" collapsed="false">
      <c r="A105" s="5" t="s">
        <v>3356</v>
      </c>
      <c r="B105" s="5" t="s">
        <v>3357</v>
      </c>
      <c r="C105" s="5" t="s">
        <v>3358</v>
      </c>
      <c r="D105" s="5" t="s">
        <v>37</v>
      </c>
      <c r="E105" s="5" t="s">
        <v>2979</v>
      </c>
      <c r="F105" s="5" t="s">
        <v>3201</v>
      </c>
      <c r="G105" s="5" t="s">
        <v>2990</v>
      </c>
      <c r="H105" s="5" t="s">
        <v>457</v>
      </c>
      <c r="I105" s="5"/>
      <c r="J105" s="5" t="s">
        <v>2969</v>
      </c>
    </row>
    <row r="106" customFormat="false" ht="30" hidden="false" customHeight="true" outlineLevel="0" collapsed="false">
      <c r="A106" s="5" t="s">
        <v>3359</v>
      </c>
      <c r="B106" s="5" t="s">
        <v>3360</v>
      </c>
      <c r="C106" s="5" t="s">
        <v>3361</v>
      </c>
      <c r="D106" s="5" t="s">
        <v>37</v>
      </c>
      <c r="E106" s="5" t="s">
        <v>2979</v>
      </c>
      <c r="F106" s="5" t="s">
        <v>3201</v>
      </c>
      <c r="G106" s="5" t="s">
        <v>3362</v>
      </c>
      <c r="H106" s="5" t="s">
        <v>3363</v>
      </c>
      <c r="I106" s="5"/>
      <c r="J106" s="5" t="s">
        <v>2969</v>
      </c>
    </row>
    <row r="107" customFormat="false" ht="30" hidden="false" customHeight="true" outlineLevel="0" collapsed="false">
      <c r="A107" s="5" t="s">
        <v>3364</v>
      </c>
      <c r="B107" s="5" t="s">
        <v>3365</v>
      </c>
      <c r="C107" s="5" t="s">
        <v>3366</v>
      </c>
      <c r="D107" s="5" t="s">
        <v>37</v>
      </c>
      <c r="E107" s="5" t="s">
        <v>2979</v>
      </c>
      <c r="F107" s="5" t="s">
        <v>3201</v>
      </c>
      <c r="G107" s="5" t="s">
        <v>3362</v>
      </c>
      <c r="H107" s="5" t="s">
        <v>3363</v>
      </c>
      <c r="I107" s="5"/>
      <c r="J107" s="5" t="s">
        <v>2969</v>
      </c>
    </row>
    <row r="108" customFormat="false" ht="30" hidden="false" customHeight="true" outlineLevel="0" collapsed="false">
      <c r="A108" s="5" t="s">
        <v>3367</v>
      </c>
      <c r="B108" s="5" t="s">
        <v>3368</v>
      </c>
      <c r="C108" s="5" t="s">
        <v>3369</v>
      </c>
      <c r="D108" s="5" t="s">
        <v>37</v>
      </c>
      <c r="E108" s="5" t="s">
        <v>2979</v>
      </c>
      <c r="F108" s="5" t="s">
        <v>3201</v>
      </c>
      <c r="G108" s="5" t="s">
        <v>3362</v>
      </c>
      <c r="H108" s="5" t="s">
        <v>3363</v>
      </c>
      <c r="I108" s="5"/>
      <c r="J108" s="5" t="s">
        <v>2969</v>
      </c>
    </row>
    <row r="109" customFormat="false" ht="30" hidden="false" customHeight="true" outlineLevel="0" collapsed="false">
      <c r="A109" s="5" t="s">
        <v>3370</v>
      </c>
      <c r="B109" s="5" t="s">
        <v>3371</v>
      </c>
      <c r="C109" s="5" t="s">
        <v>3372</v>
      </c>
      <c r="D109" s="5" t="s">
        <v>37</v>
      </c>
      <c r="E109" s="5" t="s">
        <v>2979</v>
      </c>
      <c r="F109" s="5" t="s">
        <v>3201</v>
      </c>
      <c r="G109" s="5" t="s">
        <v>2963</v>
      </c>
      <c r="H109" s="5" t="s">
        <v>473</v>
      </c>
      <c r="I109" s="5"/>
      <c r="J109" s="5" t="s">
        <v>2969</v>
      </c>
    </row>
    <row r="110" customFormat="false" ht="43.5" hidden="false" customHeight="true" outlineLevel="0" collapsed="false">
      <c r="A110" s="5" t="s">
        <v>3373</v>
      </c>
      <c r="B110" s="5" t="s">
        <v>3374</v>
      </c>
      <c r="C110" s="5" t="s">
        <v>3375</v>
      </c>
      <c r="D110" s="5" t="s">
        <v>37</v>
      </c>
      <c r="E110" s="5" t="s">
        <v>2979</v>
      </c>
      <c r="F110" s="5" t="s">
        <v>3151</v>
      </c>
      <c r="G110" s="5" t="s">
        <v>489</v>
      </c>
      <c r="H110" s="5" t="s">
        <v>3376</v>
      </c>
      <c r="I110" s="5"/>
      <c r="J110" s="5" t="s">
        <v>2969</v>
      </c>
    </row>
    <row r="111" customFormat="false" ht="43.5" hidden="false" customHeight="true" outlineLevel="0" collapsed="false">
      <c r="A111" s="5" t="s">
        <v>3377</v>
      </c>
      <c r="B111" s="5" t="s">
        <v>3378</v>
      </c>
      <c r="C111" s="5" t="s">
        <v>3379</v>
      </c>
      <c r="D111" s="5" t="s">
        <v>37</v>
      </c>
      <c r="E111" s="5" t="s">
        <v>2979</v>
      </c>
      <c r="F111" s="5" t="s">
        <v>3151</v>
      </c>
      <c r="G111" s="5" t="s">
        <v>489</v>
      </c>
      <c r="H111" s="5" t="s">
        <v>3376</v>
      </c>
      <c r="I111" s="5"/>
      <c r="J111" s="5" t="s">
        <v>2969</v>
      </c>
    </row>
    <row r="112" customFormat="false" ht="43.5" hidden="false" customHeight="true" outlineLevel="0" collapsed="false">
      <c r="A112" s="5" t="s">
        <v>3380</v>
      </c>
      <c r="B112" s="5" t="s">
        <v>3381</v>
      </c>
      <c r="C112" s="5" t="s">
        <v>3382</v>
      </c>
      <c r="D112" s="5" t="s">
        <v>37</v>
      </c>
      <c r="E112" s="5" t="s">
        <v>2979</v>
      </c>
      <c r="F112" s="5" t="s">
        <v>3151</v>
      </c>
      <c r="G112" s="5" t="s">
        <v>489</v>
      </c>
      <c r="H112" s="5" t="s">
        <v>3376</v>
      </c>
      <c r="I112" s="5"/>
      <c r="J112" s="5" t="s">
        <v>2969</v>
      </c>
    </row>
    <row r="113" customFormat="false" ht="43.5" hidden="false" customHeight="true" outlineLevel="0" collapsed="false">
      <c r="A113" s="5" t="s">
        <v>3383</v>
      </c>
      <c r="B113" s="5" t="s">
        <v>3384</v>
      </c>
      <c r="C113" s="5" t="s">
        <v>3385</v>
      </c>
      <c r="D113" s="5" t="s">
        <v>37</v>
      </c>
      <c r="E113" s="5" t="s">
        <v>2979</v>
      </c>
      <c r="F113" s="5" t="s">
        <v>3201</v>
      </c>
      <c r="G113" s="5" t="s">
        <v>489</v>
      </c>
      <c r="H113" s="5" t="s">
        <v>3376</v>
      </c>
      <c r="I113" s="5"/>
      <c r="J113" s="5" t="s">
        <v>3386</v>
      </c>
    </row>
    <row r="114" customFormat="false" ht="43.5" hidden="false" customHeight="true" outlineLevel="0" collapsed="false">
      <c r="A114" s="5" t="s">
        <v>3387</v>
      </c>
      <c r="B114" s="5" t="s">
        <v>3388</v>
      </c>
      <c r="C114" s="5" t="s">
        <v>3389</v>
      </c>
      <c r="D114" s="5" t="s">
        <v>37</v>
      </c>
      <c r="E114" s="5" t="s">
        <v>2979</v>
      </c>
      <c r="F114" s="5" t="s">
        <v>3201</v>
      </c>
      <c r="G114" s="5" t="s">
        <v>2963</v>
      </c>
      <c r="H114" s="5" t="s">
        <v>473</v>
      </c>
      <c r="I114" s="5"/>
      <c r="J114" s="5" t="s">
        <v>3390</v>
      </c>
    </row>
    <row r="115" customFormat="false" ht="30" hidden="false" customHeight="true" outlineLevel="0" collapsed="false">
      <c r="A115" s="5" t="s">
        <v>3391</v>
      </c>
      <c r="B115" s="5" t="s">
        <v>3392</v>
      </c>
      <c r="C115" s="5" t="s">
        <v>3393</v>
      </c>
      <c r="D115" s="5" t="s">
        <v>37</v>
      </c>
      <c r="E115" s="5" t="s">
        <v>2979</v>
      </c>
      <c r="F115" s="5" t="s">
        <v>3201</v>
      </c>
      <c r="G115" s="5" t="s">
        <v>2963</v>
      </c>
      <c r="H115" s="5" t="s">
        <v>708</v>
      </c>
      <c r="I115" s="5"/>
      <c r="J115" s="5" t="s">
        <v>2969</v>
      </c>
    </row>
    <row r="116" customFormat="false" ht="43.5" hidden="false" customHeight="true" outlineLevel="0" collapsed="false">
      <c r="A116" s="5" t="s">
        <v>3394</v>
      </c>
      <c r="B116" s="5" t="s">
        <v>3395</v>
      </c>
      <c r="C116" s="5" t="s">
        <v>3396</v>
      </c>
      <c r="D116" s="5" t="s">
        <v>37</v>
      </c>
      <c r="E116" s="5" t="s">
        <v>2979</v>
      </c>
      <c r="F116" s="5" t="s">
        <v>3201</v>
      </c>
      <c r="G116" s="5" t="s">
        <v>2963</v>
      </c>
      <c r="H116" s="5" t="s">
        <v>708</v>
      </c>
      <c r="I116" s="5"/>
      <c r="J116" s="5" t="s">
        <v>3397</v>
      </c>
    </row>
    <row r="117" customFormat="false" ht="97.5" hidden="false" customHeight="true" outlineLevel="0" collapsed="false">
      <c r="A117" s="5" t="s">
        <v>3398</v>
      </c>
      <c r="B117" s="5" t="s">
        <v>3399</v>
      </c>
      <c r="C117" s="5" t="s">
        <v>3400</v>
      </c>
      <c r="D117" s="5" t="s">
        <v>37</v>
      </c>
      <c r="E117" s="5" t="s">
        <v>2979</v>
      </c>
      <c r="F117" s="5" t="s">
        <v>3201</v>
      </c>
      <c r="G117" s="5" t="s">
        <v>2963</v>
      </c>
      <c r="H117" s="5" t="s">
        <v>708</v>
      </c>
      <c r="I117" s="5" t="s">
        <v>3325</v>
      </c>
      <c r="J117" s="5" t="s">
        <v>2969</v>
      </c>
    </row>
    <row r="118" customFormat="false" ht="57" hidden="false" customHeight="true" outlineLevel="0" collapsed="false">
      <c r="A118" s="5" t="s">
        <v>3401</v>
      </c>
      <c r="B118" s="5" t="s">
        <v>3402</v>
      </c>
      <c r="C118" s="5" t="s">
        <v>3403</v>
      </c>
      <c r="D118" s="5" t="s">
        <v>37</v>
      </c>
      <c r="E118" s="5" t="s">
        <v>2979</v>
      </c>
      <c r="F118" s="5" t="s">
        <v>2980</v>
      </c>
      <c r="G118" s="5" t="s">
        <v>2981</v>
      </c>
      <c r="H118" s="5" t="s">
        <v>503</v>
      </c>
      <c r="I118" s="5"/>
      <c r="J118" s="5" t="s">
        <v>2969</v>
      </c>
    </row>
    <row r="119" customFormat="false" ht="57" hidden="false" customHeight="true" outlineLevel="0" collapsed="false">
      <c r="A119" s="5" t="s">
        <v>3404</v>
      </c>
      <c r="B119" s="5" t="s">
        <v>3405</v>
      </c>
      <c r="C119" s="5" t="s">
        <v>3406</v>
      </c>
      <c r="D119" s="5" t="s">
        <v>37</v>
      </c>
      <c r="E119" s="5" t="s">
        <v>2979</v>
      </c>
      <c r="F119" s="5" t="s">
        <v>3201</v>
      </c>
      <c r="G119" s="5" t="s">
        <v>2981</v>
      </c>
      <c r="H119" s="5" t="s">
        <v>503</v>
      </c>
      <c r="I119" s="5"/>
      <c r="J119" s="5" t="s">
        <v>2969</v>
      </c>
    </row>
    <row r="120" customFormat="false" ht="57" hidden="false" customHeight="true" outlineLevel="0" collapsed="false">
      <c r="A120" s="5" t="s">
        <v>3407</v>
      </c>
      <c r="B120" s="5" t="s">
        <v>3408</v>
      </c>
      <c r="C120" s="5" t="s">
        <v>3409</v>
      </c>
      <c r="D120" s="5" t="s">
        <v>37</v>
      </c>
      <c r="E120" s="5" t="s">
        <v>2961</v>
      </c>
      <c r="F120" s="5" t="s">
        <v>3410</v>
      </c>
      <c r="G120" s="5" t="s">
        <v>2981</v>
      </c>
      <c r="H120" s="5" t="s">
        <v>503</v>
      </c>
      <c r="I120" s="5"/>
      <c r="J120" s="5" t="s">
        <v>2969</v>
      </c>
    </row>
    <row r="121" customFormat="false" ht="97.5" hidden="false" customHeight="true" outlineLevel="0" collapsed="false">
      <c r="A121" s="5" t="s">
        <v>3411</v>
      </c>
      <c r="B121" s="5" t="s">
        <v>3412</v>
      </c>
      <c r="C121" s="5" t="s">
        <v>3413</v>
      </c>
      <c r="D121" s="5" t="s">
        <v>37</v>
      </c>
      <c r="E121" s="5" t="s">
        <v>2979</v>
      </c>
      <c r="F121" s="5" t="s">
        <v>3201</v>
      </c>
      <c r="G121" s="5" t="s">
        <v>2990</v>
      </c>
      <c r="H121" s="5" t="s">
        <v>519</v>
      </c>
      <c r="I121" s="5" t="s">
        <v>3325</v>
      </c>
      <c r="J121" s="5" t="s">
        <v>2969</v>
      </c>
    </row>
    <row r="122" customFormat="false" ht="30" hidden="false" customHeight="true" outlineLevel="0" collapsed="false">
      <c r="A122" s="5" t="s">
        <v>3414</v>
      </c>
      <c r="B122" s="5" t="s">
        <v>3415</v>
      </c>
      <c r="C122" s="5" t="s">
        <v>3416</v>
      </c>
      <c r="D122" s="5" t="s">
        <v>37</v>
      </c>
      <c r="E122" s="5" t="s">
        <v>2979</v>
      </c>
      <c r="F122" s="5" t="s">
        <v>3201</v>
      </c>
      <c r="G122" s="5" t="s">
        <v>2990</v>
      </c>
      <c r="H122" s="5" t="s">
        <v>519</v>
      </c>
      <c r="I122" s="5"/>
      <c r="J122" s="5" t="s">
        <v>2969</v>
      </c>
    </row>
    <row r="123" customFormat="false" ht="30" hidden="false" customHeight="true" outlineLevel="0" collapsed="false">
      <c r="A123" s="5" t="s">
        <v>3417</v>
      </c>
      <c r="B123" s="5" t="s">
        <v>3418</v>
      </c>
      <c r="C123" s="5" t="s">
        <v>3419</v>
      </c>
      <c r="D123" s="5" t="s">
        <v>37</v>
      </c>
      <c r="E123" s="5" t="s">
        <v>2979</v>
      </c>
      <c r="F123" s="5" t="s">
        <v>3151</v>
      </c>
      <c r="G123" s="5" t="s">
        <v>2990</v>
      </c>
      <c r="H123" s="5" t="s">
        <v>519</v>
      </c>
      <c r="I123" s="5"/>
      <c r="J123" s="5" t="s">
        <v>2969</v>
      </c>
    </row>
    <row r="124" customFormat="false" ht="30" hidden="false" customHeight="true" outlineLevel="0" collapsed="false">
      <c r="A124" s="5" t="s">
        <v>3420</v>
      </c>
      <c r="B124" s="5" t="s">
        <v>3421</v>
      </c>
      <c r="C124" s="5" t="s">
        <v>3422</v>
      </c>
      <c r="D124" s="5" t="s">
        <v>37</v>
      </c>
      <c r="E124" s="5" t="s">
        <v>2979</v>
      </c>
      <c r="F124" s="5" t="s">
        <v>3151</v>
      </c>
      <c r="G124" s="5" t="s">
        <v>2990</v>
      </c>
      <c r="H124" s="5" t="s">
        <v>536</v>
      </c>
      <c r="I124" s="5"/>
      <c r="J124" s="5" t="s">
        <v>2969</v>
      </c>
    </row>
    <row r="125" customFormat="false" ht="30" hidden="false" customHeight="true" outlineLevel="0" collapsed="false">
      <c r="A125" s="5" t="s">
        <v>3423</v>
      </c>
      <c r="B125" s="5" t="s">
        <v>3424</v>
      </c>
      <c r="C125" s="5" t="s">
        <v>3425</v>
      </c>
      <c r="D125" s="5" t="s">
        <v>37</v>
      </c>
      <c r="E125" s="5" t="s">
        <v>2979</v>
      </c>
      <c r="F125" s="5" t="s">
        <v>3201</v>
      </c>
      <c r="G125" s="5" t="s">
        <v>3426</v>
      </c>
      <c r="H125" s="5" t="s">
        <v>3427</v>
      </c>
      <c r="I125" s="5"/>
      <c r="J125" s="5" t="s">
        <v>2969</v>
      </c>
    </row>
    <row r="126" customFormat="false" ht="30" hidden="false" customHeight="true" outlineLevel="0" collapsed="false">
      <c r="A126" s="5" t="s">
        <v>3428</v>
      </c>
      <c r="B126" s="5" t="s">
        <v>3429</v>
      </c>
      <c r="C126" s="5" t="s">
        <v>3430</v>
      </c>
      <c r="D126" s="5" t="s">
        <v>37</v>
      </c>
      <c r="E126" s="5" t="s">
        <v>2979</v>
      </c>
      <c r="F126" s="5" t="s">
        <v>3151</v>
      </c>
      <c r="G126" s="5" t="s">
        <v>3426</v>
      </c>
      <c r="H126" s="5" t="s">
        <v>3427</v>
      </c>
      <c r="I126" s="5"/>
      <c r="J126" s="5" t="s">
        <v>2969</v>
      </c>
    </row>
    <row r="127" customFormat="false" ht="30" hidden="false" customHeight="true" outlineLevel="0" collapsed="false">
      <c r="A127" s="5" t="s">
        <v>3431</v>
      </c>
      <c r="B127" s="5" t="s">
        <v>3432</v>
      </c>
      <c r="C127" s="5" t="s">
        <v>3433</v>
      </c>
      <c r="D127" s="5" t="s">
        <v>37</v>
      </c>
      <c r="E127" s="5" t="s">
        <v>2979</v>
      </c>
      <c r="F127" s="5" t="s">
        <v>3151</v>
      </c>
      <c r="G127" s="5" t="s">
        <v>2990</v>
      </c>
      <c r="H127" s="5" t="s">
        <v>536</v>
      </c>
      <c r="I127" s="5"/>
      <c r="J127" s="5" t="s">
        <v>2969</v>
      </c>
    </row>
    <row r="128" customFormat="false" ht="30" hidden="false" customHeight="true" outlineLevel="0" collapsed="false">
      <c r="A128" s="5" t="s">
        <v>3434</v>
      </c>
      <c r="B128" s="5" t="s">
        <v>3435</v>
      </c>
      <c r="C128" s="5" t="s">
        <v>3436</v>
      </c>
      <c r="D128" s="5" t="s">
        <v>37</v>
      </c>
      <c r="E128" s="5" t="s">
        <v>2979</v>
      </c>
      <c r="F128" s="5" t="s">
        <v>3201</v>
      </c>
      <c r="G128" s="5" t="s">
        <v>2990</v>
      </c>
      <c r="H128" s="5" t="s">
        <v>553</v>
      </c>
      <c r="I128" s="5"/>
      <c r="J128" s="5" t="s">
        <v>2969</v>
      </c>
    </row>
    <row r="129" customFormat="false" ht="30" hidden="false" customHeight="true" outlineLevel="0" collapsed="false">
      <c r="A129" s="5" t="s">
        <v>3437</v>
      </c>
      <c r="B129" s="5" t="s">
        <v>3438</v>
      </c>
      <c r="C129" s="5" t="s">
        <v>3439</v>
      </c>
      <c r="D129" s="5" t="s">
        <v>37</v>
      </c>
      <c r="E129" s="5" t="s">
        <v>2979</v>
      </c>
      <c r="F129" s="5" t="s">
        <v>3201</v>
      </c>
      <c r="G129" s="5" t="s">
        <v>2990</v>
      </c>
      <c r="H129" s="5" t="s">
        <v>553</v>
      </c>
      <c r="I129" s="5"/>
      <c r="J129" s="5" t="s">
        <v>2969</v>
      </c>
    </row>
    <row r="130" customFormat="false" ht="30" hidden="false" customHeight="true" outlineLevel="0" collapsed="false">
      <c r="A130" s="5" t="s">
        <v>3440</v>
      </c>
      <c r="B130" s="5" t="s">
        <v>3441</v>
      </c>
      <c r="C130" s="5" t="s">
        <v>3442</v>
      </c>
      <c r="D130" s="5" t="s">
        <v>37</v>
      </c>
      <c r="E130" s="5" t="s">
        <v>2979</v>
      </c>
      <c r="F130" s="5" t="s">
        <v>3151</v>
      </c>
      <c r="G130" s="5" t="s">
        <v>2963</v>
      </c>
      <c r="H130" s="5" t="s">
        <v>553</v>
      </c>
      <c r="I130" s="5"/>
      <c r="J130" s="5" t="s">
        <v>2969</v>
      </c>
    </row>
    <row r="131" customFormat="false" ht="97.5" hidden="false" customHeight="true" outlineLevel="0" collapsed="false">
      <c r="A131" s="5" t="s">
        <v>3443</v>
      </c>
      <c r="B131" s="5" t="s">
        <v>3444</v>
      </c>
      <c r="C131" s="5" t="s">
        <v>3445</v>
      </c>
      <c r="D131" s="5" t="s">
        <v>37</v>
      </c>
      <c r="E131" s="5" t="s">
        <v>2979</v>
      </c>
      <c r="F131" s="5" t="s">
        <v>3201</v>
      </c>
      <c r="G131" s="5" t="s">
        <v>2963</v>
      </c>
      <c r="H131" s="5" t="s">
        <v>570</v>
      </c>
      <c r="I131" s="5" t="s">
        <v>3325</v>
      </c>
      <c r="J131" s="5" t="s">
        <v>3446</v>
      </c>
    </row>
    <row r="132" customFormat="false" ht="97.5" hidden="false" customHeight="true" outlineLevel="0" collapsed="false">
      <c r="A132" s="5" t="s">
        <v>3447</v>
      </c>
      <c r="B132" s="5" t="s">
        <v>3448</v>
      </c>
      <c r="C132" s="5" t="s">
        <v>3449</v>
      </c>
      <c r="D132" s="5" t="s">
        <v>37</v>
      </c>
      <c r="E132" s="5" t="s">
        <v>2979</v>
      </c>
      <c r="F132" s="5" t="s">
        <v>3201</v>
      </c>
      <c r="G132" s="5" t="s">
        <v>3450</v>
      </c>
      <c r="H132" s="5" t="s">
        <v>3451</v>
      </c>
      <c r="I132" s="5" t="s">
        <v>3325</v>
      </c>
      <c r="J132" s="5" t="s">
        <v>2969</v>
      </c>
    </row>
    <row r="133" customFormat="false" ht="30" hidden="false" customHeight="true" outlineLevel="0" collapsed="false">
      <c r="A133" s="5" t="s">
        <v>3452</v>
      </c>
      <c r="B133" s="5" t="s">
        <v>3453</v>
      </c>
      <c r="C133" s="5" t="s">
        <v>3454</v>
      </c>
      <c r="D133" s="5" t="s">
        <v>37</v>
      </c>
      <c r="E133" s="5" t="s">
        <v>2979</v>
      </c>
      <c r="F133" s="5" t="s">
        <v>3201</v>
      </c>
      <c r="G133" s="5" t="s">
        <v>3450</v>
      </c>
      <c r="H133" s="5" t="s">
        <v>3451</v>
      </c>
      <c r="I133" s="5"/>
      <c r="J133" s="5" t="s">
        <v>2969</v>
      </c>
    </row>
    <row r="134" customFormat="false" ht="97.5" hidden="false" customHeight="true" outlineLevel="0" collapsed="false">
      <c r="A134" s="5" t="s">
        <v>3455</v>
      </c>
      <c r="B134" s="5" t="s">
        <v>3456</v>
      </c>
      <c r="C134" s="5" t="s">
        <v>3457</v>
      </c>
      <c r="D134" s="5" t="s">
        <v>37</v>
      </c>
      <c r="E134" s="5" t="s">
        <v>2979</v>
      </c>
      <c r="F134" s="5" t="s">
        <v>2980</v>
      </c>
      <c r="G134" s="5" t="s">
        <v>3065</v>
      </c>
      <c r="H134" s="5" t="s">
        <v>3458</v>
      </c>
      <c r="I134" s="5" t="s">
        <v>3325</v>
      </c>
      <c r="J134" s="5" t="s">
        <v>3459</v>
      </c>
    </row>
    <row r="135" customFormat="false" ht="124.5" hidden="false" customHeight="true" outlineLevel="0" collapsed="false">
      <c r="A135" s="5" t="s">
        <v>3460</v>
      </c>
      <c r="B135" s="5" t="s">
        <v>3461</v>
      </c>
      <c r="C135" s="5" t="s">
        <v>3462</v>
      </c>
      <c r="D135" s="5" t="s">
        <v>37</v>
      </c>
      <c r="E135" s="5" t="s">
        <v>2979</v>
      </c>
      <c r="F135" s="5" t="s">
        <v>2980</v>
      </c>
      <c r="G135" s="5" t="s">
        <v>3463</v>
      </c>
      <c r="H135" s="5" t="s">
        <v>3464</v>
      </c>
      <c r="I135" s="5" t="s">
        <v>3060</v>
      </c>
      <c r="J135" s="5" t="s">
        <v>3465</v>
      </c>
    </row>
    <row r="136" customFormat="false" ht="97.5" hidden="false" customHeight="true" outlineLevel="0" collapsed="false">
      <c r="A136" s="5" t="s">
        <v>3466</v>
      </c>
      <c r="B136" s="5" t="s">
        <v>3467</v>
      </c>
      <c r="C136" s="5" t="s">
        <v>3468</v>
      </c>
      <c r="D136" s="5" t="s">
        <v>37</v>
      </c>
      <c r="E136" s="5" t="s">
        <v>2979</v>
      </c>
      <c r="F136" s="5" t="s">
        <v>3201</v>
      </c>
      <c r="G136" s="5" t="s">
        <v>2963</v>
      </c>
      <c r="H136" s="5" t="s">
        <v>601</v>
      </c>
      <c r="I136" s="5" t="s">
        <v>3325</v>
      </c>
      <c r="J136" s="5" t="s">
        <v>2969</v>
      </c>
    </row>
    <row r="137" customFormat="false" ht="97.5" hidden="false" customHeight="true" outlineLevel="0" collapsed="false">
      <c r="A137" s="5" t="s">
        <v>3469</v>
      </c>
      <c r="B137" s="5" t="s">
        <v>3470</v>
      </c>
      <c r="C137" s="5" t="s">
        <v>3471</v>
      </c>
      <c r="D137" s="5" t="s">
        <v>37</v>
      </c>
      <c r="E137" s="5" t="s">
        <v>2979</v>
      </c>
      <c r="F137" s="5" t="s">
        <v>3201</v>
      </c>
      <c r="G137" s="5" t="s">
        <v>3472</v>
      </c>
      <c r="H137" s="5" t="s">
        <v>612</v>
      </c>
      <c r="I137" s="5" t="s">
        <v>3325</v>
      </c>
      <c r="J137" s="5" t="s">
        <v>3473</v>
      </c>
    </row>
    <row r="138" customFormat="false" ht="30" hidden="false" customHeight="true" outlineLevel="0" collapsed="false">
      <c r="A138" s="5" t="s">
        <v>3474</v>
      </c>
      <c r="B138" s="5" t="s">
        <v>3475</v>
      </c>
      <c r="C138" s="5" t="s">
        <v>3476</v>
      </c>
      <c r="D138" s="5" t="s">
        <v>37</v>
      </c>
      <c r="E138" s="5" t="s">
        <v>2979</v>
      </c>
      <c r="F138" s="5" t="s">
        <v>2980</v>
      </c>
      <c r="G138" s="5" t="s">
        <v>619</v>
      </c>
      <c r="H138" s="5" t="s">
        <v>3477</v>
      </c>
      <c r="I138" s="5"/>
      <c r="J138" s="5" t="s">
        <v>3478</v>
      </c>
    </row>
    <row r="139" customFormat="false" ht="97.5" hidden="false" customHeight="true" outlineLevel="0" collapsed="false">
      <c r="A139" s="5" t="s">
        <v>3479</v>
      </c>
      <c r="B139" s="5" t="s">
        <v>3480</v>
      </c>
      <c r="C139" s="5" t="s">
        <v>3481</v>
      </c>
      <c r="D139" s="5" t="s">
        <v>37</v>
      </c>
      <c r="E139" s="5" t="s">
        <v>2979</v>
      </c>
      <c r="F139" s="5" t="s">
        <v>3201</v>
      </c>
      <c r="G139" s="5" t="s">
        <v>2963</v>
      </c>
      <c r="H139" s="5" t="s">
        <v>625</v>
      </c>
      <c r="I139" s="5" t="s">
        <v>3325</v>
      </c>
      <c r="J139" s="5" t="s">
        <v>2969</v>
      </c>
    </row>
    <row r="140" customFormat="false" ht="97.5" hidden="false" customHeight="true" outlineLevel="0" collapsed="false">
      <c r="A140" s="5" t="s">
        <v>3482</v>
      </c>
      <c r="B140" s="5" t="s">
        <v>3483</v>
      </c>
      <c r="C140" s="5" t="s">
        <v>3484</v>
      </c>
      <c r="D140" s="5" t="s">
        <v>37</v>
      </c>
      <c r="E140" s="5" t="s">
        <v>2979</v>
      </c>
      <c r="F140" s="5" t="s">
        <v>3201</v>
      </c>
      <c r="G140" s="5" t="s">
        <v>3485</v>
      </c>
      <c r="H140" s="5" t="s">
        <v>635</v>
      </c>
      <c r="I140" s="5" t="s">
        <v>3325</v>
      </c>
      <c r="J140" s="5" t="s">
        <v>2969</v>
      </c>
    </row>
    <row r="141" customFormat="false" ht="97.5" hidden="false" customHeight="true" outlineLevel="0" collapsed="false">
      <c r="A141" s="5" t="s">
        <v>3486</v>
      </c>
      <c r="B141" s="5" t="s">
        <v>3487</v>
      </c>
      <c r="C141" s="5" t="s">
        <v>3488</v>
      </c>
      <c r="D141" s="5" t="s">
        <v>37</v>
      </c>
      <c r="E141" s="5" t="s">
        <v>2979</v>
      </c>
      <c r="F141" s="5" t="s">
        <v>3201</v>
      </c>
      <c r="G141" s="5" t="s">
        <v>3489</v>
      </c>
      <c r="H141" s="5" t="s">
        <v>116</v>
      </c>
      <c r="I141" s="5" t="s">
        <v>3325</v>
      </c>
      <c r="J141" s="5" t="s">
        <v>3490</v>
      </c>
    </row>
    <row r="142" customFormat="false" ht="30" hidden="false" customHeight="true" outlineLevel="0" collapsed="false">
      <c r="A142" s="5" t="s">
        <v>3491</v>
      </c>
      <c r="B142" s="5" t="s">
        <v>3492</v>
      </c>
      <c r="C142" s="5" t="s">
        <v>3493</v>
      </c>
      <c r="D142" s="5" t="s">
        <v>37</v>
      </c>
      <c r="E142" s="5" t="s">
        <v>2979</v>
      </c>
      <c r="F142" s="5" t="s">
        <v>3201</v>
      </c>
      <c r="G142" s="5" t="s">
        <v>3494</v>
      </c>
      <c r="H142" s="5" t="s">
        <v>3495</v>
      </c>
      <c r="I142" s="5"/>
      <c r="J142" s="5" t="s">
        <v>2969</v>
      </c>
    </row>
    <row r="143" customFormat="false" ht="97.5" hidden="false" customHeight="true" outlineLevel="0" collapsed="false">
      <c r="A143" s="5" t="s">
        <v>3496</v>
      </c>
      <c r="B143" s="5" t="s">
        <v>3497</v>
      </c>
      <c r="C143" s="5" t="s">
        <v>3498</v>
      </c>
      <c r="D143" s="5" t="s">
        <v>37</v>
      </c>
      <c r="E143" s="5" t="s">
        <v>2979</v>
      </c>
      <c r="F143" s="5" t="s">
        <v>3201</v>
      </c>
      <c r="G143" s="5" t="s">
        <v>3489</v>
      </c>
      <c r="H143" s="5" t="s">
        <v>116</v>
      </c>
      <c r="I143" s="5" t="s">
        <v>3325</v>
      </c>
      <c r="J143" s="5" t="s">
        <v>3499</v>
      </c>
    </row>
    <row r="144" customFormat="false" ht="43.5" hidden="false" customHeight="true" outlineLevel="0" collapsed="false">
      <c r="A144" s="5" t="s">
        <v>3500</v>
      </c>
      <c r="B144" s="5" t="s">
        <v>3501</v>
      </c>
      <c r="C144" s="5" t="s">
        <v>3502</v>
      </c>
      <c r="D144" s="5" t="s">
        <v>37</v>
      </c>
      <c r="E144" s="5" t="s">
        <v>2979</v>
      </c>
      <c r="F144" s="5" t="s">
        <v>2980</v>
      </c>
      <c r="G144" s="5" t="s">
        <v>3489</v>
      </c>
      <c r="H144" s="5" t="s">
        <v>116</v>
      </c>
      <c r="I144" s="5"/>
      <c r="J144" s="5" t="s">
        <v>2969</v>
      </c>
    </row>
    <row r="145" customFormat="false" ht="43.5" hidden="false" customHeight="true" outlineLevel="0" collapsed="false">
      <c r="A145" s="5" t="s">
        <v>3503</v>
      </c>
      <c r="B145" s="5" t="s">
        <v>3504</v>
      </c>
      <c r="C145" s="5" t="s">
        <v>3505</v>
      </c>
      <c r="D145" s="5" t="s">
        <v>37</v>
      </c>
      <c r="E145" s="5" t="s">
        <v>2979</v>
      </c>
      <c r="F145" s="5" t="s">
        <v>3151</v>
      </c>
      <c r="G145" s="5" t="s">
        <v>3489</v>
      </c>
      <c r="H145" s="5" t="s">
        <v>116</v>
      </c>
      <c r="I145" s="5"/>
      <c r="J145" s="5" t="s">
        <v>2969</v>
      </c>
    </row>
    <row r="146" customFormat="false" ht="30" hidden="false" customHeight="true" outlineLevel="0" collapsed="false">
      <c r="A146" s="5" t="s">
        <v>3506</v>
      </c>
      <c r="B146" s="5" t="s">
        <v>3507</v>
      </c>
      <c r="C146" s="5" t="s">
        <v>3508</v>
      </c>
      <c r="D146" s="5" t="s">
        <v>37</v>
      </c>
      <c r="E146" s="5" t="s">
        <v>2979</v>
      </c>
      <c r="F146" s="5" t="s">
        <v>3201</v>
      </c>
      <c r="G146" s="5" t="s">
        <v>2990</v>
      </c>
      <c r="H146" s="5" t="s">
        <v>675</v>
      </c>
      <c r="I146" s="5"/>
      <c r="J146" s="5" t="s">
        <v>2969</v>
      </c>
    </row>
    <row r="147" customFormat="false" ht="30" hidden="false" customHeight="true" outlineLevel="0" collapsed="false">
      <c r="A147" s="5" t="s">
        <v>3509</v>
      </c>
      <c r="B147" s="5" t="s">
        <v>3510</v>
      </c>
      <c r="C147" s="5" t="s">
        <v>3511</v>
      </c>
      <c r="D147" s="5" t="s">
        <v>37</v>
      </c>
      <c r="E147" s="5" t="s">
        <v>2979</v>
      </c>
      <c r="F147" s="5" t="s">
        <v>3201</v>
      </c>
      <c r="G147" s="5" t="s">
        <v>3512</v>
      </c>
      <c r="H147" s="5" t="s">
        <v>3513</v>
      </c>
      <c r="I147" s="5"/>
      <c r="J147" s="5" t="s">
        <v>2969</v>
      </c>
    </row>
    <row r="148" customFormat="false" ht="30" hidden="false" customHeight="true" outlineLevel="0" collapsed="false">
      <c r="A148" s="5" t="s">
        <v>3514</v>
      </c>
      <c r="B148" s="5" t="s">
        <v>3515</v>
      </c>
      <c r="C148" s="5" t="s">
        <v>3516</v>
      </c>
      <c r="D148" s="5" t="s">
        <v>37</v>
      </c>
      <c r="E148" s="5" t="s">
        <v>2979</v>
      </c>
      <c r="F148" s="5" t="s">
        <v>3201</v>
      </c>
      <c r="G148" s="5" t="s">
        <v>3512</v>
      </c>
      <c r="H148" s="5" t="s">
        <v>3513</v>
      </c>
      <c r="I148" s="5"/>
      <c r="J148" s="5" t="s">
        <v>2969</v>
      </c>
    </row>
    <row r="149" customFormat="false" ht="97.5" hidden="false" customHeight="true" outlineLevel="0" collapsed="false">
      <c r="A149" s="5" t="s">
        <v>3517</v>
      </c>
      <c r="B149" s="5" t="s">
        <v>3518</v>
      </c>
      <c r="C149" s="5" t="s">
        <v>3519</v>
      </c>
      <c r="D149" s="5" t="s">
        <v>37</v>
      </c>
      <c r="E149" s="5" t="s">
        <v>2979</v>
      </c>
      <c r="F149" s="5" t="s">
        <v>3201</v>
      </c>
      <c r="G149" s="5" t="s">
        <v>2963</v>
      </c>
      <c r="H149" s="5" t="s">
        <v>692</v>
      </c>
      <c r="I149" s="5" t="s">
        <v>3325</v>
      </c>
      <c r="J149" s="5" t="s">
        <v>3520</v>
      </c>
    </row>
    <row r="150" customFormat="false" ht="57" hidden="false" customHeight="true" outlineLevel="0" collapsed="false">
      <c r="A150" s="5" t="s">
        <v>3521</v>
      </c>
      <c r="B150" s="5" t="s">
        <v>3522</v>
      </c>
      <c r="C150" s="5" t="s">
        <v>3523</v>
      </c>
      <c r="D150" s="5" t="s">
        <v>37</v>
      </c>
      <c r="E150" s="5" t="s">
        <v>2979</v>
      </c>
      <c r="F150" s="5" t="s">
        <v>3201</v>
      </c>
      <c r="G150" s="5" t="s">
        <v>3524</v>
      </c>
      <c r="H150" s="5" t="s">
        <v>3082</v>
      </c>
      <c r="I150" s="5"/>
      <c r="J150" s="5" t="s">
        <v>2969</v>
      </c>
    </row>
    <row r="151" customFormat="false" ht="30" hidden="false" customHeight="true" outlineLevel="0" collapsed="false">
      <c r="A151" s="5" t="s">
        <v>3525</v>
      </c>
      <c r="B151" s="5" t="s">
        <v>3526</v>
      </c>
      <c r="C151" s="5" t="s">
        <v>3527</v>
      </c>
      <c r="D151" s="5" t="s">
        <v>37</v>
      </c>
      <c r="E151" s="5" t="s">
        <v>2979</v>
      </c>
      <c r="F151" s="5" t="s">
        <v>3201</v>
      </c>
      <c r="G151" s="5" t="s">
        <v>2963</v>
      </c>
      <c r="H151" s="5" t="s">
        <v>727</v>
      </c>
      <c r="I151" s="5"/>
      <c r="J151" s="5" t="s">
        <v>2969</v>
      </c>
    </row>
    <row r="152" customFormat="false" ht="30" hidden="false" customHeight="true" outlineLevel="0" collapsed="false">
      <c r="A152" s="5" t="s">
        <v>3528</v>
      </c>
      <c r="B152" s="5" t="s">
        <v>3529</v>
      </c>
      <c r="C152" s="5" t="s">
        <v>3530</v>
      </c>
      <c r="D152" s="5" t="s">
        <v>37</v>
      </c>
      <c r="E152" s="5" t="s">
        <v>2979</v>
      </c>
      <c r="F152" s="5" t="s">
        <v>3201</v>
      </c>
      <c r="G152" s="5" t="s">
        <v>2963</v>
      </c>
      <c r="H152" s="5" t="s">
        <v>727</v>
      </c>
      <c r="I152" s="5"/>
      <c r="J152" s="5" t="s">
        <v>2969</v>
      </c>
    </row>
    <row r="153" customFormat="false" ht="70.5" hidden="false" customHeight="true" outlineLevel="0" collapsed="false">
      <c r="A153" s="5" t="s">
        <v>3531</v>
      </c>
      <c r="B153" s="5" t="s">
        <v>3532</v>
      </c>
      <c r="C153" s="5" t="s">
        <v>3533</v>
      </c>
      <c r="D153" s="5" t="s">
        <v>37</v>
      </c>
      <c r="E153" s="5" t="s">
        <v>2961</v>
      </c>
      <c r="F153" s="5" t="s">
        <v>3534</v>
      </c>
      <c r="G153" s="5" t="s">
        <v>2990</v>
      </c>
      <c r="H153" s="5" t="s">
        <v>749</v>
      </c>
      <c r="I153" s="5"/>
      <c r="J153" s="5" t="s">
        <v>2969</v>
      </c>
    </row>
    <row r="154" customFormat="false" ht="97.5" hidden="false" customHeight="true" outlineLevel="0" collapsed="false">
      <c r="A154" s="5" t="s">
        <v>3535</v>
      </c>
      <c r="B154" s="5" t="s">
        <v>3536</v>
      </c>
      <c r="C154" s="5" t="s">
        <v>3537</v>
      </c>
      <c r="D154" s="5" t="s">
        <v>37</v>
      </c>
      <c r="E154" s="5" t="s">
        <v>2979</v>
      </c>
      <c r="F154" s="5" t="s">
        <v>3201</v>
      </c>
      <c r="G154" s="5" t="s">
        <v>3538</v>
      </c>
      <c r="H154" s="5" t="s">
        <v>120</v>
      </c>
      <c r="I154" s="5" t="s">
        <v>3325</v>
      </c>
      <c r="J154" s="5" t="s">
        <v>2969</v>
      </c>
    </row>
    <row r="155" customFormat="false" ht="30" hidden="false" customHeight="true" outlineLevel="0" collapsed="false">
      <c r="A155" s="5" t="s">
        <v>3539</v>
      </c>
      <c r="B155" s="5" t="s">
        <v>3540</v>
      </c>
      <c r="C155" s="5" t="s">
        <v>3541</v>
      </c>
      <c r="D155" s="5" t="s">
        <v>37</v>
      </c>
      <c r="E155" s="5" t="s">
        <v>2979</v>
      </c>
      <c r="F155" s="5" t="s">
        <v>3201</v>
      </c>
      <c r="G155" s="5" t="s">
        <v>2990</v>
      </c>
      <c r="H155" s="5" t="s">
        <v>762</v>
      </c>
      <c r="I155" s="5"/>
      <c r="J155" s="5" t="s">
        <v>2969</v>
      </c>
    </row>
    <row r="156" customFormat="false" ht="43.5" hidden="false" customHeight="true" outlineLevel="0" collapsed="false">
      <c r="A156" s="5" t="s">
        <v>3542</v>
      </c>
      <c r="B156" s="5" t="s">
        <v>3543</v>
      </c>
      <c r="C156" s="5" t="s">
        <v>3544</v>
      </c>
      <c r="D156" s="5" t="s">
        <v>37</v>
      </c>
      <c r="E156" s="5" t="s">
        <v>2979</v>
      </c>
      <c r="F156" s="5" t="s">
        <v>3151</v>
      </c>
      <c r="G156" s="5" t="s">
        <v>2990</v>
      </c>
      <c r="H156" s="5" t="s">
        <v>3545</v>
      </c>
      <c r="I156" s="5"/>
      <c r="J156" s="5" t="s">
        <v>2969</v>
      </c>
    </row>
    <row r="157" customFormat="false" ht="30" hidden="false" customHeight="true" outlineLevel="0" collapsed="false">
      <c r="A157" s="5" t="s">
        <v>3546</v>
      </c>
      <c r="B157" s="5" t="s">
        <v>3547</v>
      </c>
      <c r="C157" s="5" t="s">
        <v>3548</v>
      </c>
      <c r="D157" s="5" t="s">
        <v>37</v>
      </c>
      <c r="E157" s="5" t="s">
        <v>2979</v>
      </c>
      <c r="F157" s="5" t="s">
        <v>3151</v>
      </c>
      <c r="G157" s="5" t="s">
        <v>2990</v>
      </c>
      <c r="H157" s="5" t="s">
        <v>3549</v>
      </c>
      <c r="I157" s="5"/>
      <c r="J157" s="5" t="s">
        <v>2969</v>
      </c>
    </row>
    <row r="158" customFormat="false" ht="30" hidden="false" customHeight="true" outlineLevel="0" collapsed="false">
      <c r="A158" s="5" t="s">
        <v>3550</v>
      </c>
      <c r="B158" s="5" t="s">
        <v>3551</v>
      </c>
      <c r="C158" s="5" t="s">
        <v>3552</v>
      </c>
      <c r="D158" s="5" t="s">
        <v>37</v>
      </c>
      <c r="E158" s="5" t="s">
        <v>2979</v>
      </c>
      <c r="F158" s="5" t="s">
        <v>3151</v>
      </c>
      <c r="G158" s="5" t="s">
        <v>2990</v>
      </c>
      <c r="H158" s="5" t="s">
        <v>3553</v>
      </c>
      <c r="I158" s="5"/>
      <c r="J158" s="5" t="s">
        <v>2969</v>
      </c>
    </row>
    <row r="159" customFormat="false" ht="57" hidden="false" customHeight="true" outlineLevel="0" collapsed="false">
      <c r="A159" s="5" t="s">
        <v>3554</v>
      </c>
      <c r="B159" s="5" t="s">
        <v>3555</v>
      </c>
      <c r="C159" s="5" t="s">
        <v>3556</v>
      </c>
      <c r="D159" s="5" t="s">
        <v>43</v>
      </c>
      <c r="E159" s="5" t="s">
        <v>2961</v>
      </c>
      <c r="F159" s="5" t="s">
        <v>3557</v>
      </c>
      <c r="G159" s="5" t="s">
        <v>2963</v>
      </c>
      <c r="H159" s="5" t="s">
        <v>1142</v>
      </c>
      <c r="I159" s="5"/>
      <c r="J159" s="5" t="s">
        <v>3558</v>
      </c>
    </row>
    <row r="160" customFormat="false" ht="30" hidden="false" customHeight="true" outlineLevel="0" collapsed="false">
      <c r="A160" s="5" t="s">
        <v>3559</v>
      </c>
      <c r="B160" s="5" t="s">
        <v>3560</v>
      </c>
      <c r="C160" s="5" t="s">
        <v>3561</v>
      </c>
      <c r="D160" s="5" t="s">
        <v>43</v>
      </c>
      <c r="E160" s="5" t="s">
        <v>2973</v>
      </c>
      <c r="F160" s="5" t="s">
        <v>3562</v>
      </c>
      <c r="G160" s="5" t="s">
        <v>2963</v>
      </c>
      <c r="H160" s="5" t="s">
        <v>2969</v>
      </c>
      <c r="I160" s="5"/>
      <c r="J160" s="5" t="s">
        <v>3563</v>
      </c>
    </row>
    <row r="161" customFormat="false" ht="97.5" hidden="false" customHeight="true" outlineLevel="0" collapsed="false">
      <c r="A161" s="5" t="s">
        <v>3564</v>
      </c>
      <c r="B161" s="5" t="s">
        <v>3565</v>
      </c>
      <c r="C161" s="5" t="s">
        <v>3566</v>
      </c>
      <c r="D161" s="5" t="s">
        <v>43</v>
      </c>
      <c r="E161" s="5" t="s">
        <v>2979</v>
      </c>
      <c r="F161" s="5" t="s">
        <v>2980</v>
      </c>
      <c r="G161" s="5" t="s">
        <v>3567</v>
      </c>
      <c r="H161" s="5" t="s">
        <v>3568</v>
      </c>
      <c r="I161" s="5" t="s">
        <v>3325</v>
      </c>
      <c r="J161" s="5" t="s">
        <v>3569</v>
      </c>
    </row>
    <row r="162" customFormat="false" ht="43.5" hidden="false" customHeight="true" outlineLevel="0" collapsed="false">
      <c r="A162" s="5" t="s">
        <v>3570</v>
      </c>
      <c r="B162" s="5" t="s">
        <v>3571</v>
      </c>
      <c r="C162" s="5" t="s">
        <v>3572</v>
      </c>
      <c r="D162" s="5" t="s">
        <v>43</v>
      </c>
      <c r="E162" s="5" t="s">
        <v>2961</v>
      </c>
      <c r="F162" s="5" t="s">
        <v>3573</v>
      </c>
      <c r="G162" s="5" t="s">
        <v>3574</v>
      </c>
      <c r="H162" s="5" t="s">
        <v>3568</v>
      </c>
      <c r="I162" s="5"/>
      <c r="J162" s="5" t="s">
        <v>3575</v>
      </c>
    </row>
    <row r="163" customFormat="false" ht="97.5" hidden="false" customHeight="true" outlineLevel="0" collapsed="false">
      <c r="A163" s="5" t="s">
        <v>3576</v>
      </c>
      <c r="B163" s="5" t="s">
        <v>3577</v>
      </c>
      <c r="C163" s="5" t="s">
        <v>3578</v>
      </c>
      <c r="D163" s="5" t="s">
        <v>43</v>
      </c>
      <c r="E163" s="5" t="s">
        <v>2979</v>
      </c>
      <c r="F163" s="5" t="s">
        <v>3201</v>
      </c>
      <c r="G163" s="5" t="s">
        <v>2963</v>
      </c>
      <c r="H163" s="5" t="s">
        <v>1142</v>
      </c>
      <c r="I163" s="5" t="s">
        <v>3325</v>
      </c>
      <c r="J163" s="5" t="s">
        <v>2969</v>
      </c>
    </row>
    <row r="164" customFormat="false" ht="30" hidden="false" customHeight="true" outlineLevel="0" collapsed="false">
      <c r="A164" s="5" t="s">
        <v>3579</v>
      </c>
      <c r="B164" s="5" t="s">
        <v>3580</v>
      </c>
      <c r="C164" s="5" t="s">
        <v>3581</v>
      </c>
      <c r="D164" s="5" t="s">
        <v>43</v>
      </c>
      <c r="E164" s="5" t="s">
        <v>2979</v>
      </c>
      <c r="F164" s="5" t="s">
        <v>2980</v>
      </c>
      <c r="G164" s="5" t="s">
        <v>2963</v>
      </c>
      <c r="H164" s="5" t="s">
        <v>1165</v>
      </c>
      <c r="I164" s="5"/>
      <c r="J164" s="5" t="s">
        <v>2969</v>
      </c>
    </row>
    <row r="165" customFormat="false" ht="43.5" hidden="false" customHeight="true" outlineLevel="0" collapsed="false">
      <c r="A165" s="5" t="s">
        <v>3582</v>
      </c>
      <c r="B165" s="5" t="s">
        <v>3583</v>
      </c>
      <c r="C165" s="5" t="s">
        <v>3584</v>
      </c>
      <c r="D165" s="5" t="s">
        <v>43</v>
      </c>
      <c r="E165" s="5" t="s">
        <v>2961</v>
      </c>
      <c r="F165" s="5" t="s">
        <v>3410</v>
      </c>
      <c r="G165" s="5" t="s">
        <v>3585</v>
      </c>
      <c r="H165" s="5" t="s">
        <v>3586</v>
      </c>
      <c r="I165" s="5"/>
      <c r="J165" s="5" t="s">
        <v>2969</v>
      </c>
    </row>
    <row r="166" customFormat="false" ht="84" hidden="false" customHeight="true" outlineLevel="0" collapsed="false">
      <c r="A166" s="5" t="s">
        <v>3587</v>
      </c>
      <c r="B166" s="5" t="s">
        <v>3588</v>
      </c>
      <c r="C166" s="5" t="s">
        <v>3589</v>
      </c>
      <c r="D166" s="5" t="s">
        <v>43</v>
      </c>
      <c r="E166" s="5" t="s">
        <v>2961</v>
      </c>
      <c r="F166" s="5" t="s">
        <v>3590</v>
      </c>
      <c r="G166" s="5" t="s">
        <v>3591</v>
      </c>
      <c r="H166" s="5" t="s">
        <v>1177</v>
      </c>
      <c r="I166" s="5"/>
      <c r="J166" s="5" t="s">
        <v>2969</v>
      </c>
    </row>
    <row r="167" customFormat="false" ht="84" hidden="false" customHeight="true" outlineLevel="0" collapsed="false">
      <c r="A167" s="5" t="s">
        <v>3592</v>
      </c>
      <c r="B167" s="5" t="s">
        <v>3593</v>
      </c>
      <c r="C167" s="5" t="s">
        <v>3594</v>
      </c>
      <c r="D167" s="5" t="s">
        <v>43</v>
      </c>
      <c r="E167" s="5" t="s">
        <v>2979</v>
      </c>
      <c r="F167" s="5" t="s">
        <v>2980</v>
      </c>
      <c r="G167" s="5" t="s">
        <v>3595</v>
      </c>
      <c r="H167" s="5" t="s">
        <v>3596</v>
      </c>
      <c r="I167" s="5"/>
      <c r="J167" s="5" t="s">
        <v>2969</v>
      </c>
    </row>
    <row r="168" customFormat="false" ht="43.5" hidden="false" customHeight="true" outlineLevel="0" collapsed="false">
      <c r="A168" s="5" t="s">
        <v>3597</v>
      </c>
      <c r="B168" s="5" t="s">
        <v>3598</v>
      </c>
      <c r="C168" s="5" t="s">
        <v>3599</v>
      </c>
      <c r="D168" s="5" t="s">
        <v>43</v>
      </c>
      <c r="E168" s="5" t="s">
        <v>2979</v>
      </c>
      <c r="F168" s="5" t="s">
        <v>3201</v>
      </c>
      <c r="G168" s="5" t="s">
        <v>3600</v>
      </c>
      <c r="H168" s="5" t="s">
        <v>3596</v>
      </c>
      <c r="I168" s="5"/>
      <c r="J168" s="5" t="s">
        <v>2969</v>
      </c>
    </row>
    <row r="169" customFormat="false" ht="111" hidden="false" customHeight="true" outlineLevel="0" collapsed="false">
      <c r="A169" s="5" t="s">
        <v>3601</v>
      </c>
      <c r="B169" s="5" t="s">
        <v>3602</v>
      </c>
      <c r="C169" s="5" t="s">
        <v>3603</v>
      </c>
      <c r="D169" s="5" t="s">
        <v>43</v>
      </c>
      <c r="E169" s="5" t="s">
        <v>2961</v>
      </c>
      <c r="F169" s="5" t="s">
        <v>3604</v>
      </c>
      <c r="G169" s="5" t="s">
        <v>2963</v>
      </c>
      <c r="H169" s="5" t="s">
        <v>186</v>
      </c>
      <c r="I169" s="5"/>
      <c r="J169" s="5" t="s">
        <v>3605</v>
      </c>
    </row>
    <row r="170" customFormat="false" ht="43.5" hidden="false" customHeight="true" outlineLevel="0" collapsed="false">
      <c r="A170" s="5" t="s">
        <v>3606</v>
      </c>
      <c r="B170" s="5" t="s">
        <v>3607</v>
      </c>
      <c r="C170" s="5" t="s">
        <v>3608</v>
      </c>
      <c r="D170" s="5" t="s">
        <v>43</v>
      </c>
      <c r="E170" s="5" t="s">
        <v>2979</v>
      </c>
      <c r="F170" s="5" t="s">
        <v>3201</v>
      </c>
      <c r="G170" s="5" t="s">
        <v>1225</v>
      </c>
      <c r="H170" s="5" t="s">
        <v>3609</v>
      </c>
      <c r="I170" s="5"/>
      <c r="J170" s="5" t="s">
        <v>2969</v>
      </c>
    </row>
    <row r="171" customFormat="false" ht="97.5" hidden="false" customHeight="true" outlineLevel="0" collapsed="false">
      <c r="A171" s="5" t="s">
        <v>3610</v>
      </c>
      <c r="B171" s="5" t="s">
        <v>3611</v>
      </c>
      <c r="C171" s="5" t="s">
        <v>3612</v>
      </c>
      <c r="D171" s="5" t="s">
        <v>43</v>
      </c>
      <c r="E171" s="5" t="s">
        <v>2979</v>
      </c>
      <c r="F171" s="5" t="s">
        <v>3201</v>
      </c>
      <c r="G171" s="5" t="s">
        <v>2963</v>
      </c>
      <c r="H171" s="5" t="s">
        <v>1229</v>
      </c>
      <c r="I171" s="5" t="s">
        <v>3325</v>
      </c>
      <c r="J171" s="5" t="s">
        <v>3613</v>
      </c>
    </row>
    <row r="172" customFormat="false" ht="97.5" hidden="false" customHeight="true" outlineLevel="0" collapsed="false">
      <c r="A172" s="5" t="s">
        <v>3614</v>
      </c>
      <c r="B172" s="5" t="s">
        <v>3615</v>
      </c>
      <c r="C172" s="5" t="s">
        <v>3616</v>
      </c>
      <c r="D172" s="5" t="s">
        <v>43</v>
      </c>
      <c r="E172" s="5" t="s">
        <v>2979</v>
      </c>
      <c r="F172" s="5" t="s">
        <v>3201</v>
      </c>
      <c r="G172" s="5" t="s">
        <v>3617</v>
      </c>
      <c r="H172" s="5" t="s">
        <v>3618</v>
      </c>
      <c r="I172" s="5" t="s">
        <v>3325</v>
      </c>
      <c r="J172" s="5" t="s">
        <v>2969</v>
      </c>
    </row>
    <row r="173" customFormat="false" ht="97.5" hidden="false" customHeight="true" outlineLevel="0" collapsed="false">
      <c r="A173" s="5" t="s">
        <v>3619</v>
      </c>
      <c r="B173" s="5" t="s">
        <v>3620</v>
      </c>
      <c r="C173" s="5" t="s">
        <v>3621</v>
      </c>
      <c r="D173" s="5" t="s">
        <v>43</v>
      </c>
      <c r="E173" s="5" t="s">
        <v>2979</v>
      </c>
      <c r="F173" s="5" t="s">
        <v>3201</v>
      </c>
      <c r="G173" s="5" t="s">
        <v>3617</v>
      </c>
      <c r="H173" s="5" t="s">
        <v>3618</v>
      </c>
      <c r="I173" s="5" t="s">
        <v>3325</v>
      </c>
      <c r="J173" s="5" t="s">
        <v>2969</v>
      </c>
    </row>
    <row r="174" customFormat="false" ht="97.5" hidden="false" customHeight="true" outlineLevel="0" collapsed="false">
      <c r="A174" s="5" t="s">
        <v>3622</v>
      </c>
      <c r="B174" s="5" t="s">
        <v>3623</v>
      </c>
      <c r="C174" s="5" t="s">
        <v>3624</v>
      </c>
      <c r="D174" s="5" t="s">
        <v>43</v>
      </c>
      <c r="E174" s="5" t="s">
        <v>2979</v>
      </c>
      <c r="F174" s="5" t="s">
        <v>3201</v>
      </c>
      <c r="G174" s="5" t="s">
        <v>3617</v>
      </c>
      <c r="H174" s="5" t="s">
        <v>3618</v>
      </c>
      <c r="I174" s="5" t="s">
        <v>3325</v>
      </c>
      <c r="J174" s="5" t="s">
        <v>2969</v>
      </c>
    </row>
    <row r="175" customFormat="false" ht="97.5" hidden="false" customHeight="true" outlineLevel="0" collapsed="false">
      <c r="A175" s="5" t="s">
        <v>3625</v>
      </c>
      <c r="B175" s="5" t="s">
        <v>3626</v>
      </c>
      <c r="C175" s="5" t="s">
        <v>3627</v>
      </c>
      <c r="D175" s="5" t="s">
        <v>43</v>
      </c>
      <c r="E175" s="5" t="s">
        <v>2979</v>
      </c>
      <c r="F175" s="5" t="s">
        <v>3201</v>
      </c>
      <c r="G175" s="5" t="s">
        <v>2963</v>
      </c>
      <c r="H175" s="5" t="s">
        <v>1251</v>
      </c>
      <c r="I175" s="5" t="s">
        <v>3325</v>
      </c>
      <c r="J175" s="5" t="s">
        <v>3628</v>
      </c>
    </row>
    <row r="176" customFormat="false" ht="30" hidden="false" customHeight="true" outlineLevel="0" collapsed="false">
      <c r="A176" s="5" t="s">
        <v>3629</v>
      </c>
      <c r="B176" s="5" t="s">
        <v>3630</v>
      </c>
      <c r="C176" s="5" t="s">
        <v>3631</v>
      </c>
      <c r="D176" s="5" t="s">
        <v>43</v>
      </c>
      <c r="E176" s="5" t="s">
        <v>2979</v>
      </c>
      <c r="F176" s="5" t="s">
        <v>3201</v>
      </c>
      <c r="G176" s="5" t="s">
        <v>3632</v>
      </c>
      <c r="H176" s="5" t="s">
        <v>3633</v>
      </c>
      <c r="I176" s="5"/>
      <c r="J176" s="5" t="s">
        <v>2969</v>
      </c>
    </row>
    <row r="177" customFormat="false" ht="30" hidden="false" customHeight="true" outlineLevel="0" collapsed="false">
      <c r="A177" s="5" t="s">
        <v>3634</v>
      </c>
      <c r="B177" s="5" t="s">
        <v>3635</v>
      </c>
      <c r="C177" s="5" t="s">
        <v>3636</v>
      </c>
      <c r="D177" s="5" t="s">
        <v>43</v>
      </c>
      <c r="E177" s="5" t="s">
        <v>2979</v>
      </c>
      <c r="F177" s="5" t="s">
        <v>3201</v>
      </c>
      <c r="G177" s="5" t="s">
        <v>3632</v>
      </c>
      <c r="H177" s="5" t="s">
        <v>3633</v>
      </c>
      <c r="I177" s="5"/>
      <c r="J177" s="5" t="s">
        <v>2969</v>
      </c>
    </row>
    <row r="178" customFormat="false" ht="97.5" hidden="false" customHeight="true" outlineLevel="0" collapsed="false">
      <c r="A178" s="5" t="s">
        <v>3637</v>
      </c>
      <c r="B178" s="5" t="s">
        <v>3638</v>
      </c>
      <c r="C178" s="5" t="s">
        <v>3639</v>
      </c>
      <c r="D178" s="5" t="s">
        <v>43</v>
      </c>
      <c r="E178" s="5" t="s">
        <v>2979</v>
      </c>
      <c r="F178" s="5" t="s">
        <v>3201</v>
      </c>
      <c r="G178" s="5" t="s">
        <v>2963</v>
      </c>
      <c r="H178" s="5" t="s">
        <v>1268</v>
      </c>
      <c r="I178" s="5" t="s">
        <v>3325</v>
      </c>
      <c r="J178" s="5" t="s">
        <v>3640</v>
      </c>
    </row>
    <row r="179" customFormat="false" ht="30" hidden="false" customHeight="true" outlineLevel="0" collapsed="false">
      <c r="A179" s="5" t="s">
        <v>3641</v>
      </c>
      <c r="B179" s="5" t="s">
        <v>3642</v>
      </c>
      <c r="C179" s="5" t="s">
        <v>3643</v>
      </c>
      <c r="D179" s="5" t="s">
        <v>43</v>
      </c>
      <c r="E179" s="5" t="s">
        <v>2979</v>
      </c>
      <c r="F179" s="5" t="s">
        <v>2980</v>
      </c>
      <c r="G179" s="5" t="s">
        <v>2963</v>
      </c>
      <c r="H179" s="5" t="s">
        <v>1268</v>
      </c>
      <c r="I179" s="5"/>
      <c r="J179" s="5" t="s">
        <v>2969</v>
      </c>
    </row>
    <row r="180" customFormat="false" ht="97.5" hidden="false" customHeight="true" outlineLevel="0" collapsed="false">
      <c r="A180" s="5" t="s">
        <v>3644</v>
      </c>
      <c r="B180" s="5" t="s">
        <v>3645</v>
      </c>
      <c r="C180" s="5" t="s">
        <v>3646</v>
      </c>
      <c r="D180" s="5" t="s">
        <v>43</v>
      </c>
      <c r="E180" s="5" t="s">
        <v>2979</v>
      </c>
      <c r="F180" s="5" t="s">
        <v>3201</v>
      </c>
      <c r="G180" s="5" t="s">
        <v>3647</v>
      </c>
      <c r="H180" s="5" t="s">
        <v>3648</v>
      </c>
      <c r="I180" s="5" t="s">
        <v>3325</v>
      </c>
      <c r="J180" s="5" t="s">
        <v>2969</v>
      </c>
    </row>
    <row r="181" customFormat="false" ht="84" hidden="false" customHeight="true" outlineLevel="0" collapsed="false">
      <c r="A181" s="5" t="s">
        <v>3649</v>
      </c>
      <c r="B181" s="5" t="s">
        <v>3650</v>
      </c>
      <c r="C181" s="5" t="s">
        <v>3651</v>
      </c>
      <c r="D181" s="5" t="s">
        <v>43</v>
      </c>
      <c r="E181" s="5" t="s">
        <v>2979</v>
      </c>
      <c r="F181" s="5" t="s">
        <v>3201</v>
      </c>
      <c r="G181" s="5" t="s">
        <v>2963</v>
      </c>
      <c r="H181" s="5" t="s">
        <v>1282</v>
      </c>
      <c r="I181" s="5" t="s">
        <v>3652</v>
      </c>
      <c r="J181" s="5" t="s">
        <v>2969</v>
      </c>
    </row>
    <row r="182" customFormat="false" ht="84" hidden="false" customHeight="true" outlineLevel="0" collapsed="false">
      <c r="A182" s="5" t="s">
        <v>3653</v>
      </c>
      <c r="B182" s="5" t="s">
        <v>3654</v>
      </c>
      <c r="C182" s="5" t="s">
        <v>3655</v>
      </c>
      <c r="D182" s="5" t="s">
        <v>43</v>
      </c>
      <c r="E182" s="5" t="s">
        <v>2979</v>
      </c>
      <c r="F182" s="5" t="s">
        <v>3201</v>
      </c>
      <c r="G182" s="5" t="s">
        <v>2963</v>
      </c>
      <c r="H182" s="5" t="s">
        <v>1292</v>
      </c>
      <c r="I182" s="5" t="s">
        <v>3652</v>
      </c>
      <c r="J182" s="5" t="s">
        <v>2969</v>
      </c>
    </row>
    <row r="183" customFormat="false" ht="16.5" hidden="false" customHeight="true" outlineLevel="0" collapsed="false">
      <c r="A183" s="5" t="s">
        <v>3656</v>
      </c>
      <c r="B183" s="5" t="s">
        <v>3657</v>
      </c>
      <c r="C183" s="5" t="s">
        <v>3658</v>
      </c>
      <c r="D183" s="5" t="s">
        <v>45</v>
      </c>
      <c r="E183" s="5" t="s">
        <v>2979</v>
      </c>
      <c r="F183" s="5" t="s">
        <v>3201</v>
      </c>
      <c r="G183" s="5" t="s">
        <v>2963</v>
      </c>
      <c r="H183" s="5" t="s">
        <v>87</v>
      </c>
      <c r="I183" s="5"/>
      <c r="J183" s="5" t="s">
        <v>2969</v>
      </c>
    </row>
    <row r="184" customFormat="false" ht="43.5" hidden="false" customHeight="true" outlineLevel="0" collapsed="false">
      <c r="A184" s="5" t="s">
        <v>3659</v>
      </c>
      <c r="B184" s="5" t="s">
        <v>3660</v>
      </c>
      <c r="C184" s="5" t="s">
        <v>3661</v>
      </c>
      <c r="D184" s="5" t="s">
        <v>45</v>
      </c>
      <c r="E184" s="5" t="s">
        <v>2979</v>
      </c>
      <c r="F184" s="5" t="s">
        <v>3201</v>
      </c>
      <c r="G184" s="5" t="s">
        <v>3662</v>
      </c>
      <c r="H184" s="5" t="s">
        <v>3663</v>
      </c>
      <c r="I184" s="5"/>
      <c r="J184" s="5" t="s">
        <v>3664</v>
      </c>
    </row>
    <row r="185" customFormat="false" ht="43.5" hidden="false" customHeight="true" outlineLevel="0" collapsed="false">
      <c r="A185" s="5" t="s">
        <v>3665</v>
      </c>
      <c r="B185" s="5" t="s">
        <v>3666</v>
      </c>
      <c r="C185" s="5" t="s">
        <v>3667</v>
      </c>
      <c r="D185" s="5" t="s">
        <v>45</v>
      </c>
      <c r="E185" s="5" t="s">
        <v>2979</v>
      </c>
      <c r="F185" s="5" t="s">
        <v>2980</v>
      </c>
      <c r="G185" s="5" t="s">
        <v>3668</v>
      </c>
      <c r="H185" s="5" t="s">
        <v>3663</v>
      </c>
      <c r="I185" s="5"/>
      <c r="J185" s="5" t="s">
        <v>2969</v>
      </c>
    </row>
    <row r="186" customFormat="false" ht="30" hidden="false" customHeight="true" outlineLevel="0" collapsed="false">
      <c r="A186" s="5" t="s">
        <v>3669</v>
      </c>
      <c r="B186" s="5" t="s">
        <v>3670</v>
      </c>
      <c r="C186" s="5" t="s">
        <v>3671</v>
      </c>
      <c r="D186" s="5" t="s">
        <v>45</v>
      </c>
      <c r="E186" s="5" t="s">
        <v>2979</v>
      </c>
      <c r="F186" s="5" t="s">
        <v>3201</v>
      </c>
      <c r="G186" s="5" t="s">
        <v>3662</v>
      </c>
      <c r="H186" s="5" t="s">
        <v>3663</v>
      </c>
      <c r="I186" s="5"/>
      <c r="J186" s="5" t="s">
        <v>2969</v>
      </c>
    </row>
    <row r="187" customFormat="false" ht="57" hidden="false" customHeight="true" outlineLevel="0" collapsed="false">
      <c r="A187" s="5" t="s">
        <v>3672</v>
      </c>
      <c r="B187" s="5" t="s">
        <v>3673</v>
      </c>
      <c r="C187" s="5" t="s">
        <v>3674</v>
      </c>
      <c r="D187" s="5" t="s">
        <v>45</v>
      </c>
      <c r="E187" s="5" t="s">
        <v>2979</v>
      </c>
      <c r="F187" s="5" t="s">
        <v>3201</v>
      </c>
      <c r="G187" s="5" t="s">
        <v>2963</v>
      </c>
      <c r="H187" s="5" t="s">
        <v>1315</v>
      </c>
      <c r="I187" s="5"/>
      <c r="J187" s="5" t="s">
        <v>3675</v>
      </c>
    </row>
    <row r="188" customFormat="false" ht="97.5" hidden="false" customHeight="true" outlineLevel="0" collapsed="false">
      <c r="A188" s="5" t="s">
        <v>3676</v>
      </c>
      <c r="B188" s="5" t="s">
        <v>3677</v>
      </c>
      <c r="C188" s="5" t="s">
        <v>3678</v>
      </c>
      <c r="D188" s="5" t="s">
        <v>45</v>
      </c>
      <c r="E188" s="5" t="s">
        <v>2979</v>
      </c>
      <c r="F188" s="5" t="s">
        <v>3201</v>
      </c>
      <c r="G188" s="5" t="s">
        <v>2963</v>
      </c>
      <c r="H188" s="5" t="s">
        <v>1324</v>
      </c>
      <c r="I188" s="5" t="s">
        <v>3325</v>
      </c>
      <c r="J188" s="5" t="s">
        <v>2969</v>
      </c>
    </row>
    <row r="189" customFormat="false" ht="30" hidden="false" customHeight="true" outlineLevel="0" collapsed="false">
      <c r="A189" s="5" t="s">
        <v>3679</v>
      </c>
      <c r="B189" s="5" t="s">
        <v>3680</v>
      </c>
      <c r="C189" s="5" t="s">
        <v>3681</v>
      </c>
      <c r="D189" s="5" t="s">
        <v>45</v>
      </c>
      <c r="E189" s="5" t="s">
        <v>2979</v>
      </c>
      <c r="F189" s="5" t="s">
        <v>3201</v>
      </c>
      <c r="G189" s="5" t="s">
        <v>3682</v>
      </c>
      <c r="H189" s="5" t="s">
        <v>3683</v>
      </c>
      <c r="I189" s="5"/>
      <c r="J189" s="5" t="s">
        <v>2969</v>
      </c>
    </row>
    <row r="190" customFormat="false" ht="97.5" hidden="false" customHeight="true" outlineLevel="0" collapsed="false">
      <c r="A190" s="5" t="s">
        <v>3684</v>
      </c>
      <c r="B190" s="5" t="s">
        <v>3685</v>
      </c>
      <c r="C190" s="5" t="s">
        <v>3686</v>
      </c>
      <c r="D190" s="5" t="s">
        <v>45</v>
      </c>
      <c r="E190" s="5" t="s">
        <v>2979</v>
      </c>
      <c r="F190" s="5" t="s">
        <v>3201</v>
      </c>
      <c r="G190" s="5" t="s">
        <v>2963</v>
      </c>
      <c r="H190" s="5" t="s">
        <v>1324</v>
      </c>
      <c r="I190" s="5" t="s">
        <v>3325</v>
      </c>
      <c r="J190" s="5" t="s">
        <v>2969</v>
      </c>
    </row>
    <row r="191" customFormat="false" ht="97.5" hidden="false" customHeight="true" outlineLevel="0" collapsed="false">
      <c r="A191" s="5" t="s">
        <v>3687</v>
      </c>
      <c r="B191" s="5" t="s">
        <v>3688</v>
      </c>
      <c r="C191" s="5" t="s">
        <v>3689</v>
      </c>
      <c r="D191" s="5" t="s">
        <v>45</v>
      </c>
      <c r="E191" s="5" t="s">
        <v>2979</v>
      </c>
      <c r="F191" s="5" t="s">
        <v>3201</v>
      </c>
      <c r="G191" s="5" t="s">
        <v>3690</v>
      </c>
      <c r="H191" s="5" t="s">
        <v>3683</v>
      </c>
      <c r="I191" s="5" t="s">
        <v>3325</v>
      </c>
      <c r="J191" s="5" t="s">
        <v>2969</v>
      </c>
    </row>
    <row r="192" customFormat="false" ht="97.5" hidden="false" customHeight="true" outlineLevel="0" collapsed="false">
      <c r="A192" s="5" t="s">
        <v>3691</v>
      </c>
      <c r="B192" s="5" t="s">
        <v>3692</v>
      </c>
      <c r="C192" s="5" t="s">
        <v>3693</v>
      </c>
      <c r="D192" s="5" t="s">
        <v>45</v>
      </c>
      <c r="E192" s="5" t="s">
        <v>2979</v>
      </c>
      <c r="F192" s="5" t="s">
        <v>3201</v>
      </c>
      <c r="G192" s="5" t="s">
        <v>2963</v>
      </c>
      <c r="H192" s="5" t="s">
        <v>1343</v>
      </c>
      <c r="I192" s="5" t="s">
        <v>3325</v>
      </c>
      <c r="J192" s="5" t="s">
        <v>2969</v>
      </c>
    </row>
    <row r="193" customFormat="false" ht="97.5" hidden="false" customHeight="true" outlineLevel="0" collapsed="false">
      <c r="A193" s="5" t="s">
        <v>3694</v>
      </c>
      <c r="B193" s="5" t="s">
        <v>3695</v>
      </c>
      <c r="C193" s="5" t="s">
        <v>3696</v>
      </c>
      <c r="D193" s="5" t="s">
        <v>45</v>
      </c>
      <c r="E193" s="5" t="s">
        <v>2979</v>
      </c>
      <c r="F193" s="5" t="s">
        <v>3201</v>
      </c>
      <c r="G193" s="5" t="s">
        <v>2981</v>
      </c>
      <c r="H193" s="5" t="s">
        <v>1352</v>
      </c>
      <c r="I193" s="5" t="s">
        <v>3325</v>
      </c>
      <c r="J193" s="5" t="s">
        <v>3697</v>
      </c>
    </row>
    <row r="194" customFormat="false" ht="97.5" hidden="false" customHeight="true" outlineLevel="0" collapsed="false">
      <c r="A194" s="5" t="s">
        <v>3698</v>
      </c>
      <c r="B194" s="5" t="s">
        <v>3699</v>
      </c>
      <c r="C194" s="5" t="s">
        <v>3700</v>
      </c>
      <c r="D194" s="5" t="s">
        <v>45</v>
      </c>
      <c r="E194" s="5" t="s">
        <v>2979</v>
      </c>
      <c r="F194" s="5" t="s">
        <v>3201</v>
      </c>
      <c r="G194" s="5" t="s">
        <v>2981</v>
      </c>
      <c r="H194" s="5" t="s">
        <v>1352</v>
      </c>
      <c r="I194" s="5" t="s">
        <v>3325</v>
      </c>
      <c r="J194" s="5" t="s">
        <v>3701</v>
      </c>
    </row>
    <row r="195" customFormat="false" ht="43.5" hidden="false" customHeight="true" outlineLevel="0" collapsed="false">
      <c r="A195" s="5" t="s">
        <v>3702</v>
      </c>
      <c r="B195" s="5" t="s">
        <v>3703</v>
      </c>
      <c r="C195" s="5" t="s">
        <v>3704</v>
      </c>
      <c r="D195" s="5" t="s">
        <v>45</v>
      </c>
      <c r="E195" s="5" t="s">
        <v>2979</v>
      </c>
      <c r="F195" s="5" t="s">
        <v>3201</v>
      </c>
      <c r="G195" s="5" t="s">
        <v>3705</v>
      </c>
      <c r="H195" s="5" t="s">
        <v>3706</v>
      </c>
      <c r="I195" s="5"/>
      <c r="J195" s="5" t="s">
        <v>2969</v>
      </c>
    </row>
    <row r="196" customFormat="false" ht="97.5" hidden="false" customHeight="true" outlineLevel="0" collapsed="false">
      <c r="A196" s="5" t="s">
        <v>3707</v>
      </c>
      <c r="B196" s="5" t="s">
        <v>3708</v>
      </c>
      <c r="C196" s="5" t="s">
        <v>3709</v>
      </c>
      <c r="D196" s="5" t="s">
        <v>45</v>
      </c>
      <c r="E196" s="5" t="s">
        <v>2979</v>
      </c>
      <c r="F196" s="5" t="s">
        <v>3201</v>
      </c>
      <c r="G196" s="5" t="s">
        <v>3710</v>
      </c>
      <c r="H196" s="5" t="s">
        <v>3706</v>
      </c>
      <c r="I196" s="5" t="s">
        <v>3325</v>
      </c>
      <c r="J196" s="5" t="s">
        <v>2969</v>
      </c>
    </row>
    <row r="197" customFormat="false" ht="97.5" hidden="false" customHeight="true" outlineLevel="0" collapsed="false">
      <c r="A197" s="5" t="s">
        <v>3711</v>
      </c>
      <c r="B197" s="5" t="s">
        <v>3712</v>
      </c>
      <c r="C197" s="5" t="s">
        <v>3713</v>
      </c>
      <c r="D197" s="5" t="s">
        <v>45</v>
      </c>
      <c r="E197" s="5" t="s">
        <v>2979</v>
      </c>
      <c r="F197" s="5" t="s">
        <v>3201</v>
      </c>
      <c r="G197" s="5" t="s">
        <v>3714</v>
      </c>
      <c r="H197" s="5" t="s">
        <v>3706</v>
      </c>
      <c r="I197" s="5" t="s">
        <v>3325</v>
      </c>
      <c r="J197" s="5" t="s">
        <v>2969</v>
      </c>
    </row>
    <row r="198" customFormat="false" ht="16.5" hidden="false" customHeight="true" outlineLevel="0" collapsed="false">
      <c r="A198" s="5" t="s">
        <v>3715</v>
      </c>
      <c r="B198" s="5" t="s">
        <v>3716</v>
      </c>
      <c r="C198" s="5" t="s">
        <v>3717</v>
      </c>
      <c r="D198" s="5" t="s">
        <v>45</v>
      </c>
      <c r="E198" s="5" t="s">
        <v>2979</v>
      </c>
      <c r="F198" s="5" t="s">
        <v>3201</v>
      </c>
      <c r="G198" s="5" t="s">
        <v>2963</v>
      </c>
      <c r="H198" s="5" t="s">
        <v>1374</v>
      </c>
      <c r="I198" s="5"/>
      <c r="J198" s="5" t="s">
        <v>2969</v>
      </c>
    </row>
    <row r="199" customFormat="false" ht="30" hidden="false" customHeight="true" outlineLevel="0" collapsed="false">
      <c r="A199" s="5" t="s">
        <v>3718</v>
      </c>
      <c r="B199" s="5" t="s">
        <v>3719</v>
      </c>
      <c r="C199" s="5" t="s">
        <v>3720</v>
      </c>
      <c r="D199" s="5" t="s">
        <v>45</v>
      </c>
      <c r="E199" s="5" t="s">
        <v>2979</v>
      </c>
      <c r="F199" s="5" t="s">
        <v>3201</v>
      </c>
      <c r="G199" s="5" t="s">
        <v>1384</v>
      </c>
      <c r="H199" s="5" t="s">
        <v>3721</v>
      </c>
      <c r="I199" s="5"/>
      <c r="J199" s="5" t="s">
        <v>2969</v>
      </c>
    </row>
    <row r="200" customFormat="false" ht="30" hidden="false" customHeight="true" outlineLevel="0" collapsed="false">
      <c r="A200" s="5" t="s">
        <v>3722</v>
      </c>
      <c r="B200" s="5" t="s">
        <v>3723</v>
      </c>
      <c r="C200" s="5" t="s">
        <v>3724</v>
      </c>
      <c r="D200" s="5" t="s">
        <v>45</v>
      </c>
      <c r="E200" s="5" t="s">
        <v>2979</v>
      </c>
      <c r="F200" s="5" t="s">
        <v>3151</v>
      </c>
      <c r="G200" s="5" t="s">
        <v>1384</v>
      </c>
      <c r="H200" s="5" t="s">
        <v>3721</v>
      </c>
      <c r="I200" s="5"/>
      <c r="J200" s="5" t="s">
        <v>2969</v>
      </c>
    </row>
    <row r="201" customFormat="false" ht="43.5" hidden="false" customHeight="true" outlineLevel="0" collapsed="false">
      <c r="A201" s="5" t="s">
        <v>3725</v>
      </c>
      <c r="B201" s="5" t="s">
        <v>3726</v>
      </c>
      <c r="C201" s="5" t="s">
        <v>3727</v>
      </c>
      <c r="D201" s="5" t="s">
        <v>45</v>
      </c>
      <c r="E201" s="5" t="s">
        <v>2979</v>
      </c>
      <c r="F201" s="5" t="s">
        <v>3201</v>
      </c>
      <c r="G201" s="5" t="s">
        <v>2963</v>
      </c>
      <c r="H201" s="5" t="s">
        <v>1390</v>
      </c>
      <c r="I201" s="5"/>
      <c r="J201" s="5" t="s">
        <v>3728</v>
      </c>
    </row>
    <row r="202" customFormat="false" ht="43.5" hidden="false" customHeight="true" outlineLevel="0" collapsed="false">
      <c r="A202" s="5" t="s">
        <v>3729</v>
      </c>
      <c r="B202" s="5" t="s">
        <v>3730</v>
      </c>
      <c r="C202" s="5" t="s">
        <v>3731</v>
      </c>
      <c r="D202" s="5" t="s">
        <v>45</v>
      </c>
      <c r="E202" s="5" t="s">
        <v>2979</v>
      </c>
      <c r="F202" s="5" t="s">
        <v>3201</v>
      </c>
      <c r="G202" s="5" t="s">
        <v>2963</v>
      </c>
      <c r="H202" s="5" t="s">
        <v>1390</v>
      </c>
      <c r="I202" s="5"/>
      <c r="J202" s="5" t="s">
        <v>2969</v>
      </c>
    </row>
    <row r="203" customFormat="false" ht="43.5" hidden="false" customHeight="true" outlineLevel="0" collapsed="false">
      <c r="A203" s="5" t="s">
        <v>3732</v>
      </c>
      <c r="B203" s="5" t="s">
        <v>3733</v>
      </c>
      <c r="C203" s="5" t="s">
        <v>3734</v>
      </c>
      <c r="D203" s="5" t="s">
        <v>45</v>
      </c>
      <c r="E203" s="5" t="s">
        <v>2979</v>
      </c>
      <c r="F203" s="5" t="s">
        <v>3151</v>
      </c>
      <c r="G203" s="5" t="s">
        <v>2963</v>
      </c>
      <c r="H203" s="5" t="s">
        <v>150</v>
      </c>
      <c r="I203" s="5"/>
      <c r="J203" s="5" t="s">
        <v>2969</v>
      </c>
    </row>
    <row r="204" customFormat="false" ht="30" hidden="false" customHeight="true" outlineLevel="0" collapsed="false">
      <c r="A204" s="5" t="s">
        <v>3735</v>
      </c>
      <c r="B204" s="5" t="s">
        <v>3736</v>
      </c>
      <c r="C204" s="5" t="s">
        <v>3737</v>
      </c>
      <c r="D204" s="5" t="s">
        <v>45</v>
      </c>
      <c r="E204" s="5" t="s">
        <v>2979</v>
      </c>
      <c r="F204" s="5" t="s">
        <v>3151</v>
      </c>
      <c r="G204" s="5" t="s">
        <v>2963</v>
      </c>
      <c r="H204" s="5" t="s">
        <v>1576</v>
      </c>
      <c r="I204" s="5"/>
      <c r="J204" s="5" t="s">
        <v>2969</v>
      </c>
    </row>
    <row r="205" customFormat="false" ht="30" hidden="false" customHeight="true" outlineLevel="0" collapsed="false">
      <c r="A205" s="5" t="s">
        <v>3738</v>
      </c>
      <c r="B205" s="5" t="s">
        <v>3739</v>
      </c>
      <c r="C205" s="5" t="s">
        <v>3740</v>
      </c>
      <c r="D205" s="5" t="s">
        <v>45</v>
      </c>
      <c r="E205" s="5" t="s">
        <v>2979</v>
      </c>
      <c r="F205" s="5" t="s">
        <v>3151</v>
      </c>
      <c r="G205" s="5" t="s">
        <v>2963</v>
      </c>
      <c r="H205" s="5" t="s">
        <v>1597</v>
      </c>
      <c r="I205" s="5"/>
      <c r="J205" s="5" t="s">
        <v>2969</v>
      </c>
    </row>
    <row r="206" customFormat="false" ht="16.5" hidden="false" customHeight="true" outlineLevel="0" collapsed="false">
      <c r="A206" s="5" t="s">
        <v>3741</v>
      </c>
      <c r="B206" s="5" t="s">
        <v>3742</v>
      </c>
      <c r="C206" s="5" t="s">
        <v>3743</v>
      </c>
      <c r="D206" s="5" t="s">
        <v>47</v>
      </c>
      <c r="E206" s="5" t="s">
        <v>2979</v>
      </c>
      <c r="F206" s="5" t="s">
        <v>3201</v>
      </c>
      <c r="G206" s="5" t="s">
        <v>2963</v>
      </c>
      <c r="H206" s="5" t="s">
        <v>1405</v>
      </c>
      <c r="I206" s="5"/>
      <c r="J206" s="5" t="s">
        <v>2969</v>
      </c>
    </row>
    <row r="207" customFormat="false" ht="30" hidden="false" customHeight="true" outlineLevel="0" collapsed="false">
      <c r="A207" s="5" t="s">
        <v>3744</v>
      </c>
      <c r="B207" s="5" t="s">
        <v>3745</v>
      </c>
      <c r="C207" s="5" t="s">
        <v>3746</v>
      </c>
      <c r="D207" s="5" t="s">
        <v>47</v>
      </c>
      <c r="E207" s="5" t="s">
        <v>2979</v>
      </c>
      <c r="F207" s="5" t="s">
        <v>3201</v>
      </c>
      <c r="G207" s="5" t="s">
        <v>3747</v>
      </c>
      <c r="H207" s="5" t="s">
        <v>3748</v>
      </c>
      <c r="I207" s="5"/>
      <c r="J207" s="5" t="s">
        <v>2969</v>
      </c>
    </row>
    <row r="208" customFormat="false" ht="97.5" hidden="false" customHeight="true" outlineLevel="0" collapsed="false">
      <c r="A208" s="5" t="s">
        <v>3749</v>
      </c>
      <c r="B208" s="5" t="s">
        <v>3750</v>
      </c>
      <c r="C208" s="5" t="s">
        <v>3751</v>
      </c>
      <c r="D208" s="5" t="s">
        <v>47</v>
      </c>
      <c r="E208" s="5" t="s">
        <v>2961</v>
      </c>
      <c r="F208" s="5" t="s">
        <v>3752</v>
      </c>
      <c r="G208" s="5" t="s">
        <v>2963</v>
      </c>
      <c r="H208" s="5" t="s">
        <v>1413</v>
      </c>
      <c r="I208" s="5"/>
      <c r="J208" s="5" t="s">
        <v>3753</v>
      </c>
    </row>
    <row r="209" customFormat="false" ht="97.5" hidden="false" customHeight="true" outlineLevel="0" collapsed="false">
      <c r="A209" s="5" t="s">
        <v>3754</v>
      </c>
      <c r="B209" s="5" t="s">
        <v>3755</v>
      </c>
      <c r="C209" s="5" t="s">
        <v>3756</v>
      </c>
      <c r="D209" s="5" t="s">
        <v>47</v>
      </c>
      <c r="E209" s="5" t="s">
        <v>2979</v>
      </c>
      <c r="F209" s="5" t="s">
        <v>3201</v>
      </c>
      <c r="G209" s="5" t="s">
        <v>2963</v>
      </c>
      <c r="H209" s="5" t="s">
        <v>134</v>
      </c>
      <c r="I209" s="5" t="s">
        <v>3325</v>
      </c>
      <c r="J209" s="5" t="s">
        <v>3757</v>
      </c>
    </row>
    <row r="210" customFormat="false" ht="84" hidden="false" customHeight="true" outlineLevel="0" collapsed="false">
      <c r="A210" s="5" t="s">
        <v>3758</v>
      </c>
      <c r="B210" s="5" t="s">
        <v>3759</v>
      </c>
      <c r="C210" s="5" t="s">
        <v>3760</v>
      </c>
      <c r="D210" s="5" t="s">
        <v>47</v>
      </c>
      <c r="E210" s="5" t="s">
        <v>2979</v>
      </c>
      <c r="F210" s="5" t="s">
        <v>3201</v>
      </c>
      <c r="G210" s="5" t="s">
        <v>3761</v>
      </c>
      <c r="H210" s="5" t="s">
        <v>3762</v>
      </c>
      <c r="I210" s="5" t="s">
        <v>3652</v>
      </c>
      <c r="J210" s="5" t="s">
        <v>2969</v>
      </c>
    </row>
    <row r="211" customFormat="false" ht="84" hidden="false" customHeight="true" outlineLevel="0" collapsed="false">
      <c r="A211" s="5" t="s">
        <v>3763</v>
      </c>
      <c r="B211" s="5" t="s">
        <v>3764</v>
      </c>
      <c r="C211" s="5" t="s">
        <v>3765</v>
      </c>
      <c r="D211" s="5" t="s">
        <v>47</v>
      </c>
      <c r="E211" s="5" t="s">
        <v>2979</v>
      </c>
      <c r="F211" s="5" t="s">
        <v>3201</v>
      </c>
      <c r="G211" s="5" t="s">
        <v>3766</v>
      </c>
      <c r="H211" s="5" t="s">
        <v>3762</v>
      </c>
      <c r="I211" s="5" t="s">
        <v>3652</v>
      </c>
      <c r="J211" s="5" t="s">
        <v>2969</v>
      </c>
    </row>
    <row r="212" customFormat="false" ht="84" hidden="false" customHeight="true" outlineLevel="0" collapsed="false">
      <c r="A212" s="5" t="s">
        <v>3767</v>
      </c>
      <c r="B212" s="5" t="s">
        <v>3768</v>
      </c>
      <c r="C212" s="5" t="s">
        <v>3769</v>
      </c>
      <c r="D212" s="5" t="s">
        <v>47</v>
      </c>
      <c r="E212" s="5" t="s">
        <v>2979</v>
      </c>
      <c r="F212" s="5" t="s">
        <v>3201</v>
      </c>
      <c r="G212" s="5" t="s">
        <v>2963</v>
      </c>
      <c r="H212" s="5" t="s">
        <v>134</v>
      </c>
      <c r="I212" s="5" t="s">
        <v>3652</v>
      </c>
      <c r="J212" s="5" t="s">
        <v>2969</v>
      </c>
    </row>
    <row r="213" customFormat="false" ht="30" hidden="false" customHeight="true" outlineLevel="0" collapsed="false">
      <c r="A213" s="5" t="s">
        <v>3770</v>
      </c>
      <c r="B213" s="5" t="s">
        <v>3771</v>
      </c>
      <c r="C213" s="5" t="s">
        <v>3772</v>
      </c>
      <c r="D213" s="5" t="s">
        <v>47</v>
      </c>
      <c r="E213" s="5" t="s">
        <v>2979</v>
      </c>
      <c r="F213" s="5" t="s">
        <v>3201</v>
      </c>
      <c r="G213" s="5" t="s">
        <v>2963</v>
      </c>
      <c r="H213" s="5" t="s">
        <v>83</v>
      </c>
      <c r="I213" s="5"/>
      <c r="J213" s="5" t="s">
        <v>3773</v>
      </c>
    </row>
    <row r="214" customFormat="false" ht="84" hidden="false" customHeight="true" outlineLevel="0" collapsed="false">
      <c r="A214" s="5" t="s">
        <v>3774</v>
      </c>
      <c r="B214" s="5" t="s">
        <v>3775</v>
      </c>
      <c r="C214" s="5" t="s">
        <v>3776</v>
      </c>
      <c r="D214" s="5" t="s">
        <v>47</v>
      </c>
      <c r="E214" s="5" t="s">
        <v>2961</v>
      </c>
      <c r="F214" s="5" t="s">
        <v>3777</v>
      </c>
      <c r="G214" s="5" t="s">
        <v>3778</v>
      </c>
      <c r="H214" s="5" t="s">
        <v>3779</v>
      </c>
      <c r="I214" s="5"/>
      <c r="J214" s="5" t="s">
        <v>2969</v>
      </c>
    </row>
    <row r="215" customFormat="false" ht="84" hidden="false" customHeight="true" outlineLevel="0" collapsed="false">
      <c r="A215" s="5" t="s">
        <v>3780</v>
      </c>
      <c r="B215" s="5" t="s">
        <v>3781</v>
      </c>
      <c r="C215" s="5" t="s">
        <v>3782</v>
      </c>
      <c r="D215" s="5" t="s">
        <v>47</v>
      </c>
      <c r="E215" s="5" t="s">
        <v>2979</v>
      </c>
      <c r="F215" s="5" t="s">
        <v>3201</v>
      </c>
      <c r="G215" s="5" t="s">
        <v>3783</v>
      </c>
      <c r="H215" s="5" t="s">
        <v>3779</v>
      </c>
      <c r="I215" s="5" t="s">
        <v>3652</v>
      </c>
      <c r="J215" s="5" t="s">
        <v>2969</v>
      </c>
    </row>
    <row r="216" customFormat="false" ht="84" hidden="false" customHeight="true" outlineLevel="0" collapsed="false">
      <c r="A216" s="5" t="s">
        <v>3784</v>
      </c>
      <c r="B216" s="5" t="s">
        <v>3785</v>
      </c>
      <c r="C216" s="5" t="s">
        <v>3786</v>
      </c>
      <c r="D216" s="5" t="s">
        <v>47</v>
      </c>
      <c r="E216" s="5" t="s">
        <v>2979</v>
      </c>
      <c r="F216" s="5" t="s">
        <v>3201</v>
      </c>
      <c r="G216" s="5" t="s">
        <v>2963</v>
      </c>
      <c r="H216" s="5" t="s">
        <v>1479</v>
      </c>
      <c r="I216" s="5" t="s">
        <v>3652</v>
      </c>
      <c r="J216" s="5" t="s">
        <v>2969</v>
      </c>
    </row>
    <row r="217" customFormat="false" ht="84" hidden="false" customHeight="true" outlineLevel="0" collapsed="false">
      <c r="A217" s="5" t="s">
        <v>3787</v>
      </c>
      <c r="B217" s="5" t="s">
        <v>3788</v>
      </c>
      <c r="C217" s="5" t="s">
        <v>3789</v>
      </c>
      <c r="D217" s="5" t="s">
        <v>47</v>
      </c>
      <c r="E217" s="5" t="s">
        <v>2979</v>
      </c>
      <c r="F217" s="5" t="s">
        <v>3201</v>
      </c>
      <c r="G217" s="5" t="s">
        <v>2963</v>
      </c>
      <c r="H217" s="5" t="s">
        <v>1479</v>
      </c>
      <c r="I217" s="5" t="s">
        <v>3652</v>
      </c>
      <c r="J217" s="5" t="s">
        <v>2969</v>
      </c>
    </row>
    <row r="218" customFormat="false" ht="97.5" hidden="false" customHeight="true" outlineLevel="0" collapsed="false">
      <c r="A218" s="5" t="s">
        <v>3790</v>
      </c>
      <c r="B218" s="5" t="s">
        <v>3791</v>
      </c>
      <c r="C218" s="5" t="s">
        <v>3792</v>
      </c>
      <c r="D218" s="5" t="s">
        <v>47</v>
      </c>
      <c r="E218" s="5" t="s">
        <v>2979</v>
      </c>
      <c r="F218" s="5" t="s">
        <v>3201</v>
      </c>
      <c r="G218" s="5" t="s">
        <v>2963</v>
      </c>
      <c r="H218" s="5" t="s">
        <v>1494</v>
      </c>
      <c r="I218" s="5" t="s">
        <v>3325</v>
      </c>
      <c r="J218" s="5" t="s">
        <v>3793</v>
      </c>
    </row>
    <row r="219" customFormat="false" ht="30" hidden="false" customHeight="true" outlineLevel="0" collapsed="false">
      <c r="A219" s="5" t="s">
        <v>3794</v>
      </c>
      <c r="B219" s="5" t="s">
        <v>3795</v>
      </c>
      <c r="C219" s="5" t="s">
        <v>3796</v>
      </c>
      <c r="D219" s="5" t="s">
        <v>47</v>
      </c>
      <c r="E219" s="5" t="s">
        <v>2979</v>
      </c>
      <c r="F219" s="5" t="s">
        <v>3201</v>
      </c>
      <c r="G219" s="5" t="s">
        <v>3797</v>
      </c>
      <c r="H219" s="5" t="s">
        <v>3798</v>
      </c>
      <c r="I219" s="5"/>
      <c r="J219" s="5" t="s">
        <v>2969</v>
      </c>
    </row>
    <row r="220" customFormat="false" ht="30" hidden="false" customHeight="true" outlineLevel="0" collapsed="false">
      <c r="A220" s="5" t="s">
        <v>3799</v>
      </c>
      <c r="B220" s="5" t="s">
        <v>3800</v>
      </c>
      <c r="C220" s="5" t="s">
        <v>3801</v>
      </c>
      <c r="D220" s="5" t="s">
        <v>47</v>
      </c>
      <c r="E220" s="5" t="s">
        <v>2961</v>
      </c>
      <c r="F220" s="5" t="s">
        <v>3802</v>
      </c>
      <c r="G220" s="5" t="s">
        <v>3797</v>
      </c>
      <c r="H220" s="5" t="s">
        <v>3798</v>
      </c>
      <c r="I220" s="5"/>
      <c r="J220" s="5" t="s">
        <v>2969</v>
      </c>
    </row>
    <row r="221" customFormat="false" ht="30" hidden="false" customHeight="true" outlineLevel="0" collapsed="false">
      <c r="A221" s="5" t="s">
        <v>3803</v>
      </c>
      <c r="B221" s="5" t="s">
        <v>3804</v>
      </c>
      <c r="C221" s="5" t="s">
        <v>3805</v>
      </c>
      <c r="D221" s="5" t="s">
        <v>47</v>
      </c>
      <c r="E221" s="5" t="s">
        <v>2979</v>
      </c>
      <c r="F221" s="5" t="s">
        <v>3201</v>
      </c>
      <c r="G221" s="5" t="s">
        <v>3806</v>
      </c>
      <c r="H221" s="5" t="s">
        <v>3798</v>
      </c>
      <c r="I221" s="5"/>
      <c r="J221" s="5" t="s">
        <v>2969</v>
      </c>
    </row>
    <row r="222" customFormat="false" ht="70.5" hidden="false" customHeight="true" outlineLevel="0" collapsed="false">
      <c r="A222" s="5" t="s">
        <v>3807</v>
      </c>
      <c r="B222" s="5" t="s">
        <v>3808</v>
      </c>
      <c r="C222" s="5" t="s">
        <v>3809</v>
      </c>
      <c r="D222" s="5" t="s">
        <v>47</v>
      </c>
      <c r="E222" s="5" t="s">
        <v>2961</v>
      </c>
      <c r="F222" s="5" t="s">
        <v>3810</v>
      </c>
      <c r="G222" s="5" t="s">
        <v>3811</v>
      </c>
      <c r="H222" s="5" t="s">
        <v>79</v>
      </c>
      <c r="I222" s="5"/>
      <c r="J222" s="5" t="s">
        <v>3812</v>
      </c>
    </row>
    <row r="223" customFormat="false" ht="97.5" hidden="false" customHeight="true" outlineLevel="0" collapsed="false">
      <c r="A223" s="5" t="s">
        <v>3813</v>
      </c>
      <c r="B223" s="5" t="s">
        <v>3814</v>
      </c>
      <c r="C223" s="5" t="s">
        <v>3815</v>
      </c>
      <c r="D223" s="5" t="s">
        <v>47</v>
      </c>
      <c r="E223" s="5" t="s">
        <v>2979</v>
      </c>
      <c r="F223" s="5" t="s">
        <v>3201</v>
      </c>
      <c r="G223" s="5" t="s">
        <v>3811</v>
      </c>
      <c r="H223" s="5" t="s">
        <v>79</v>
      </c>
      <c r="I223" s="5" t="s">
        <v>3325</v>
      </c>
      <c r="J223" s="5" t="s">
        <v>2969</v>
      </c>
    </row>
    <row r="224" customFormat="false" ht="97.5" hidden="false" customHeight="true" outlineLevel="0" collapsed="false">
      <c r="A224" s="5" t="s">
        <v>3816</v>
      </c>
      <c r="B224" s="5" t="s">
        <v>3817</v>
      </c>
      <c r="C224" s="5" t="s">
        <v>3818</v>
      </c>
      <c r="D224" s="5" t="s">
        <v>47</v>
      </c>
      <c r="E224" s="5" t="s">
        <v>2979</v>
      </c>
      <c r="F224" s="5" t="s">
        <v>3201</v>
      </c>
      <c r="G224" s="5" t="s">
        <v>3819</v>
      </c>
      <c r="H224" s="5" t="s">
        <v>3820</v>
      </c>
      <c r="I224" s="5" t="s">
        <v>3325</v>
      </c>
      <c r="J224" s="5" t="s">
        <v>2969</v>
      </c>
    </row>
    <row r="225" customFormat="false" ht="97.5" hidden="false" customHeight="true" outlineLevel="0" collapsed="false">
      <c r="A225" s="5" t="s">
        <v>3821</v>
      </c>
      <c r="B225" s="5" t="s">
        <v>3822</v>
      </c>
      <c r="C225" s="5" t="s">
        <v>3823</v>
      </c>
      <c r="D225" s="5" t="s">
        <v>47</v>
      </c>
      <c r="E225" s="5" t="s">
        <v>2979</v>
      </c>
      <c r="F225" s="5" t="s">
        <v>3201</v>
      </c>
      <c r="G225" s="5" t="s">
        <v>3591</v>
      </c>
      <c r="H225" s="5" t="s">
        <v>1535</v>
      </c>
      <c r="I225" s="5" t="s">
        <v>3325</v>
      </c>
      <c r="J225" s="5" t="s">
        <v>2969</v>
      </c>
    </row>
    <row r="226" customFormat="false" ht="57" hidden="false" customHeight="true" outlineLevel="0" collapsed="false">
      <c r="A226" s="5" t="s">
        <v>3824</v>
      </c>
      <c r="B226" s="5" t="s">
        <v>3825</v>
      </c>
      <c r="C226" s="5" t="s">
        <v>3826</v>
      </c>
      <c r="D226" s="5" t="s">
        <v>47</v>
      </c>
      <c r="E226" s="5" t="s">
        <v>2979</v>
      </c>
      <c r="F226" s="5" t="s">
        <v>2980</v>
      </c>
      <c r="G226" s="5" t="s">
        <v>3827</v>
      </c>
      <c r="H226" s="5" t="s">
        <v>3828</v>
      </c>
      <c r="I226" s="5"/>
      <c r="J226" s="5" t="s">
        <v>2969</v>
      </c>
    </row>
    <row r="227" customFormat="false" ht="43.5" hidden="false" customHeight="true" outlineLevel="0" collapsed="false">
      <c r="A227" s="5" t="s">
        <v>3829</v>
      </c>
      <c r="B227" s="5" t="s">
        <v>3830</v>
      </c>
      <c r="C227" s="5" t="s">
        <v>3831</v>
      </c>
      <c r="D227" s="5" t="s">
        <v>47</v>
      </c>
      <c r="E227" s="5" t="s">
        <v>2979</v>
      </c>
      <c r="F227" s="5" t="s">
        <v>3201</v>
      </c>
      <c r="G227" s="5" t="s">
        <v>3832</v>
      </c>
      <c r="H227" s="5" t="s">
        <v>3828</v>
      </c>
      <c r="I227" s="5"/>
      <c r="J227" s="5" t="s">
        <v>2969</v>
      </c>
    </row>
    <row r="228" customFormat="false" ht="16.5" hidden="false" customHeight="true" outlineLevel="0" collapsed="false">
      <c r="A228" s="5" t="s">
        <v>3833</v>
      </c>
      <c r="B228" s="5" t="s">
        <v>3834</v>
      </c>
      <c r="C228" s="5" t="s">
        <v>3835</v>
      </c>
      <c r="D228" s="5" t="s">
        <v>47</v>
      </c>
      <c r="E228" s="5" t="s">
        <v>2979</v>
      </c>
      <c r="F228" s="5" t="s">
        <v>3151</v>
      </c>
      <c r="G228" s="5" t="s">
        <v>2963</v>
      </c>
      <c r="H228" s="5" t="s">
        <v>1674</v>
      </c>
      <c r="I228" s="5"/>
      <c r="J228" s="5" t="s">
        <v>2969</v>
      </c>
    </row>
    <row r="229" customFormat="false" ht="30" hidden="false" customHeight="true" outlineLevel="0" collapsed="false">
      <c r="A229" s="5" t="s">
        <v>3836</v>
      </c>
      <c r="B229" s="5" t="s">
        <v>3837</v>
      </c>
      <c r="C229" s="5" t="s">
        <v>3838</v>
      </c>
      <c r="D229" s="5" t="s">
        <v>47</v>
      </c>
      <c r="E229" s="5" t="s">
        <v>2979</v>
      </c>
      <c r="F229" s="5" t="s">
        <v>3151</v>
      </c>
      <c r="G229" s="5" t="s">
        <v>2963</v>
      </c>
      <c r="H229" s="5" t="s">
        <v>1674</v>
      </c>
      <c r="I229" s="5"/>
      <c r="J229" s="5" t="s">
        <v>2969</v>
      </c>
    </row>
    <row r="230" customFormat="false" ht="43.5" hidden="false" customHeight="true" outlineLevel="0" collapsed="false">
      <c r="A230" s="5" t="s">
        <v>3839</v>
      </c>
      <c r="B230" s="5" t="s">
        <v>3840</v>
      </c>
      <c r="C230" s="5" t="s">
        <v>3841</v>
      </c>
      <c r="D230" s="5" t="s">
        <v>47</v>
      </c>
      <c r="E230" s="5" t="s">
        <v>2979</v>
      </c>
      <c r="F230" s="5" t="s">
        <v>3151</v>
      </c>
      <c r="G230" s="5" t="s">
        <v>2963</v>
      </c>
      <c r="H230" s="5" t="s">
        <v>150</v>
      </c>
      <c r="I230" s="5"/>
      <c r="J230" s="5" t="s">
        <v>2969</v>
      </c>
    </row>
    <row r="231" customFormat="false" ht="30" hidden="false" customHeight="true" outlineLevel="0" collapsed="false">
      <c r="A231" s="5" t="s">
        <v>3842</v>
      </c>
      <c r="B231" s="5" t="s">
        <v>3843</v>
      </c>
      <c r="C231" s="5" t="s">
        <v>3844</v>
      </c>
      <c r="D231" s="5" t="s">
        <v>47</v>
      </c>
      <c r="E231" s="5" t="s">
        <v>2979</v>
      </c>
      <c r="F231" s="5" t="s">
        <v>3151</v>
      </c>
      <c r="G231" s="5" t="s">
        <v>2963</v>
      </c>
      <c r="H231" s="5" t="s">
        <v>1576</v>
      </c>
      <c r="I231" s="5"/>
      <c r="J231" s="5" t="s">
        <v>2969</v>
      </c>
    </row>
    <row r="232" customFormat="false" ht="30" hidden="false" customHeight="true" outlineLevel="0" collapsed="false">
      <c r="A232" s="5" t="s">
        <v>3845</v>
      </c>
      <c r="B232" s="5" t="s">
        <v>3846</v>
      </c>
      <c r="C232" s="5" t="s">
        <v>3847</v>
      </c>
      <c r="D232" s="5" t="s">
        <v>47</v>
      </c>
      <c r="E232" s="5" t="s">
        <v>2979</v>
      </c>
      <c r="F232" s="5" t="s">
        <v>3151</v>
      </c>
      <c r="G232" s="5" t="s">
        <v>2963</v>
      </c>
      <c r="H232" s="5" t="s">
        <v>1597</v>
      </c>
      <c r="I232" s="5"/>
      <c r="J232" s="5" t="s">
        <v>2969</v>
      </c>
    </row>
    <row r="233" customFormat="false" ht="97.5" hidden="false" customHeight="true" outlineLevel="0" collapsed="false">
      <c r="A233" s="5" t="s">
        <v>3848</v>
      </c>
      <c r="B233" s="5" t="s">
        <v>3849</v>
      </c>
      <c r="C233" s="5" t="s">
        <v>3850</v>
      </c>
      <c r="D233" s="5" t="s">
        <v>39</v>
      </c>
      <c r="E233" s="5" t="s">
        <v>2979</v>
      </c>
      <c r="F233" s="5" t="s">
        <v>3201</v>
      </c>
      <c r="G233" s="5" t="s">
        <v>2963</v>
      </c>
      <c r="H233" s="5" t="s">
        <v>780</v>
      </c>
      <c r="I233" s="5" t="s">
        <v>3325</v>
      </c>
      <c r="J233" s="5" t="s">
        <v>3851</v>
      </c>
    </row>
    <row r="234" customFormat="false" ht="97.5" hidden="false" customHeight="true" outlineLevel="0" collapsed="false">
      <c r="A234" s="5" t="s">
        <v>3852</v>
      </c>
      <c r="B234" s="5" t="s">
        <v>3853</v>
      </c>
      <c r="C234" s="5" t="s">
        <v>3854</v>
      </c>
      <c r="D234" s="5" t="s">
        <v>39</v>
      </c>
      <c r="E234" s="5" t="s">
        <v>2979</v>
      </c>
      <c r="F234" s="5" t="s">
        <v>3201</v>
      </c>
      <c r="G234" s="5" t="s">
        <v>2963</v>
      </c>
      <c r="H234" s="5" t="s">
        <v>780</v>
      </c>
      <c r="I234" s="5" t="s">
        <v>3325</v>
      </c>
      <c r="J234" s="5" t="s">
        <v>3855</v>
      </c>
    </row>
    <row r="235" customFormat="false" ht="43.5" hidden="false" customHeight="true" outlineLevel="0" collapsed="false">
      <c r="A235" s="5" t="s">
        <v>3856</v>
      </c>
      <c r="B235" s="5" t="s">
        <v>3857</v>
      </c>
      <c r="C235" s="5" t="s">
        <v>3858</v>
      </c>
      <c r="D235" s="5" t="s">
        <v>39</v>
      </c>
      <c r="E235" s="5" t="s">
        <v>2979</v>
      </c>
      <c r="F235" s="5" t="s">
        <v>3201</v>
      </c>
      <c r="G235" s="5" t="s">
        <v>2963</v>
      </c>
      <c r="H235" s="5" t="s">
        <v>811</v>
      </c>
      <c r="I235" s="5"/>
      <c r="J235" s="5" t="s">
        <v>3859</v>
      </c>
    </row>
    <row r="236" customFormat="false" ht="43.5" hidden="false" customHeight="true" outlineLevel="0" collapsed="false">
      <c r="A236" s="5" t="s">
        <v>3860</v>
      </c>
      <c r="B236" s="5" t="s">
        <v>3861</v>
      </c>
      <c r="C236" s="5" t="s">
        <v>3862</v>
      </c>
      <c r="D236" s="5" t="s">
        <v>39</v>
      </c>
      <c r="E236" s="5" t="s">
        <v>2979</v>
      </c>
      <c r="F236" s="5" t="s">
        <v>3201</v>
      </c>
      <c r="G236" s="5" t="s">
        <v>2963</v>
      </c>
      <c r="H236" s="5" t="s">
        <v>811</v>
      </c>
      <c r="I236" s="5"/>
      <c r="J236" s="5" t="s">
        <v>3863</v>
      </c>
    </row>
    <row r="237" customFormat="false" ht="97.5" hidden="false" customHeight="true" outlineLevel="0" collapsed="false">
      <c r="A237" s="5" t="s">
        <v>3864</v>
      </c>
      <c r="B237" s="5" t="s">
        <v>3865</v>
      </c>
      <c r="C237" s="5" t="s">
        <v>3866</v>
      </c>
      <c r="D237" s="5" t="s">
        <v>39</v>
      </c>
      <c r="E237" s="5" t="s">
        <v>2979</v>
      </c>
      <c r="F237" s="5" t="s">
        <v>3201</v>
      </c>
      <c r="G237" s="5" t="s">
        <v>2963</v>
      </c>
      <c r="H237" s="5" t="s">
        <v>793</v>
      </c>
      <c r="I237" s="5" t="s">
        <v>3325</v>
      </c>
      <c r="J237" s="5" t="s">
        <v>3867</v>
      </c>
    </row>
    <row r="238" customFormat="false" ht="30" hidden="false" customHeight="true" outlineLevel="0" collapsed="false">
      <c r="A238" s="5" t="s">
        <v>3868</v>
      </c>
      <c r="B238" s="5" t="s">
        <v>3869</v>
      </c>
      <c r="C238" s="5" t="s">
        <v>3870</v>
      </c>
      <c r="D238" s="5" t="s">
        <v>39</v>
      </c>
      <c r="E238" s="5" t="s">
        <v>2979</v>
      </c>
      <c r="F238" s="5" t="s">
        <v>3201</v>
      </c>
      <c r="G238" s="5" t="s">
        <v>3871</v>
      </c>
      <c r="H238" s="5" t="s">
        <v>3872</v>
      </c>
      <c r="I238" s="5"/>
      <c r="J238" s="5" t="s">
        <v>2969</v>
      </c>
    </row>
    <row r="239" customFormat="false" ht="97.5" hidden="false" customHeight="true" outlineLevel="0" collapsed="false">
      <c r="A239" s="5" t="s">
        <v>3873</v>
      </c>
      <c r="B239" s="5" t="s">
        <v>3874</v>
      </c>
      <c r="C239" s="5" t="s">
        <v>3875</v>
      </c>
      <c r="D239" s="5" t="s">
        <v>39</v>
      </c>
      <c r="E239" s="5" t="s">
        <v>2979</v>
      </c>
      <c r="F239" s="5" t="s">
        <v>3201</v>
      </c>
      <c r="G239" s="5" t="s">
        <v>3876</v>
      </c>
      <c r="H239" s="5" t="s">
        <v>91</v>
      </c>
      <c r="I239" s="5" t="s">
        <v>3325</v>
      </c>
      <c r="J239" s="5" t="s">
        <v>3877</v>
      </c>
    </row>
    <row r="240" customFormat="false" ht="30" hidden="false" customHeight="true" outlineLevel="0" collapsed="false">
      <c r="A240" s="5" t="s">
        <v>3878</v>
      </c>
      <c r="B240" s="5" t="s">
        <v>3879</v>
      </c>
      <c r="C240" s="5" t="s">
        <v>3880</v>
      </c>
      <c r="D240" s="5" t="s">
        <v>39</v>
      </c>
      <c r="E240" s="5" t="s">
        <v>2979</v>
      </c>
      <c r="F240" s="5" t="s">
        <v>3151</v>
      </c>
      <c r="G240" s="5" t="s">
        <v>3876</v>
      </c>
      <c r="H240" s="5" t="s">
        <v>91</v>
      </c>
      <c r="I240" s="5"/>
      <c r="J240" s="5" t="s">
        <v>2969</v>
      </c>
    </row>
    <row r="241" customFormat="false" ht="30" hidden="false" customHeight="true" outlineLevel="0" collapsed="false">
      <c r="A241" s="5" t="s">
        <v>3881</v>
      </c>
      <c r="B241" s="5" t="s">
        <v>3882</v>
      </c>
      <c r="C241" s="5" t="s">
        <v>3883</v>
      </c>
      <c r="D241" s="5" t="s">
        <v>39</v>
      </c>
      <c r="E241" s="5" t="s">
        <v>2979</v>
      </c>
      <c r="F241" s="5" t="s">
        <v>2980</v>
      </c>
      <c r="G241" s="5" t="s">
        <v>3876</v>
      </c>
      <c r="H241" s="5" t="s">
        <v>91</v>
      </c>
      <c r="I241" s="5"/>
      <c r="J241" s="5" t="s">
        <v>2969</v>
      </c>
    </row>
    <row r="242" customFormat="false" ht="30" hidden="false" customHeight="true" outlineLevel="0" collapsed="false">
      <c r="A242" s="5" t="s">
        <v>3884</v>
      </c>
      <c r="B242" s="5" t="s">
        <v>3885</v>
      </c>
      <c r="C242" s="5" t="s">
        <v>3886</v>
      </c>
      <c r="D242" s="5" t="s">
        <v>39</v>
      </c>
      <c r="E242" s="5" t="s">
        <v>2979</v>
      </c>
      <c r="F242" s="5" t="s">
        <v>3151</v>
      </c>
      <c r="G242" s="5" t="s">
        <v>3876</v>
      </c>
      <c r="H242" s="5" t="s">
        <v>91</v>
      </c>
      <c r="I242" s="5"/>
      <c r="J242" s="5" t="s">
        <v>2969</v>
      </c>
    </row>
    <row r="243" customFormat="false" ht="84" hidden="false" customHeight="true" outlineLevel="0" collapsed="false">
      <c r="A243" s="5" t="s">
        <v>3887</v>
      </c>
      <c r="B243" s="5" t="s">
        <v>3888</v>
      </c>
      <c r="C243" s="5" t="s">
        <v>3889</v>
      </c>
      <c r="D243" s="5" t="s">
        <v>39</v>
      </c>
      <c r="E243" s="5" t="s">
        <v>2979</v>
      </c>
      <c r="F243" s="5" t="s">
        <v>3201</v>
      </c>
      <c r="G243" s="5" t="s">
        <v>3890</v>
      </c>
      <c r="H243" s="5" t="s">
        <v>3891</v>
      </c>
      <c r="I243" s="5" t="s">
        <v>3652</v>
      </c>
      <c r="J243" s="5" t="s">
        <v>2969</v>
      </c>
    </row>
    <row r="244" customFormat="false" ht="57" hidden="false" customHeight="true" outlineLevel="0" collapsed="false">
      <c r="A244" s="5" t="s">
        <v>3892</v>
      </c>
      <c r="B244" s="5" t="s">
        <v>3893</v>
      </c>
      <c r="C244" s="5" t="s">
        <v>3894</v>
      </c>
      <c r="D244" s="5" t="s">
        <v>39</v>
      </c>
      <c r="E244" s="5" t="s">
        <v>2961</v>
      </c>
      <c r="F244" s="5" t="s">
        <v>3895</v>
      </c>
      <c r="G244" s="5" t="s">
        <v>2963</v>
      </c>
      <c r="H244" s="5" t="s">
        <v>845</v>
      </c>
      <c r="I244" s="5"/>
      <c r="J244" s="5" t="s">
        <v>2969</v>
      </c>
    </row>
    <row r="245" customFormat="false" ht="43.5" hidden="false" customHeight="true" outlineLevel="0" collapsed="false">
      <c r="A245" s="5" t="s">
        <v>3896</v>
      </c>
      <c r="B245" s="5" t="s">
        <v>3897</v>
      </c>
      <c r="C245" s="5" t="s">
        <v>3898</v>
      </c>
      <c r="D245" s="5" t="s">
        <v>39</v>
      </c>
      <c r="E245" s="5" t="s">
        <v>2979</v>
      </c>
      <c r="F245" s="5" t="s">
        <v>2980</v>
      </c>
      <c r="G245" s="5" t="s">
        <v>3899</v>
      </c>
      <c r="H245" s="5" t="s">
        <v>3076</v>
      </c>
      <c r="I245" s="5"/>
      <c r="J245" s="5" t="s">
        <v>3900</v>
      </c>
    </row>
    <row r="246" customFormat="false" ht="111" hidden="false" customHeight="true" outlineLevel="0" collapsed="false">
      <c r="A246" s="5" t="s">
        <v>3901</v>
      </c>
      <c r="B246" s="5" t="s">
        <v>3902</v>
      </c>
      <c r="C246" s="5" t="s">
        <v>3903</v>
      </c>
      <c r="D246" s="5" t="s">
        <v>39</v>
      </c>
      <c r="E246" s="5" t="s">
        <v>2961</v>
      </c>
      <c r="F246" s="5" t="s">
        <v>3904</v>
      </c>
      <c r="G246" s="5" t="s">
        <v>3905</v>
      </c>
      <c r="H246" s="5" t="s">
        <v>3076</v>
      </c>
      <c r="I246" s="5"/>
      <c r="J246" s="5" t="s">
        <v>3906</v>
      </c>
    </row>
    <row r="247" customFormat="false" ht="30" hidden="false" customHeight="true" outlineLevel="0" collapsed="false">
      <c r="A247" s="5" t="s">
        <v>3907</v>
      </c>
      <c r="B247" s="5" t="s">
        <v>3908</v>
      </c>
      <c r="C247" s="5" t="s">
        <v>3909</v>
      </c>
      <c r="D247" s="5" t="s">
        <v>39</v>
      </c>
      <c r="E247" s="5" t="s">
        <v>2979</v>
      </c>
      <c r="F247" s="5" t="s">
        <v>2980</v>
      </c>
      <c r="G247" s="5" t="s">
        <v>3910</v>
      </c>
      <c r="H247" s="5" t="s">
        <v>3076</v>
      </c>
      <c r="I247" s="5"/>
      <c r="J247" s="5" t="s">
        <v>2969</v>
      </c>
    </row>
    <row r="248" customFormat="false" ht="30" hidden="false" customHeight="true" outlineLevel="0" collapsed="false">
      <c r="A248" s="5" t="s">
        <v>3911</v>
      </c>
      <c r="B248" s="5" t="s">
        <v>3912</v>
      </c>
      <c r="C248" s="5" t="s">
        <v>3913</v>
      </c>
      <c r="D248" s="5" t="s">
        <v>39</v>
      </c>
      <c r="E248" s="5" t="s">
        <v>2979</v>
      </c>
      <c r="F248" s="5" t="s">
        <v>2980</v>
      </c>
      <c r="G248" s="5" t="s">
        <v>3910</v>
      </c>
      <c r="H248" s="5" t="s">
        <v>3076</v>
      </c>
      <c r="I248" s="5"/>
      <c r="J248" s="5" t="s">
        <v>2969</v>
      </c>
    </row>
    <row r="249" customFormat="false" ht="97.5" hidden="false" customHeight="true" outlineLevel="0" collapsed="false">
      <c r="A249" s="5" t="s">
        <v>3914</v>
      </c>
      <c r="B249" s="5" t="s">
        <v>3915</v>
      </c>
      <c r="C249" s="5" t="s">
        <v>3916</v>
      </c>
      <c r="D249" s="5" t="s">
        <v>41</v>
      </c>
      <c r="E249" s="5" t="s">
        <v>2979</v>
      </c>
      <c r="F249" s="5" t="s">
        <v>3201</v>
      </c>
      <c r="G249" s="5" t="s">
        <v>2963</v>
      </c>
      <c r="H249" s="5" t="s">
        <v>905</v>
      </c>
      <c r="I249" s="5" t="s">
        <v>3325</v>
      </c>
      <c r="J249" s="5" t="s">
        <v>3917</v>
      </c>
    </row>
    <row r="250" customFormat="false" ht="70.5" hidden="false" customHeight="true" outlineLevel="0" collapsed="false">
      <c r="A250" s="5" t="s">
        <v>3918</v>
      </c>
      <c r="B250" s="5" t="s">
        <v>3919</v>
      </c>
      <c r="C250" s="5" t="s">
        <v>3920</v>
      </c>
      <c r="D250" s="5" t="s">
        <v>41</v>
      </c>
      <c r="E250" s="5" t="s">
        <v>2961</v>
      </c>
      <c r="F250" s="5" t="s">
        <v>3921</v>
      </c>
      <c r="G250" s="5" t="s">
        <v>3922</v>
      </c>
      <c r="H250" s="5" t="s">
        <v>3923</v>
      </c>
      <c r="I250" s="5"/>
      <c r="J250" s="5" t="s">
        <v>3924</v>
      </c>
    </row>
    <row r="251" customFormat="false" ht="57" hidden="false" customHeight="true" outlineLevel="0" collapsed="false">
      <c r="A251" s="5" t="s">
        <v>3925</v>
      </c>
      <c r="B251" s="5" t="s">
        <v>3926</v>
      </c>
      <c r="C251" s="5" t="s">
        <v>3927</v>
      </c>
      <c r="D251" s="5" t="s">
        <v>41</v>
      </c>
      <c r="E251" s="5" t="s">
        <v>2979</v>
      </c>
      <c r="F251" s="5" t="s">
        <v>3201</v>
      </c>
      <c r="G251" s="5" t="s">
        <v>3928</v>
      </c>
      <c r="H251" s="5" t="s">
        <v>3923</v>
      </c>
      <c r="I251" s="5"/>
      <c r="J251" s="5" t="s">
        <v>3929</v>
      </c>
    </row>
    <row r="252" customFormat="false" ht="70.5" hidden="false" customHeight="true" outlineLevel="0" collapsed="false">
      <c r="A252" s="5" t="s">
        <v>3930</v>
      </c>
      <c r="B252" s="5" t="s">
        <v>3931</v>
      </c>
      <c r="C252" s="5" t="s">
        <v>3932</v>
      </c>
      <c r="D252" s="5" t="s">
        <v>41</v>
      </c>
      <c r="E252" s="5" t="s">
        <v>2961</v>
      </c>
      <c r="F252" s="5" t="s">
        <v>3933</v>
      </c>
      <c r="G252" s="5" t="s">
        <v>2963</v>
      </c>
      <c r="H252" s="5" t="s">
        <v>921</v>
      </c>
      <c r="I252" s="5"/>
      <c r="J252" s="5" t="s">
        <v>3934</v>
      </c>
    </row>
    <row r="253" customFormat="false" ht="57" hidden="false" customHeight="true" outlineLevel="0" collapsed="false">
      <c r="A253" s="5" t="s">
        <v>3935</v>
      </c>
      <c r="B253" s="5" t="s">
        <v>3936</v>
      </c>
      <c r="C253" s="5" t="s">
        <v>3937</v>
      </c>
      <c r="D253" s="5" t="s">
        <v>41</v>
      </c>
      <c r="E253" s="5" t="s">
        <v>2961</v>
      </c>
      <c r="F253" s="5" t="s">
        <v>3938</v>
      </c>
      <c r="G253" s="5" t="s">
        <v>2963</v>
      </c>
      <c r="H253" s="5" t="s">
        <v>936</v>
      </c>
      <c r="I253" s="5"/>
      <c r="J253" s="5" t="s">
        <v>3939</v>
      </c>
    </row>
    <row r="254" customFormat="false" ht="16.5" hidden="false" customHeight="true" outlineLevel="0" collapsed="false">
      <c r="A254" s="5" t="s">
        <v>3940</v>
      </c>
      <c r="B254" s="5" t="s">
        <v>3941</v>
      </c>
      <c r="C254" s="5" t="s">
        <v>3942</v>
      </c>
      <c r="D254" s="5" t="s">
        <v>41</v>
      </c>
      <c r="E254" s="5" t="s">
        <v>2973</v>
      </c>
      <c r="F254" s="5" t="s">
        <v>3943</v>
      </c>
      <c r="G254" s="5" t="s">
        <v>2963</v>
      </c>
      <c r="H254" s="5" t="s">
        <v>2969</v>
      </c>
      <c r="I254" s="5"/>
      <c r="J254" s="5" t="s">
        <v>3563</v>
      </c>
    </row>
    <row r="255" customFormat="false" ht="43.5" hidden="false" customHeight="true" outlineLevel="0" collapsed="false">
      <c r="A255" s="5" t="s">
        <v>3944</v>
      </c>
      <c r="B255" s="5" t="s">
        <v>3945</v>
      </c>
      <c r="C255" s="5" t="s">
        <v>3946</v>
      </c>
      <c r="D255" s="5" t="s">
        <v>41</v>
      </c>
      <c r="E255" s="5" t="s">
        <v>2961</v>
      </c>
      <c r="F255" s="5" t="s">
        <v>3947</v>
      </c>
      <c r="G255" s="5" t="s">
        <v>2963</v>
      </c>
      <c r="H255" s="5" t="s">
        <v>953</v>
      </c>
      <c r="I255" s="5"/>
      <c r="J255" s="5" t="s">
        <v>3948</v>
      </c>
    </row>
    <row r="256" customFormat="false" ht="16.5" hidden="false" customHeight="true" outlineLevel="0" collapsed="false">
      <c r="A256" s="5" t="s">
        <v>3949</v>
      </c>
      <c r="B256" s="5" t="s">
        <v>3950</v>
      </c>
      <c r="C256" s="5" t="s">
        <v>3951</v>
      </c>
      <c r="D256" s="5" t="s">
        <v>41</v>
      </c>
      <c r="E256" s="5" t="s">
        <v>2973</v>
      </c>
      <c r="F256" s="5" t="s">
        <v>3952</v>
      </c>
      <c r="G256" s="5" t="s">
        <v>2963</v>
      </c>
      <c r="H256" s="5" t="s">
        <v>2969</v>
      </c>
      <c r="I256" s="5"/>
      <c r="J256" s="5" t="s">
        <v>3563</v>
      </c>
    </row>
    <row r="257" customFormat="false" ht="43.5" hidden="false" customHeight="true" outlineLevel="0" collapsed="false">
      <c r="A257" s="5" t="s">
        <v>3953</v>
      </c>
      <c r="B257" s="5" t="s">
        <v>3954</v>
      </c>
      <c r="C257" s="5" t="s">
        <v>3955</v>
      </c>
      <c r="D257" s="5" t="s">
        <v>41</v>
      </c>
      <c r="E257" s="5" t="s">
        <v>2979</v>
      </c>
      <c r="F257" s="5" t="s">
        <v>2980</v>
      </c>
      <c r="G257" s="5" t="s">
        <v>961</v>
      </c>
      <c r="H257" s="5" t="s">
        <v>3956</v>
      </c>
      <c r="I257" s="5"/>
      <c r="J257" s="5" t="s">
        <v>2969</v>
      </c>
    </row>
    <row r="258" customFormat="false" ht="43.5" hidden="false" customHeight="true" outlineLevel="0" collapsed="false">
      <c r="A258" s="5" t="s">
        <v>3957</v>
      </c>
      <c r="B258" s="5" t="s">
        <v>3958</v>
      </c>
      <c r="C258" s="5" t="s">
        <v>3959</v>
      </c>
      <c r="D258" s="5" t="s">
        <v>41</v>
      </c>
      <c r="E258" s="5" t="s">
        <v>2979</v>
      </c>
      <c r="F258" s="5" t="s">
        <v>2980</v>
      </c>
      <c r="G258" s="5" t="s">
        <v>2963</v>
      </c>
      <c r="H258" s="5" t="s">
        <v>99</v>
      </c>
      <c r="I258" s="5"/>
      <c r="J258" s="5" t="s">
        <v>3960</v>
      </c>
    </row>
    <row r="259" customFormat="false" ht="16.5" hidden="false" customHeight="true" outlineLevel="0" collapsed="false">
      <c r="A259" s="5" t="s">
        <v>3961</v>
      </c>
      <c r="B259" s="5" t="s">
        <v>3962</v>
      </c>
      <c r="C259" s="5" t="s">
        <v>3561</v>
      </c>
      <c r="D259" s="5" t="s">
        <v>41</v>
      </c>
      <c r="E259" s="5" t="s">
        <v>2973</v>
      </c>
      <c r="F259" s="5" t="s">
        <v>3963</v>
      </c>
      <c r="G259" s="5" t="s">
        <v>2963</v>
      </c>
      <c r="H259" s="5" t="s">
        <v>2969</v>
      </c>
      <c r="I259" s="5"/>
      <c r="J259" s="5" t="s">
        <v>3563</v>
      </c>
    </row>
    <row r="260" customFormat="false" ht="84" hidden="false" customHeight="true" outlineLevel="0" collapsed="false">
      <c r="A260" s="5" t="s">
        <v>3964</v>
      </c>
      <c r="B260" s="5" t="s">
        <v>3965</v>
      </c>
      <c r="C260" s="5" t="s">
        <v>3966</v>
      </c>
      <c r="D260" s="5" t="s">
        <v>41</v>
      </c>
      <c r="E260" s="5" t="s">
        <v>2979</v>
      </c>
      <c r="F260" s="5" t="s">
        <v>2980</v>
      </c>
      <c r="G260" s="5" t="s">
        <v>982</v>
      </c>
      <c r="H260" s="5" t="s">
        <v>3967</v>
      </c>
      <c r="I260" s="5" t="s">
        <v>3652</v>
      </c>
      <c r="J260" s="5" t="s">
        <v>3968</v>
      </c>
    </row>
    <row r="261" customFormat="false" ht="30" hidden="false" customHeight="true" outlineLevel="0" collapsed="false">
      <c r="A261" s="5" t="s">
        <v>3969</v>
      </c>
      <c r="B261" s="5" t="s">
        <v>3970</v>
      </c>
      <c r="C261" s="5" t="s">
        <v>3971</v>
      </c>
      <c r="D261" s="5" t="s">
        <v>41</v>
      </c>
      <c r="E261" s="5" t="s">
        <v>2979</v>
      </c>
      <c r="F261" s="5" t="s">
        <v>2980</v>
      </c>
      <c r="G261" s="5" t="s">
        <v>982</v>
      </c>
      <c r="H261" s="5" t="s">
        <v>3967</v>
      </c>
      <c r="I261" s="5"/>
      <c r="J261" s="5" t="s">
        <v>2969</v>
      </c>
    </row>
    <row r="262" customFormat="false" ht="97.5" hidden="false" customHeight="true" outlineLevel="0" collapsed="false">
      <c r="A262" s="5" t="s">
        <v>3972</v>
      </c>
      <c r="B262" s="5" t="s">
        <v>3973</v>
      </c>
      <c r="C262" s="5" t="s">
        <v>3974</v>
      </c>
      <c r="D262" s="5" t="s">
        <v>41</v>
      </c>
      <c r="E262" s="5" t="s">
        <v>2979</v>
      </c>
      <c r="F262" s="5" t="s">
        <v>3201</v>
      </c>
      <c r="G262" s="5" t="s">
        <v>2963</v>
      </c>
      <c r="H262" s="5" t="s">
        <v>986</v>
      </c>
      <c r="I262" s="5" t="s">
        <v>3325</v>
      </c>
      <c r="J262" s="5" t="s">
        <v>2969</v>
      </c>
    </row>
    <row r="263" customFormat="false" ht="97.5" hidden="false" customHeight="true" outlineLevel="0" collapsed="false">
      <c r="A263" s="5" t="s">
        <v>3975</v>
      </c>
      <c r="B263" s="5" t="s">
        <v>3976</v>
      </c>
      <c r="C263" s="5" t="s">
        <v>3977</v>
      </c>
      <c r="D263" s="5" t="s">
        <v>41</v>
      </c>
      <c r="E263" s="5" t="s">
        <v>2979</v>
      </c>
      <c r="F263" s="5" t="s">
        <v>3201</v>
      </c>
      <c r="G263" s="5" t="s">
        <v>2963</v>
      </c>
      <c r="H263" s="5" t="s">
        <v>986</v>
      </c>
      <c r="I263" s="5" t="s">
        <v>3325</v>
      </c>
      <c r="J263" s="5" t="s">
        <v>2969</v>
      </c>
    </row>
    <row r="264" customFormat="false" ht="97.5" hidden="false" customHeight="true" outlineLevel="0" collapsed="false">
      <c r="A264" s="5" t="s">
        <v>3978</v>
      </c>
      <c r="B264" s="5" t="s">
        <v>3979</v>
      </c>
      <c r="C264" s="5" t="s">
        <v>3980</v>
      </c>
      <c r="D264" s="5" t="s">
        <v>41</v>
      </c>
      <c r="E264" s="5" t="s">
        <v>2979</v>
      </c>
      <c r="F264" s="5" t="s">
        <v>3201</v>
      </c>
      <c r="G264" s="5" t="s">
        <v>2963</v>
      </c>
      <c r="H264" s="5" t="s">
        <v>986</v>
      </c>
      <c r="I264" s="5" t="s">
        <v>3325</v>
      </c>
      <c r="J264" s="5" t="s">
        <v>2969</v>
      </c>
    </row>
    <row r="265" customFormat="false" ht="30" hidden="false" customHeight="true" outlineLevel="0" collapsed="false">
      <c r="A265" s="5" t="s">
        <v>3981</v>
      </c>
      <c r="B265" s="5" t="s">
        <v>3982</v>
      </c>
      <c r="C265" s="5" t="s">
        <v>3983</v>
      </c>
      <c r="D265" s="5" t="s">
        <v>41</v>
      </c>
      <c r="E265" s="5" t="s">
        <v>2979</v>
      </c>
      <c r="F265" s="5" t="s">
        <v>3201</v>
      </c>
      <c r="G265" s="5" t="s">
        <v>3984</v>
      </c>
      <c r="H265" s="5" t="s">
        <v>3985</v>
      </c>
      <c r="I265" s="5"/>
      <c r="J265" s="5" t="s">
        <v>2969</v>
      </c>
    </row>
    <row r="266" customFormat="false" ht="97.5" hidden="false" customHeight="true" outlineLevel="0" collapsed="false">
      <c r="A266" s="5" t="s">
        <v>3986</v>
      </c>
      <c r="B266" s="5" t="s">
        <v>3987</v>
      </c>
      <c r="C266" s="5" t="s">
        <v>3988</v>
      </c>
      <c r="D266" s="5" t="s">
        <v>41</v>
      </c>
      <c r="E266" s="5" t="s">
        <v>2961</v>
      </c>
      <c r="F266" s="5" t="s">
        <v>3989</v>
      </c>
      <c r="G266" s="5" t="s">
        <v>2963</v>
      </c>
      <c r="H266" s="5" t="s">
        <v>1012</v>
      </c>
      <c r="I266" s="5"/>
      <c r="J266" s="5" t="s">
        <v>2969</v>
      </c>
    </row>
    <row r="267" customFormat="false" ht="30" hidden="false" customHeight="true" outlineLevel="0" collapsed="false">
      <c r="A267" s="5" t="s">
        <v>3990</v>
      </c>
      <c r="B267" s="5" t="s">
        <v>3991</v>
      </c>
      <c r="C267" s="5" t="s">
        <v>3992</v>
      </c>
      <c r="D267" s="5" t="s">
        <v>41</v>
      </c>
      <c r="E267" s="5" t="s">
        <v>2979</v>
      </c>
      <c r="F267" s="5" t="s">
        <v>3201</v>
      </c>
      <c r="G267" s="5" t="s">
        <v>2963</v>
      </c>
      <c r="H267" s="5" t="s">
        <v>1052</v>
      </c>
      <c r="I267" s="5"/>
      <c r="J267" s="5" t="s">
        <v>2969</v>
      </c>
    </row>
    <row r="268" customFormat="false" ht="57" hidden="false" customHeight="true" outlineLevel="0" collapsed="false">
      <c r="A268" s="5" t="s">
        <v>3993</v>
      </c>
      <c r="B268" s="5" t="s">
        <v>3994</v>
      </c>
      <c r="C268" s="5" t="s">
        <v>3995</v>
      </c>
      <c r="D268" s="5" t="s">
        <v>41</v>
      </c>
      <c r="E268" s="5" t="s">
        <v>2979</v>
      </c>
      <c r="F268" s="5" t="s">
        <v>3201</v>
      </c>
      <c r="G268" s="5" t="s">
        <v>3996</v>
      </c>
      <c r="H268" s="5" t="s">
        <v>1029</v>
      </c>
      <c r="I268" s="5"/>
      <c r="J268" s="5" t="s">
        <v>3997</v>
      </c>
    </row>
    <row r="269" customFormat="false" ht="70.5" hidden="false" customHeight="true" outlineLevel="0" collapsed="false">
      <c r="A269" s="5" t="s">
        <v>3998</v>
      </c>
      <c r="B269" s="5" t="s">
        <v>3999</v>
      </c>
      <c r="C269" s="5" t="s">
        <v>4000</v>
      </c>
      <c r="D269" s="5" t="s">
        <v>41</v>
      </c>
      <c r="E269" s="5" t="s">
        <v>2961</v>
      </c>
      <c r="F269" s="5" t="s">
        <v>4001</v>
      </c>
      <c r="G269" s="5" t="s">
        <v>4002</v>
      </c>
      <c r="H269" s="5" t="s">
        <v>4003</v>
      </c>
      <c r="I269" s="5"/>
      <c r="J269" s="5" t="s">
        <v>4004</v>
      </c>
    </row>
    <row r="270" customFormat="false" ht="43.5" hidden="false" customHeight="true" outlineLevel="0" collapsed="false">
      <c r="A270" s="5" t="s">
        <v>4005</v>
      </c>
      <c r="B270" s="5" t="s">
        <v>4006</v>
      </c>
      <c r="C270" s="5" t="s">
        <v>4007</v>
      </c>
      <c r="D270" s="5" t="s">
        <v>41</v>
      </c>
      <c r="E270" s="5" t="s">
        <v>2979</v>
      </c>
      <c r="F270" s="5" t="s">
        <v>3201</v>
      </c>
      <c r="G270" s="5" t="s">
        <v>4002</v>
      </c>
      <c r="H270" s="5" t="s">
        <v>4003</v>
      </c>
      <c r="I270" s="5"/>
      <c r="J270" s="5" t="s">
        <v>4008</v>
      </c>
    </row>
    <row r="271" customFormat="false" ht="84" hidden="false" customHeight="true" outlineLevel="0" collapsed="false">
      <c r="A271" s="5" t="s">
        <v>4009</v>
      </c>
      <c r="B271" s="5" t="s">
        <v>4010</v>
      </c>
      <c r="C271" s="5" t="s">
        <v>4011</v>
      </c>
      <c r="D271" s="5" t="s">
        <v>41</v>
      </c>
      <c r="E271" s="5" t="s">
        <v>2979</v>
      </c>
      <c r="F271" s="5" t="s">
        <v>3201</v>
      </c>
      <c r="G271" s="5" t="s">
        <v>4012</v>
      </c>
      <c r="H271" s="5" t="s">
        <v>108</v>
      </c>
      <c r="I271" s="5"/>
      <c r="J271" s="5" t="s">
        <v>2969</v>
      </c>
    </row>
    <row r="272" customFormat="false" ht="111" hidden="false" customHeight="true" outlineLevel="0" collapsed="false">
      <c r="A272" s="5" t="s">
        <v>4013</v>
      </c>
      <c r="B272" s="5" t="s">
        <v>4014</v>
      </c>
      <c r="C272" s="5" t="s">
        <v>4015</v>
      </c>
      <c r="D272" s="5" t="s">
        <v>41</v>
      </c>
      <c r="E272" s="5" t="s">
        <v>2979</v>
      </c>
      <c r="F272" s="5" t="s">
        <v>3201</v>
      </c>
      <c r="G272" s="5" t="s">
        <v>4016</v>
      </c>
      <c r="H272" s="5" t="s">
        <v>4017</v>
      </c>
      <c r="I272" s="5"/>
      <c r="J272" s="5" t="s">
        <v>4018</v>
      </c>
    </row>
    <row r="273" customFormat="false" ht="111" hidden="false" customHeight="true" outlineLevel="0" collapsed="false">
      <c r="A273" s="5" t="s">
        <v>4019</v>
      </c>
      <c r="B273" s="5" t="s">
        <v>4020</v>
      </c>
      <c r="C273" s="5" t="s">
        <v>4021</v>
      </c>
      <c r="D273" s="5" t="s">
        <v>41</v>
      </c>
      <c r="E273" s="5" t="s">
        <v>2979</v>
      </c>
      <c r="F273" s="5" t="s">
        <v>3201</v>
      </c>
      <c r="G273" s="5" t="s">
        <v>4016</v>
      </c>
      <c r="H273" s="5" t="s">
        <v>4017</v>
      </c>
      <c r="I273" s="5"/>
      <c r="J273" s="5" t="s">
        <v>4022</v>
      </c>
    </row>
    <row r="274" customFormat="false" ht="84" hidden="false" customHeight="true" outlineLevel="0" collapsed="false">
      <c r="A274" s="5" t="s">
        <v>4023</v>
      </c>
      <c r="B274" s="5" t="s">
        <v>4024</v>
      </c>
      <c r="C274" s="5" t="s">
        <v>4025</v>
      </c>
      <c r="D274" s="5" t="s">
        <v>41</v>
      </c>
      <c r="E274" s="5" t="s">
        <v>2961</v>
      </c>
      <c r="F274" s="5" t="s">
        <v>4026</v>
      </c>
      <c r="G274" s="5" t="s">
        <v>2963</v>
      </c>
      <c r="H274" s="5" t="s">
        <v>190</v>
      </c>
      <c r="I274" s="5"/>
      <c r="J274" s="5" t="s">
        <v>2969</v>
      </c>
    </row>
    <row r="275" customFormat="false" ht="16.5" hidden="false" customHeight="true" outlineLevel="0" collapsed="false">
      <c r="A275" s="5" t="s">
        <v>4027</v>
      </c>
      <c r="B275" s="5" t="s">
        <v>4028</v>
      </c>
      <c r="C275" s="5" t="s">
        <v>4029</v>
      </c>
      <c r="D275" s="5" t="s">
        <v>41</v>
      </c>
      <c r="E275" s="5" t="s">
        <v>2979</v>
      </c>
      <c r="F275" s="5" t="s">
        <v>3151</v>
      </c>
      <c r="G275" s="5" t="s">
        <v>2963</v>
      </c>
      <c r="H275" s="5" t="s">
        <v>190</v>
      </c>
      <c r="I275" s="5"/>
      <c r="J275" s="5" t="s">
        <v>2969</v>
      </c>
    </row>
    <row r="276" customFormat="false" ht="30" hidden="false" customHeight="true" outlineLevel="0" collapsed="false">
      <c r="A276" s="5" t="s">
        <v>4030</v>
      </c>
      <c r="B276" s="5" t="s">
        <v>4031</v>
      </c>
      <c r="C276" s="5" t="s">
        <v>4032</v>
      </c>
      <c r="D276" s="5" t="s">
        <v>41</v>
      </c>
      <c r="E276" s="5" t="s">
        <v>2979</v>
      </c>
      <c r="F276" s="5" t="s">
        <v>3201</v>
      </c>
      <c r="G276" s="5" t="s">
        <v>4033</v>
      </c>
      <c r="H276" s="5" t="s">
        <v>4034</v>
      </c>
      <c r="I276" s="5"/>
      <c r="J276" s="5" t="s">
        <v>2969</v>
      </c>
    </row>
    <row r="277" customFormat="false" ht="43.5" hidden="false" customHeight="true" outlineLevel="0" collapsed="false">
      <c r="A277" s="5" t="s">
        <v>4035</v>
      </c>
      <c r="B277" s="5" t="s">
        <v>4036</v>
      </c>
      <c r="C277" s="5" t="s">
        <v>4037</v>
      </c>
      <c r="D277" s="5" t="s">
        <v>41</v>
      </c>
      <c r="E277" s="5" t="s">
        <v>2979</v>
      </c>
      <c r="F277" s="5" t="s">
        <v>2980</v>
      </c>
      <c r="G277" s="5" t="s">
        <v>3472</v>
      </c>
      <c r="H277" s="5" t="s">
        <v>3464</v>
      </c>
      <c r="I277" s="5"/>
      <c r="J277" s="5" t="s">
        <v>4038</v>
      </c>
    </row>
    <row r="278" customFormat="false" ht="70.5" hidden="false" customHeight="true" outlineLevel="0" collapsed="false">
      <c r="A278" s="5" t="s">
        <v>4039</v>
      </c>
      <c r="B278" s="5" t="s">
        <v>4040</v>
      </c>
      <c r="C278" s="5" t="s">
        <v>4041</v>
      </c>
      <c r="D278" s="5" t="s">
        <v>41</v>
      </c>
      <c r="E278" s="5" t="s">
        <v>2961</v>
      </c>
      <c r="F278" s="5" t="s">
        <v>4042</v>
      </c>
      <c r="G278" s="5" t="s">
        <v>4043</v>
      </c>
      <c r="H278" s="5" t="s">
        <v>4044</v>
      </c>
      <c r="I278" s="5"/>
      <c r="J278" s="5" t="s">
        <v>4045</v>
      </c>
    </row>
    <row r="279" customFormat="false" ht="43.5" hidden="false" customHeight="true" outlineLevel="0" collapsed="false">
      <c r="A279" s="5" t="s">
        <v>4046</v>
      </c>
      <c r="B279" s="5" t="s">
        <v>4047</v>
      </c>
      <c r="C279" s="5" t="s">
        <v>4048</v>
      </c>
      <c r="D279" s="5" t="s">
        <v>51</v>
      </c>
      <c r="E279" s="5" t="s">
        <v>2979</v>
      </c>
      <c r="F279" s="5" t="s">
        <v>2980</v>
      </c>
      <c r="G279" s="5" t="s">
        <v>4049</v>
      </c>
      <c r="H279" s="5" t="s">
        <v>1809</v>
      </c>
      <c r="I279" s="5"/>
      <c r="J279" s="5" t="s">
        <v>2969</v>
      </c>
    </row>
    <row r="280" customFormat="false" ht="43.5" hidden="false" customHeight="true" outlineLevel="0" collapsed="false">
      <c r="A280" s="5" t="s">
        <v>4050</v>
      </c>
      <c r="B280" s="5" t="s">
        <v>4051</v>
      </c>
      <c r="C280" s="5" t="s">
        <v>4052</v>
      </c>
      <c r="D280" s="5" t="s">
        <v>51</v>
      </c>
      <c r="E280" s="5" t="s">
        <v>2979</v>
      </c>
      <c r="F280" s="5" t="s">
        <v>2980</v>
      </c>
      <c r="G280" s="5" t="s">
        <v>4049</v>
      </c>
      <c r="H280" s="5" t="s">
        <v>1809</v>
      </c>
      <c r="I280" s="5"/>
      <c r="J280" s="5" t="s">
        <v>2969</v>
      </c>
    </row>
    <row r="281" customFormat="false" ht="43.5" hidden="false" customHeight="true" outlineLevel="0" collapsed="false">
      <c r="A281" s="5" t="s">
        <v>4053</v>
      </c>
      <c r="B281" s="5" t="s">
        <v>4054</v>
      </c>
      <c r="C281" s="5" t="s">
        <v>4055</v>
      </c>
      <c r="D281" s="5" t="s">
        <v>51</v>
      </c>
      <c r="E281" s="5" t="s">
        <v>2979</v>
      </c>
      <c r="F281" s="5" t="s">
        <v>2980</v>
      </c>
      <c r="G281" s="5" t="s">
        <v>4049</v>
      </c>
      <c r="H281" s="5" t="s">
        <v>1809</v>
      </c>
      <c r="I281" s="5"/>
      <c r="J281" s="5" t="s">
        <v>2969</v>
      </c>
    </row>
    <row r="282" customFormat="false" ht="43.5" hidden="false" customHeight="true" outlineLevel="0" collapsed="false">
      <c r="A282" s="5" t="s">
        <v>4056</v>
      </c>
      <c r="B282" s="5" t="s">
        <v>4057</v>
      </c>
      <c r="C282" s="5" t="s">
        <v>4058</v>
      </c>
      <c r="D282" s="5" t="s">
        <v>51</v>
      </c>
      <c r="E282" s="5" t="s">
        <v>2979</v>
      </c>
      <c r="F282" s="5" t="s">
        <v>2980</v>
      </c>
      <c r="G282" s="5" t="s">
        <v>4049</v>
      </c>
      <c r="H282" s="5" t="s">
        <v>1809</v>
      </c>
      <c r="I282" s="5"/>
      <c r="J282" s="5" t="s">
        <v>2969</v>
      </c>
    </row>
    <row r="283" customFormat="false" ht="43.5" hidden="false" customHeight="true" outlineLevel="0" collapsed="false">
      <c r="A283" s="5" t="s">
        <v>4059</v>
      </c>
      <c r="B283" s="5" t="s">
        <v>4060</v>
      </c>
      <c r="C283" s="5" t="s">
        <v>4061</v>
      </c>
      <c r="D283" s="5" t="s">
        <v>51</v>
      </c>
      <c r="E283" s="5" t="s">
        <v>2979</v>
      </c>
      <c r="F283" s="5" t="s">
        <v>2980</v>
      </c>
      <c r="G283" s="5" t="s">
        <v>4049</v>
      </c>
      <c r="H283" s="5" t="s">
        <v>1809</v>
      </c>
      <c r="I283" s="5"/>
      <c r="J283" s="5" t="s">
        <v>2969</v>
      </c>
    </row>
    <row r="284" customFormat="false" ht="43.5" hidden="false" customHeight="true" outlineLevel="0" collapsed="false">
      <c r="A284" s="5" t="s">
        <v>4062</v>
      </c>
      <c r="B284" s="5" t="s">
        <v>4063</v>
      </c>
      <c r="C284" s="5" t="s">
        <v>4064</v>
      </c>
      <c r="D284" s="5" t="s">
        <v>51</v>
      </c>
      <c r="E284" s="5" t="s">
        <v>2979</v>
      </c>
      <c r="F284" s="5" t="s">
        <v>2980</v>
      </c>
      <c r="G284" s="5" t="s">
        <v>4049</v>
      </c>
      <c r="H284" s="5" t="s">
        <v>1809</v>
      </c>
      <c r="I284" s="5"/>
      <c r="J284" s="5" t="s">
        <v>2969</v>
      </c>
    </row>
    <row r="285" customFormat="false" ht="43.5" hidden="false" customHeight="true" outlineLevel="0" collapsed="false">
      <c r="A285" s="5" t="s">
        <v>4065</v>
      </c>
      <c r="B285" s="5" t="s">
        <v>4066</v>
      </c>
      <c r="C285" s="5" t="s">
        <v>4067</v>
      </c>
      <c r="D285" s="5" t="s">
        <v>51</v>
      </c>
      <c r="E285" s="5" t="s">
        <v>2979</v>
      </c>
      <c r="F285" s="5" t="s">
        <v>2980</v>
      </c>
      <c r="G285" s="5" t="s">
        <v>4049</v>
      </c>
      <c r="H285" s="5" t="s">
        <v>1809</v>
      </c>
      <c r="I285" s="5"/>
      <c r="J285" s="5" t="s">
        <v>2969</v>
      </c>
    </row>
    <row r="286" customFormat="false" ht="43.5" hidden="false" customHeight="true" outlineLevel="0" collapsed="false">
      <c r="A286" s="5" t="s">
        <v>4068</v>
      </c>
      <c r="B286" s="5" t="s">
        <v>4069</v>
      </c>
      <c r="C286" s="5" t="s">
        <v>4070</v>
      </c>
      <c r="D286" s="5" t="s">
        <v>51</v>
      </c>
      <c r="E286" s="5" t="s">
        <v>2979</v>
      </c>
      <c r="F286" s="5" t="s">
        <v>2980</v>
      </c>
      <c r="G286" s="5" t="s">
        <v>4049</v>
      </c>
      <c r="H286" s="5" t="s">
        <v>1809</v>
      </c>
      <c r="I286" s="5"/>
      <c r="J286" s="5" t="s">
        <v>2969</v>
      </c>
    </row>
    <row r="287" customFormat="false" ht="43.5" hidden="false" customHeight="true" outlineLevel="0" collapsed="false">
      <c r="A287" s="5" t="s">
        <v>4071</v>
      </c>
      <c r="B287" s="5" t="s">
        <v>4072</v>
      </c>
      <c r="C287" s="5" t="s">
        <v>4073</v>
      </c>
      <c r="D287" s="5" t="s">
        <v>51</v>
      </c>
      <c r="E287" s="5" t="s">
        <v>2979</v>
      </c>
      <c r="F287" s="5" t="s">
        <v>2980</v>
      </c>
      <c r="G287" s="5" t="s">
        <v>4049</v>
      </c>
      <c r="H287" s="5" t="s">
        <v>1809</v>
      </c>
      <c r="I287" s="5"/>
      <c r="J287" s="5" t="s">
        <v>2969</v>
      </c>
    </row>
    <row r="288" customFormat="false" ht="43.5" hidden="false" customHeight="true" outlineLevel="0" collapsed="false">
      <c r="A288" s="5" t="s">
        <v>4074</v>
      </c>
      <c r="B288" s="5" t="s">
        <v>4075</v>
      </c>
      <c r="C288" s="5" t="s">
        <v>4076</v>
      </c>
      <c r="D288" s="5" t="s">
        <v>51</v>
      </c>
      <c r="E288" s="5" t="s">
        <v>2979</v>
      </c>
      <c r="F288" s="5" t="s">
        <v>2980</v>
      </c>
      <c r="G288" s="5" t="s">
        <v>4049</v>
      </c>
      <c r="H288" s="5" t="s">
        <v>1809</v>
      </c>
      <c r="I288" s="5"/>
      <c r="J288" s="5" t="s">
        <v>2969</v>
      </c>
    </row>
  </sheetData>
  <sheetProtection sheet="true" formatColumns="false" formatRows="false" sort="false" autoFilter="false"/>
  <autoFilter ref="A1:J2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2026-09-20T16:19:07Z</dcterms:created>
  <dc:creator>openpyxl</dc:creator>
  <dc:description/>
  <dc:language>en-US</dc:language>
  <cp:lastModifiedBy/>
  <dcterms:modified xsi:type="dcterms:W3CDTF">2026-09-20T16:19:07Z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