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Offene Befunde" sheetId="2" state="visible" r:id="rId2"/>
    <sheet xmlns:r="http://schemas.openxmlformats.org/officeDocument/2006/relationships" name="Eingearbeitet" sheetId="3" state="visible" r:id="rId3"/>
    <sheet xmlns:r="http://schemas.openxmlformats.org/officeDocument/2006/relationships" name="Ohne Befund" sheetId="4" state="visible" r:id="rId4"/>
  </sheets>
  <definedNames>
    <definedName name="_xlnm._FilterDatabase" localSheetId="1" hidden="1">'Offene Befunde'!$A$1:$P$1</definedName>
    <definedName name="_xlnm._FilterDatabase" localSheetId="2" hidden="1">'Eingearbeitet'!$A$1:$N$54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color rgb="00FFFFFF"/>
      <sz val="10"/>
    </font>
    <font>
      <name val="Arial"/>
      <b val="1"/>
      <sz val="10"/>
    </font>
  </fonts>
  <fills count="9">
    <fill>
      <patternFill/>
    </fill>
    <fill>
      <patternFill patternType="gray125"/>
    </fill>
    <fill>
      <patternFill patternType="solid">
        <fgColor rgb="001F3864"/>
      </patternFill>
    </fill>
    <fill>
      <patternFill patternType="solid">
        <fgColor rgb="00F8CBAD"/>
      </patternFill>
    </fill>
    <fill>
      <patternFill patternType="solid">
        <fgColor rgb="00FCE4D6"/>
      </patternFill>
    </fill>
    <fill>
      <patternFill patternType="solid">
        <fgColor rgb="00FFE699"/>
      </patternFill>
    </fill>
    <fill>
      <patternFill patternType="solid">
        <fgColor rgb="00FFF2CC"/>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pane="bottomLeft" activeCell="A1" sqref="A1"/>
    </sheetView>
  </sheetViews>
  <sheetFormatPr baseColWidth="8" defaultRowHeight="15"/>
  <cols>
    <col width="34" customWidth="1" min="1" max="1"/>
    <col width="12" customWidth="1" min="2" max="2"/>
    <col width="104" customWidth="1" min="3" max="3"/>
  </cols>
  <sheetData>
    <row r="1">
      <c r="A1" s="1" t="inlineStr">
        <is>
          <t>Externer Prüfbericht Riedl-Fragenkatalog – Klärungsliste</t>
        </is>
      </c>
    </row>
    <row r="2">
      <c r="A2" s="2" t="inlineStr">
        <is>
          <t>Quelle: GBU_Riedl_Fragenkatalog_Pruefbericht.xlsx (externe Gegenlesung) · Stand der Prüfung: 2026-09-20</t>
        </is>
      </c>
    </row>
    <row r="3">
      <c r="A3" s="2" t="inlineStr">
        <is>
          <t>Geprüft gegen: GBU_Riedl_Fragenkatalog.xlsx aus riedl-mf-2026.1 / riedl-cyber-2026.1</t>
        </is>
      </c>
    </row>
    <row r="4">
      <c r="A4" s="2" t="inlineStr">
        <is>
          <t>Eingearbeitet in: 81-20-mf-2026.10, 81-80-mf-2026.8, cyber-mf-2026.3, riedl-mf-2026.2, riedl-cyber-2026.2</t>
        </is>
      </c>
    </row>
    <row r="5">
      <c r="A5" s="2" t="inlineStr">
        <is>
          <t>Gegenprüfung der Befunde gegen die Katalog-JSON (Regelbedingungen, Prioritäten, Pflicht- und Sichtbarkeitsbedingungen, Annahmen und Nachweise) am 20.09.2026; danach Umsetzung im Katalog, Neuerzeugung aller Kataloge und Durchlauf von mf_smoke.ts, cy_smoke.ts und riedl_smoke.ts.</t>
        </is>
      </c>
    </row>
    <row r="7">
      <c r="A7" s="1" t="inlineStr">
        <is>
          <t>Stand der Bearbeitung</t>
        </is>
      </c>
    </row>
    <row r="8">
      <c r="A8" s="3" t="inlineStr">
        <is>
          <t>Gruppe</t>
        </is>
      </c>
      <c r="B8" s="3" t="inlineStr">
        <is>
          <t>Anzahl</t>
        </is>
      </c>
      <c r="C8" s="3" t="inlineStr">
        <is>
          <t>Bedeutung</t>
        </is>
      </c>
    </row>
    <row r="9">
      <c r="A9" s="4" t="inlineStr">
        <is>
          <t>Eingearbeitet 20.09.2026</t>
        </is>
      </c>
      <c r="B9" s="5">
        <f>COUNTIF(Eingearbeitet!A:A,"B*")</f>
        <v/>
      </c>
      <c r="C9" s="6" t="inlineStr">
        <is>
          <t>Stand 20.09.2026: 52 erledigt, 7 teilweise, 10 bewusst nicht übernommen – Spalte „Entscheidung im Katalog“; inhaltlich ist kein Befund mehr offen</t>
        </is>
      </c>
    </row>
    <row r="10">
      <c r="A10" s="4" t="inlineStr">
        <is>
          <t>Offen gesamt</t>
        </is>
      </c>
      <c r="B10" s="5">
        <f>COUNTA('Offene Befunde'!A2:A1)</f>
        <v/>
      </c>
      <c r="C10" s="6" t="inlineStr">
        <is>
          <t>noch zu entscheiden – Spalte „Entscheidung“ im Blatt „Offene Befunde“</t>
        </is>
      </c>
    </row>
    <row r="11">
      <c r="A11" s="4" t="inlineStr">
        <is>
          <t>davon Mittel</t>
        </is>
      </c>
      <c r="B11" s="5">
        <f>COUNTIF('Offene Befunde'!B:B,"Mittel")</f>
        <v/>
      </c>
      <c r="C11" s="6" t="inlineStr">
        <is>
          <t>Dopplung, unnötiger Schritt oder unklare Bedingung mit Wirkung auf Bericht und Bedienung</t>
        </is>
      </c>
    </row>
    <row r="12">
      <c r="A12" s="4" t="inlineStr">
        <is>
          <t>davon Niedrig</t>
        </is>
      </c>
      <c r="B12" s="5">
        <f>COUNTIF('Offene Befunde'!B:B,"Niedrig")</f>
        <v/>
      </c>
      <c r="C12" s="6" t="inlineStr">
        <is>
          <t>formal, kosmetisch oder Vereinfachungsvorschlag</t>
        </is>
      </c>
    </row>
    <row r="13">
      <c r="A13" s="4" t="inlineStr">
        <is>
          <t>Nachprüfung: bestätigt</t>
        </is>
      </c>
      <c r="B13" s="5">
        <f>COUNTIF('Offene Befunde'!I:I,"bestätigt")</f>
        <v/>
      </c>
      <c r="C13" s="6" t="inlineStr">
        <is>
          <t>Befund gegen die Katalog-JSON nachvollzogen</t>
        </is>
      </c>
    </row>
    <row r="14">
      <c r="A14" s="4" t="inlineStr">
        <is>
          <t>Nachprüfung: teilweise</t>
        </is>
      </c>
      <c r="B14" s="5">
        <f>COUNTIF('Offene Befunde'!I:I,"teilweise")</f>
        <v/>
      </c>
      <c r="C14" s="6" t="inlineStr">
        <is>
          <t>Kern des Befunds trifft zu, die Begründung nicht vollständig – siehe Spalte „Ergebnis der Nachprüfung“</t>
        </is>
      </c>
    </row>
    <row r="15">
      <c r="A15" s="4" t="inlineStr">
        <is>
          <t>Nachprüfung: nicht bestätigt</t>
        </is>
      </c>
      <c r="B15" s="5">
        <f>COUNTIF('Offene Befunde'!I:I,"nicht bestätigt")</f>
        <v/>
      </c>
      <c r="C15" s="6" t="inlineStr">
        <is>
          <t>kein Fehler – Erklärung in der Spalte „Ergebnis der Nachprüfung“</t>
        </is>
      </c>
    </row>
    <row r="16">
      <c r="A16" s="4" t="inlineStr">
        <is>
          <t>Nachprüfung: bewusste Entscheidung</t>
        </is>
      </c>
      <c r="B16" s="5">
        <f>COUNTIF('Offene Befunde'!I:I,"bewusste Entscheidung")</f>
        <v/>
      </c>
      <c r="C16" s="6" t="inlineStr">
        <is>
          <t>so gewollt; die Anregung des Prüfers steht trotzdem im Vorschlag</t>
        </is>
      </c>
    </row>
    <row r="17">
      <c r="A17" s="4" t="inlineStr">
        <is>
          <t>Aufwand klein</t>
        </is>
      </c>
      <c r="B17" s="5">
        <f>COUNTIF('Offene Befunde'!L:L,"klein")</f>
        <v/>
      </c>
      <c r="C17" s="6" t="inlineStr">
        <is>
          <t>eine Regel, eine Bedingung oder ein Text – im laufenden Durchgang erledigt</t>
        </is>
      </c>
    </row>
    <row r="18">
      <c r="A18" s="4" t="inlineStr">
        <is>
          <t>Aufwand mittel</t>
        </is>
      </c>
      <c r="B18" s="5">
        <f>COUNTIF('Offene Befunde'!L:L,"mittel")</f>
        <v/>
      </c>
      <c r="C18" s="6" t="inlineStr">
        <is>
          <t>neue Frage, neue Gefährdung oder Eingriff in Erhebung bzw. Bericht</t>
        </is>
      </c>
    </row>
    <row r="20">
      <c r="A20" s="1" t="inlineStr">
        <is>
          <t>Empfohlene Reihenfolge</t>
        </is>
      </c>
    </row>
    <row r="21">
      <c r="A21" s="3" t="inlineStr">
        <is>
          <t>Paket</t>
        </is>
      </c>
      <c r="B21" s="3" t="inlineStr"/>
      <c r="C21" s="3" t="inlineStr">
        <is>
          <t>Inhalt</t>
        </is>
      </c>
    </row>
    <row r="22" ht="46" customHeight="1">
      <c r="A22" s="4" t="inlineStr">
        <is>
          <t>1. Regelfreigabe</t>
        </is>
      </c>
      <c r="B22" s="6" t="inlineStr"/>
      <c r="C22" s="6" t="inlineStr">
        <is>
          <t>Durch die inhaltlichen Änderungen stehen 354 von 415 MF-Regeln wieder auf „Freigabe offen“ (94 Auffangregeln, 120 inhaltlich geändert). GBU_MF_Regelpruefung.xlsx ist mit diesem Stand neu erzeugt; Rücklauf über apply_mf_regelpruefung.py. Im Cyber-Teil sind es drei Regeln (CY-Z04-R5, CY-N01-R5, CY-C12-R3).</t>
        </is>
      </c>
    </row>
    <row r="23" ht="46" customHeight="1">
      <c r="A23" s="4" t="inlineStr">
        <is>
          <t>2. Regelversionen ausrollen</t>
        </is>
      </c>
      <c r="B23" s="6" t="inlineStr"/>
      <c r="C23" s="6" t="inlineStr">
        <is>
          <t>Die Versionen sind gehoben (81-20-mf-2026.10, cyber-mf-2026.3, 81-80-mf-2026.8, riedl-mf-2026.2, riedl-cyber-2026.2). Entscheiden, wann die App-Assets neu erzeugt (gen_app_asset.py) und die Kataloge in die Datenbank geladen werden.</t>
        </is>
      </c>
    </row>
    <row r="24" ht="46" customHeight="1">
      <c r="A24" s="4" t="inlineStr">
        <is>
          <t>3. Erhebungsaufwand nachrechnen</t>
        </is>
      </c>
      <c r="B24" s="6" t="inlineStr"/>
      <c r="C24" s="6" t="inlineStr">
        <is>
          <t>B36 (acht Baujahr-Annahmen auf Zustandsfragen gestrichen) und B06 (weniger Nachweis-Vorbelegungen) erhöhen den Erhebungsaufwand. sim_karten.py zeigt die Wirkung je Profil; falls einzelne Fragen zu teuer werden, Frage für Frage nachsteuern.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9" customWidth="1" min="3" max="3"/>
    <col width="15" customWidth="1" min="4" max="4"/>
    <col width="24" customWidth="1" min="5" max="5"/>
    <col width="46" customWidth="1" min="6" max="6"/>
    <col width="34" customWidth="1" min="7" max="7"/>
    <col width="40" customWidth="1" min="8" max="8"/>
    <col width="13" customWidth="1" min="9" max="9"/>
    <col width="50" customWidth="1" min="10" max="10"/>
    <col width="56" customWidth="1" min="11" max="11"/>
    <col width="9" customWidth="1" min="12" max="12"/>
    <col width="22" customWidth="1" min="13" max="13"/>
    <col width="32" customWidth="1" min="14" max="14"/>
    <col width="16" customWidth="1" min="15" max="15"/>
    <col width="30" customWidth="1" min="16" max="16"/>
  </cols>
  <sheetData>
    <row r="1">
      <c r="A1" s="3" t="inlineStr">
        <is>
          <t>Nr.</t>
        </is>
      </c>
      <c r="B1" s="3" t="inlineStr">
        <is>
          <t>Schwere</t>
        </is>
      </c>
      <c r="C1" s="3" t="inlineStr">
        <is>
          <t>Katalog</t>
        </is>
      </c>
      <c r="D1" s="3" t="inlineStr">
        <is>
          <t>Kategorie</t>
        </is>
      </c>
      <c r="E1" s="3" t="inlineStr">
        <is>
          <t>Fundstelle</t>
        </is>
      </c>
      <c r="F1" s="3" t="inlineStr">
        <is>
          <t>Befund (extern)</t>
        </is>
      </c>
      <c r="G1" s="3" t="inlineStr">
        <is>
          <t>Auswirkung (extern)</t>
        </is>
      </c>
      <c r="H1" s="3" t="inlineStr">
        <is>
          <t>Empfehlung (extern)</t>
        </is>
      </c>
      <c r="I1" s="3" t="inlineStr">
        <is>
          <t>Nachprüfung</t>
        </is>
      </c>
      <c r="J1" s="3" t="inlineStr">
        <is>
          <t>Ergebnis der Nachprüfung</t>
        </is>
      </c>
      <c r="K1" s="3" t="inlineStr">
        <is>
          <t>Vorschlag zur Umsetzung</t>
        </is>
      </c>
      <c r="L1" s="3" t="inlineStr">
        <is>
          <t>Aufwand</t>
        </is>
      </c>
      <c r="M1" s="3" t="inlineStr">
        <is>
          <t>Entscheidung im Katalog</t>
        </is>
      </c>
      <c r="N1" s="3" t="inlineStr">
        <is>
          <t>Fundstelle im Code</t>
        </is>
      </c>
      <c r="O1" s="3" t="inlineStr">
        <is>
          <t>Entscheidung</t>
        </is>
      </c>
      <c r="P1" s="3" t="inlineStr">
        <is>
          <t>Bemerkung</t>
        </is>
      </c>
    </row>
    <row r="2"/>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9" customWidth="1" min="3" max="3"/>
    <col width="15" customWidth="1" min="4" max="4"/>
    <col width="24" customWidth="1" min="5" max="5"/>
    <col width="46" customWidth="1" min="6" max="6"/>
    <col width="34" customWidth="1" min="7" max="7"/>
    <col width="40" customWidth="1" min="8" max="8"/>
    <col width="13" customWidth="1" min="9" max="9"/>
    <col width="50" customWidth="1" min="10" max="10"/>
    <col width="56" customWidth="1" min="11" max="11"/>
    <col width="9" customWidth="1" min="12" max="12"/>
    <col width="22" customWidth="1" min="13" max="13"/>
    <col width="32" customWidth="1" min="14" max="14"/>
  </cols>
  <sheetData>
    <row r="1">
      <c r="A1" s="3" t="inlineStr">
        <is>
          <t>Nr.</t>
        </is>
      </c>
      <c r="B1" s="3" t="inlineStr">
        <is>
          <t>Schwere</t>
        </is>
      </c>
      <c r="C1" s="3" t="inlineStr">
        <is>
          <t>Katalog</t>
        </is>
      </c>
      <c r="D1" s="3" t="inlineStr">
        <is>
          <t>Kategorie</t>
        </is>
      </c>
      <c r="E1" s="3" t="inlineStr">
        <is>
          <t>Fundstelle</t>
        </is>
      </c>
      <c r="F1" s="3" t="inlineStr">
        <is>
          <t>Befund (extern)</t>
        </is>
      </c>
      <c r="G1" s="3" t="inlineStr">
        <is>
          <t>Auswirkung (extern)</t>
        </is>
      </c>
      <c r="H1" s="3" t="inlineStr">
        <is>
          <t>Empfehlung (extern)</t>
        </is>
      </c>
      <c r="I1" s="3" t="inlineStr">
        <is>
          <t>Nachprüfung</t>
        </is>
      </c>
      <c r="J1" s="3" t="inlineStr">
        <is>
          <t>Ergebnis der Nachprüfung</t>
        </is>
      </c>
      <c r="K1" s="3" t="inlineStr">
        <is>
          <t>Vorschlag zur Umsetzung</t>
        </is>
      </c>
      <c r="L1" s="3" t="inlineStr">
        <is>
          <t>Aufwand</t>
        </is>
      </c>
      <c r="M1" s="3" t="inlineStr">
        <is>
          <t>Entscheidung im Katalog</t>
        </is>
      </c>
      <c r="N1" s="3" t="inlineStr">
        <is>
          <t>Fundstelle im Code</t>
        </is>
      </c>
    </row>
    <row r="2" ht="78" customHeight="1">
      <c r="A2" s="4" t="inlineStr">
        <is>
          <t>B01</t>
        </is>
      </c>
      <c r="B2" s="7" t="inlineStr">
        <is>
          <t>Hoch</t>
        </is>
      </c>
      <c r="C2" s="6" t="inlineStr">
        <is>
          <t>GBU</t>
        </is>
      </c>
      <c r="D2" s="6" t="inlineStr">
        <is>
          <t>Bewertungslücke</t>
        </is>
      </c>
      <c r="E2" s="6" t="inlineStr">
        <is>
          <t>MF-M13 · 6.12 / 6.13</t>
        </is>
      </c>
      <c r="F2" s="6" t="inlineStr">
        <is>
          <t>6.13 = Ja (Fahrkorb sinkt im Stillstand merklich ab) hat nur zusammen mit 6.12 = Nein eine Regel (R2 Hoch). Bei 6.12 = Ja UND 6.13 = Ja greift keine Mangelregel.</t>
        </is>
      </c>
      <c r="G2" s="6" t="inlineStr">
        <is>
          <t>Eine vorhandene, aber offensichtlich unwirksame Kolbenabsinkverhinderung wird als „Kein Risiko“ bewertet.</t>
        </is>
      </c>
      <c r="H2" s="6" t="inlineStr">
        <is>
          <t>Regel ergänzen: [6.13] = Ja UND [6.12] = Ja → mindestens Mittel (KAV/Nachholsteuerung unwirksam, Leckage suchen), oder R2 auf [6.13] = Ja allein stellen.</t>
        </is>
      </c>
      <c r="I2" s="8" t="inlineStr">
        <is>
          <t>bestätigt</t>
        </is>
      </c>
      <c r="J2" s="6" t="inlineStr">
        <is>
          <t>Nachgerechnet: MF-M13 hatte keine Regel für 6.13 = Ja UND 6.12 = Ja.</t>
        </is>
      </c>
      <c r="K2" s="6" t="inlineStr">
        <is>
          <t>MF-M13 bewertet jetzt auch ein merkliches Absinken TROTZ vorhandener Kolbenabsinkverhinderung (6.12 = Ja UND 6.13 = Ja) mit Mittel: Fahrkorb vor Arbeiten absetzen, KAV/Nachholsteuerung prüfen lassen, Leckage beseitigen.</t>
        </is>
      </c>
      <c r="L2" s="5" t="inlineStr">
        <is>
          <t>klein</t>
        </is>
      </c>
      <c r="M2" s="6" t="inlineStr">
        <is>
          <t>erledigt</t>
        </is>
      </c>
      <c r="N2" s="6" t="inlineStr">
        <is>
          <t>mf_content/triebwerksraum.py</t>
        </is>
      </c>
    </row>
    <row r="3" ht="78" customHeight="1">
      <c r="A3" s="4" t="inlineStr">
        <is>
          <t>B02</t>
        </is>
      </c>
      <c r="B3" s="7" t="inlineStr">
        <is>
          <t>Hoch</t>
        </is>
      </c>
      <c r="C3" s="6" t="inlineStr">
        <is>
          <t>GBU</t>
        </is>
      </c>
      <c r="D3" s="6" t="inlineStr">
        <is>
          <t>Bewertungslücke</t>
        </is>
      </c>
      <c r="E3" s="6" t="inlineStr">
        <is>
          <t>MF-D04 · 3.7</t>
        </is>
      </c>
      <c r="F3" s="6" t="inlineStr">
        <is>
          <t>3.7 hat die Option „Prüfbericht liegt vor, aber mit offenen sicherheitsrelevanten Mängeln“. Keine Regel im gesamten Katalog wertet [3.7] aus (nur Steuerfrage für Nachweise).</t>
        </is>
      </c>
      <c r="G3" s="6" t="inlineStr">
        <is>
          <t>Offene sicherheitsrelevante ZÜS-Mängel führen zu keiner Stufe – der Bericht bleibt grün, obwohl die ZÜS Mängel festgestellt hat.</t>
        </is>
      </c>
      <c r="H3" s="6" t="inlineStr">
        <is>
          <t>In MF-D04 Regel ergänzen: [3.7] = „mit offenen Mängeln“ → Hoch (Mängel beheben, Nachprüfung veranlassen); „kein Prüfbericht“ → Mittel.</t>
        </is>
      </c>
      <c r="I3" s="8" t="inlineStr">
        <is>
          <t>bestätigt</t>
        </is>
      </c>
      <c r="J3" s="6" t="inlineStr">
        <is>
          <t>Nachgerechnet: MF-D04 bewertete nur Plakette und Frist.</t>
        </is>
      </c>
      <c r="K3" s="6" t="inlineStr">
        <is>
          <t>3.7 wird in MF-D04 selbst bewertet: „mit offenen sicherheitsrelevanten Mängeln" → Hoch (P110), „kein Prüfbericht" → Mittel (P105). Die Frage wird nicht mehr nur von erhebung.py nachgereicht, sondern im D-Block angelegt.</t>
        </is>
      </c>
      <c r="L3" s="5" t="inlineStr">
        <is>
          <t>klein</t>
        </is>
      </c>
      <c r="M3" s="6" t="inlineStr">
        <is>
          <t>erledigt</t>
        </is>
      </c>
      <c r="N3" s="6" t="inlineStr">
        <is>
          <t>mf_content/sonderfunktion_doku.py</t>
        </is>
      </c>
    </row>
    <row r="4" ht="78" customHeight="1">
      <c r="A4" s="4" t="inlineStr">
        <is>
          <t>B03</t>
        </is>
      </c>
      <c r="B4" s="7" t="inlineStr">
        <is>
          <t>Hoch</t>
        </is>
      </c>
      <c r="C4" s="6" t="inlineStr">
        <is>
          <t>GBU</t>
        </is>
      </c>
      <c r="D4" s="6" t="inlineStr">
        <is>
          <t>Logikfehler</t>
        </is>
      </c>
      <c r="E4" s="6" t="inlineStr">
        <is>
          <t>MF-T06 · 8.7 / 8.8</t>
        </is>
      </c>
      <c r="F4" s="6" t="inlineStr">
        <is>
          <t>8.7 „Fahrkorbtür kraftbetätigt?“ ist optional und wird in keiner Regel verwendet. 8.8 (Schließkantensicherung) wird bei jeder Fahrkorbtür gefragt und „Keine Schließkantensicherung“ → Mittel/Hoch – auch bei handbetätigter Tür, die keine Schließkantensicherung braucht.</t>
        </is>
      </c>
      <c r="G4" s="6" t="inlineStr">
        <is>
          <t>Fehlbewertung handbetätigter Fahrkorbtüren (Drehtür, Handschiebetür): Mittel/Hoch ohne Grund.</t>
        </is>
      </c>
      <c r="H4" s="6" t="inlineStr">
        <is>
          <t>8.8 nur bei [8.7] = Ja sichtbar/Pflicht machen; 8.7 als Pflicht (wenn 8.6 = Ja) führen. Alternativ Option in 8.8 „Handbetätigte Tür – nicht erforderlich“.</t>
        </is>
      </c>
      <c r="I4" s="8" t="inlineStr">
        <is>
          <t>bestätigt</t>
        </is>
      </c>
      <c r="J4" s="6" t="inlineStr">
        <is>
          <t>Nachgerechnet: 8.8 war Pflicht, sobald eine Fahrkorbtür vorhanden ist – bei handbetätigter Tür unerfüllbar.</t>
        </is>
      </c>
      <c r="K4" s="6" t="inlineStr">
        <is>
          <t>8.8 (Schließkantensicherung) ist nur noch bei kraftbetätigter Fahrkorbtür sichtbar; 8.7 ist das Gatter und Pflichtfrage. Handbetätigte Türen werden dadurch nicht mehr bemängelt. Regressionstest „handbetätigte Tür" in mf_smoke.ts.</t>
        </is>
      </c>
      <c r="L4" s="5" t="inlineStr">
        <is>
          <t>klein</t>
        </is>
      </c>
      <c r="M4" s="6" t="inlineStr">
        <is>
          <t>erledigt</t>
        </is>
      </c>
      <c r="N4" s="6" t="inlineStr">
        <is>
          <t>mf_content/tueren_fahrkorb.py, mf_smoke.ts</t>
        </is>
      </c>
    </row>
    <row r="5" ht="78" customHeight="1">
      <c r="A5" s="4" t="inlineStr">
        <is>
          <t>B04</t>
        </is>
      </c>
      <c r="B5" s="7" t="inlineStr">
        <is>
          <t>Hoch</t>
        </is>
      </c>
      <c r="C5" s="6" t="inlineStr">
        <is>
          <t>Cyber</t>
        </is>
      </c>
      <c r="D5" s="6" t="inlineStr">
        <is>
          <t>Logikfehler</t>
        </is>
      </c>
      <c r="E5" s="6" t="inlineStr">
        <is>
          <t>CY-C12 · Prioritäten R3/R4/R5</t>
        </is>
      </c>
      <c r="F5" s="6" t="inlineStr">
        <is>
          <t>Aggregation NONE (Gewinner = höchste Priorität). R3 „[4.2] = Nein → Niedrig“ hat P300 und schlägt R4 „[4.3] = Nein → Mittel“ (P290) und R5 „[4.1] = Nein → Mittel“ (P280).</t>
        </is>
      </c>
      <c r="G5" s="6" t="inlineStr">
        <is>
          <t>Fall 4.2 = Nein UND 4.1 = Nein UND 4.3 = Ja: dauerhaft offener Fernwartungszugang in nicht segmentiertem Netz → nur Niedrig. Eine Niedrig-Regel überstimmt Mittel-Regeln (Prioritätsinversion).</t>
        </is>
      </c>
      <c r="H5" s="6" t="inlineStr">
        <is>
          <t>Prioritäten so ordnen, dass bei NONE die schwerere Stufe gewinnt, solange keine ausdrückliche Kompensation vorliegt: R4/R5 über R3 setzen (z. B. R4 P300, R5 P290, R3 P280) oder CY-C12 auf MAXIMUM umstellen.</t>
        </is>
      </c>
      <c r="I5" s="8" t="inlineStr">
        <is>
          <t>bestätigt</t>
        </is>
      </c>
      <c r="J5" s="6" t="inlineStr">
        <is>
          <t>Nachgerechnet: die höchste Priorität gewinnt; fehlende Freigabe (280) stand über fehlender Authentisierung (250).</t>
        </is>
      </c>
      <c r="K5" s="6" t="inlineStr">
        <is>
          <t>CY-C12 neu geordnet: 4.3 (Authentifizierung) P300 Mittel, 4.1 (Segmentierung) P290 Mittel, 4.2 (Freigabe) P280 Niedrig. Die Niedrig-Regel kann die Mittel-Regeln bei Aggregation NONE nicht mehr verdrängen. Regressionstest „Prioritätsinversion" in cy_smoke.ts.</t>
        </is>
      </c>
      <c r="L5" s="5" t="inlineStr">
        <is>
          <t>klein</t>
        </is>
      </c>
      <c r="M5" s="6" t="inlineStr">
        <is>
          <t>erledigt</t>
        </is>
      </c>
      <c r="N5" s="6" t="inlineStr">
        <is>
          <t>cy_content/komponenten.py, cy_smoke.ts</t>
        </is>
      </c>
    </row>
    <row r="6" ht="78" customHeight="1">
      <c r="A6" s="4" t="inlineStr">
        <is>
          <t>B05</t>
        </is>
      </c>
      <c r="B6" s="7" t="inlineStr">
        <is>
          <t>Hoch</t>
        </is>
      </c>
      <c r="C6" s="6" t="inlineStr">
        <is>
          <t>GBU</t>
        </is>
      </c>
      <c r="D6" s="6" t="inlineStr">
        <is>
          <t>Vorbelegung (Annahme/Nachweis)</t>
        </is>
      </c>
      <c r="E6" s="6" t="inlineStr">
        <is>
          <t>Nachweise · 9.7 / 11.3 (Schutzraum)</t>
        </is>
      </c>
      <c r="F6" s="6" t="inlineStr">
        <is>
          <t>Bei [3.7] = „ohne Mängel“ und Baujahr ≥ 1999 wird der Schutzraum mit „nach EN 81-20 vorhanden“ vorbelegt. Anlagen 1999–2016 sind nach EN 81-1/-2 errichtet; deren Schutzraum stuft der Katalog selbst als „altnorm“ (→ Niedrig) ein.</t>
        </is>
      </c>
      <c r="G6" s="6" t="inlineStr">
        <is>
          <t>Falsche Vorbelegung „Kein Risiko“ statt „Niedrig“ für alle EN-81-1-Anlagen mit ZÜS-Bericht; die Vorbelegung widerspricht der eigenen Regel MF-F04-R3 / MF-G02-R2.</t>
        </is>
      </c>
      <c r="H6" s="6" t="inlineStr">
        <is>
          <t>Frühestes Baujahr auf 2017 setzen oder für 1999–2016 mit „altnorm“ vorbelegen.</t>
        </is>
      </c>
      <c r="I6" s="8" t="inlineStr">
        <is>
          <t>bestätigt</t>
        </is>
      </c>
      <c r="J6" s="6" t="inlineStr">
        <is>
          <t>Nachgerechnet: die Schutzraum-Vorbelegung griff ohne Baujahrsbezug.</t>
        </is>
      </c>
      <c r="K6" s="6" t="inlineStr">
        <is>
          <t>Zwei Vorbelegungen je Frage statt einer: „normgerecht" ab Baujahr 2017, „altnorm" für 1999–2016 – passend zu den eigenen Regeln MF-F04-R3 / MF-G02-R2. Dafür trägt ein Nachweis-Eintrag optional eine Zusatzbedingung (sechstes Element); mehrere Einträge je Frage sind zulässig, solange die Freischaltbedingungen sich unterscheiden. Mechanik aus der parallelen Fassung auf bigzork übernommen (Entscheidung Arne 20.09.2026).</t>
        </is>
      </c>
      <c r="L6" s="5" t="inlineStr">
        <is>
          <t>klein</t>
        </is>
      </c>
      <c r="M6" s="6" t="inlineStr">
        <is>
          <t>erledigt</t>
        </is>
      </c>
      <c r="N6" s="6" t="inlineStr">
        <is>
          <t>mf_content/erhebung.py (NACHWEISE, anreichern, pruefen)</t>
        </is>
      </c>
    </row>
    <row r="7" ht="78" customHeight="1">
      <c r="A7" s="4" t="inlineStr">
        <is>
          <t>B06</t>
        </is>
      </c>
      <c r="B7" s="7" t="inlineStr">
        <is>
          <t>Hoch</t>
        </is>
      </c>
      <c r="C7" s="6" t="inlineStr">
        <is>
          <t>GBU</t>
        </is>
      </c>
      <c r="D7" s="6" t="inlineStr">
        <is>
          <t>Vorbelegung (Annahme/Nachweis)</t>
        </is>
      </c>
      <c r="E7" s="6" t="inlineStr">
        <is>
          <t>Nachweise · 7.10, 5.4, 8.21</t>
        </is>
      </c>
      <c r="F7" s="6" t="inlineStr">
        <is>
          <t>7.10 (Kinderhand-Einzugsschutz, EN 81-20-Anforderung) wird bei ZÜS-Bericht ohne Mängel mit „Ja“ vorbelegt – ohne Baujahrsgrenze. Die ZÜS prüft Altanlagen gegen die Errichtungsnorm; fehlender Kinderhandschutz an einer EN-81-1-Anlage ist dort kein Mangel. Analog 8.21 (BFS wird nur geprüft, wenn vorhanden) und 5.4 (bauliche Enge).</t>
        </is>
      </c>
      <c r="G7" s="6" t="inlineStr">
        <is>
          <t>Nachrüst-Themen des Stands der Technik werden durch den ZÜS-Bericht als erledigt vorbelegt, obwohl der Bericht darüber nichts aussagt.</t>
        </is>
      </c>
      <c r="H7" s="6" t="inlineStr">
        <is>
          <t>Nachweis-Vorbelegung nur für Einrichtungen, die die ZÜS tatsächlich gegen die aktuelle Anforderung prüft; 7.10 mit Baujahr ≥ 2017 begrenzen, 8.21 und 5.4 aus den Nachweisen streichen.</t>
        </is>
      </c>
      <c r="I7" s="8" t="inlineStr">
        <is>
          <t>bestätigt</t>
        </is>
      </c>
      <c r="J7" s="6" t="inlineStr">
        <is>
          <t>Nachgerechnet: 7.10 ohne Baujahrsgrenze, 8.21 ohne Deckung im ZÜS-Bericht; 5.4 war eine bewusste Festlegung vom 17.09.2026.</t>
        </is>
      </c>
      <c r="K7" s="6" t="inlineStr">
        <is>
          <t>Neue Liste NICHT_VORBELEGBAR für die ZÜS-Prüfpunkte 1, 22 und 29 mit Begründung; 7.10 nur noch ab Baujahr 2017; 5.4 und 8.21 aus den Nachweisen gestrichen (5.4 bestätigt von Arne am 20.09.2026). Grundsatz: Der Prüfbericht belegt den Zustand gegen die Errichtungsgrundlage, keine Nachrüstthemen des Stands der Technik.</t>
        </is>
      </c>
      <c r="L7" s="5" t="inlineStr">
        <is>
          <t>klein</t>
        </is>
      </c>
      <c r="M7" s="6" t="inlineStr">
        <is>
          <t>erledigt</t>
        </is>
      </c>
      <c r="N7" s="6" t="inlineStr">
        <is>
          <t>mf_content/erhebung.py (NICHT_VORBELEGBAR)</t>
        </is>
      </c>
    </row>
    <row r="8" ht="78" customHeight="1">
      <c r="A8" s="4" t="inlineStr">
        <is>
          <t>B07</t>
        </is>
      </c>
      <c r="B8" s="7" t="inlineStr">
        <is>
          <t>Hoch</t>
        </is>
      </c>
      <c r="C8" s="6" t="inlineStr">
        <is>
          <t>GBU</t>
        </is>
      </c>
      <c r="D8" s="6" t="inlineStr">
        <is>
          <t>Unklare Bedingung</t>
        </is>
      </c>
      <c r="E8" s="6" t="inlineStr">
        <is>
          <t>Annahmen · 4.5 / 6.2a (Baujahr ≥ 2012)</t>
        </is>
      </c>
      <c r="F8" s="6" t="inlineStr">
        <is>
          <t>Annahme setzt 4.5 (UCM-Schutz) = Ja bei Baujahr ≥ 2012. Der Hinweistext zu 4.5 sagt ausdrücklich: „Ja nur mit Nachweis in den Anlagenunterlagen; das Baujahr allein ist kein Nachweis.“ Zusätzlich trägt die Annahme zu 6.2a die kopierte UCM-Begründung.</t>
        </is>
      </c>
      <c r="G8" s="6" t="inlineStr">
        <is>
          <t>Katalog widerspricht sich selbst; UCM ist eine der schwersten Gefährdungen (K12 Hoch). Fehlbedienung wahrscheinlich.</t>
        </is>
      </c>
      <c r="H8" s="6" t="inlineStr">
        <is>
          <t>Entweder Annahme streichen (fail-closed: 4.5 immer erheben) oder Hinweistext anpassen („Vorbelegt aus Baujahr, Nachweis prüfen“). Begründung 6.2a korrigieren (Bremsüberwachung, nicht UCM).</t>
        </is>
      </c>
      <c r="I8" s="8" t="inlineStr">
        <is>
          <t>bestätigt</t>
        </is>
      </c>
      <c r="J8" s="6" t="inlineStr">
        <is>
          <t>Nachgerechnet: der Annahmetext las sich wie eine Feststellung.</t>
        </is>
      </c>
      <c r="K8" s="6" t="inlineStr">
        <is>
          <t>Entscheidung Arne 20.09.2026: Der Nachweis ist das Errichtungsregelwerk (1.28), das Baujahr nur dessen Ableitung – so steht es seit jeher im Hilfetext von 1.28. common.norm_ab() ersetzt bj_ab() in annahme(): Die Annahme greift, wenn das angegebene Regelwerk die Anforderung kannte; wo das Regelwerk die Schwelle umspannt (EN 81-1/2 1999–2016, UCM ab 2012) oder unbekannt ist, entscheidet das Baujahr; eine unbeantwortete 1.28 trägt nichts. Damit sind zwei Lücken zu: eine 2020 nach EN 81-20 modernisierte Altanlage bekommt die Annahme jetzt, eine als TRA-Anlage dokumentierte mit Baujahr 2014 nicht mehr. Der Hinweistext von 4.5 ist nachgezogen, 6.2a hat eine eigene Begründung. Sechs Regressionstests in mf_smoke.ts.</t>
        </is>
      </c>
      <c r="L8" s="5" t="inlineStr">
        <is>
          <t>klein</t>
        </is>
      </c>
      <c r="M8" s="6" t="inlineStr">
        <is>
          <t>erledigt</t>
        </is>
      </c>
      <c r="N8" s="6" t="inlineStr">
        <is>
          <t>mf_content/common.py (norm_ab), mf_content/annahmen.py, mf_content/anlage.py, mf_smoke.ts</t>
        </is>
      </c>
    </row>
    <row r="9" ht="78" customHeight="1">
      <c r="A9" s="4" t="inlineStr">
        <is>
          <t>B08</t>
        </is>
      </c>
      <c r="B9" s="9" t="inlineStr">
        <is>
          <t>Mittel</t>
        </is>
      </c>
      <c r="C9" s="6" t="inlineStr">
        <is>
          <t>GBU</t>
        </is>
      </c>
      <c r="D9" s="6" t="inlineStr">
        <is>
          <t>Logikfehler</t>
        </is>
      </c>
      <c r="E9" s="6" t="inlineStr">
        <is>
          <t>MF-T04 · 4.12</t>
        </is>
      </c>
      <c r="F9" s="6" t="inlineStr">
        <is>
          <t>4.12 (Kinder) ist in „Alle Fragen“ von MF-T04 als Modifikator geführt, wird aber in keiner T04-Regel verwendet.</t>
        </is>
      </c>
      <c r="G9" s="6" t="inlineStr">
        <is>
          <t>Toter Modifikator; Kinder an Glastüren ändern nichts an der Stufe, obwohl die Metadaten es versprechen.</t>
        </is>
      </c>
      <c r="H9" s="6" t="inlineStr">
        <is>
          <t>Entweder Regel ergänzen (z. B. [7.9a] = Ja UND [7.10] = Nein UND [4.12] = Ja → Hoch, sonst Mittel) oder 4.12 aus der Gefährdung entfernen.</t>
        </is>
      </c>
      <c r="I9" s="8" t="inlineStr">
        <is>
          <t>bestätigt</t>
        </is>
      </c>
      <c r="J9" s="6" t="inlineStr">
        <is>
          <t>Bestätigt: 4.12 steht in MF-T04 als Modifikator, keine T04-Regel verwendet ihn – genutzt werden nur die Glasfragen 7.8, 7.9, 7.9a und 7.10.</t>
        </is>
      </c>
      <c r="K9" s="6" t="inlineStr">
        <is>
          <t>4.12 aus MF-T04 entfernt; die Gefährdungsbeschreibung hält fest, warum (toter Modifikator ohne Regel).</t>
        </is>
      </c>
      <c r="L9" s="5" t="inlineStr">
        <is>
          <t>klein</t>
        </is>
      </c>
      <c r="M9" s="6" t="inlineStr">
        <is>
          <t>erledigt</t>
        </is>
      </c>
      <c r="N9" s="6" t="inlineStr">
        <is>
          <t>mf_content/tueren_fahrkorb.py</t>
        </is>
      </c>
    </row>
    <row r="10" ht="78" customHeight="1">
      <c r="A10" s="4" t="inlineStr">
        <is>
          <t>B09</t>
        </is>
      </c>
      <c r="B10" s="9" t="inlineStr">
        <is>
          <t>Mittel</t>
        </is>
      </c>
      <c r="C10" s="6" t="inlineStr">
        <is>
          <t>GBU</t>
        </is>
      </c>
      <c r="D10" s="6" t="inlineStr">
        <is>
          <t>Logikfehler</t>
        </is>
      </c>
      <c r="E10" s="6" t="inlineStr">
        <is>
          <t>MF-T06 · R12/R6 vs R2 (4.12)</t>
        </is>
      </c>
      <c r="F10" s="6" t="inlineStr">
        <is>
          <t>Ohne Fahrkorbtür verschärft 4.12 (Kinder) auf Hoch (R2). Mit Fahrkorbtür ohne bzw. mit unzureichender Schließkantensicherung (R12/R6) zählt nur 4.9 (PMEM), nicht 4.12.</t>
        </is>
      </c>
      <c r="G10" s="6" t="inlineStr">
        <is>
          <t>Uneinheitlich: Kinder als Nutzerkreis wirken bei fehlender Schließkantensicherung nicht, bei fehlender Tür schon.</t>
        </is>
      </c>
      <c r="H10" s="6" t="inlineStr">
        <is>
          <t>R12/R6 auf „([4.9] = Ja ODER [4.12] = Ja)“ erweitern oder die Abweichung als Entscheidung dokumentieren.</t>
        </is>
      </c>
      <c r="I10" s="8" t="inlineStr">
        <is>
          <t>bestätigt</t>
        </is>
      </c>
      <c r="J10" s="6" t="inlineStr">
        <is>
          <t>Bestätigt: MF-T06-R2 (Priorität 250) wertet 4.9 ODER 4.12, R12 (220) und R6 (210) nur 4.9.</t>
        </is>
      </c>
      <c r="K10" s="6" t="inlineStr">
        <is>
          <t>MF-T06-R12/R6 erweitert auf ([4.9] = Ja ODER [4.12] = Ja). Der Nutzerkreis „Kinder" wirkt jetzt einheitlich – mit und ohne Fahrkorbtür.</t>
        </is>
      </c>
      <c r="L10" s="5" t="inlineStr">
        <is>
          <t>klein</t>
        </is>
      </c>
      <c r="M10" s="6" t="inlineStr">
        <is>
          <t>erledigt</t>
        </is>
      </c>
      <c r="N10" s="6" t="inlineStr">
        <is>
          <t>mf_content/tueren_fahrkorb.py</t>
        </is>
      </c>
    </row>
    <row r="11" ht="78" customHeight="1">
      <c r="A11" s="4" t="inlineStr">
        <is>
          <t>B10</t>
        </is>
      </c>
      <c r="B11" s="9" t="inlineStr">
        <is>
          <t>Mittel</t>
        </is>
      </c>
      <c r="C11" s="6" t="inlineStr">
        <is>
          <t>GBU</t>
        </is>
      </c>
      <c r="D11" s="6" t="inlineStr">
        <is>
          <t>Logikfehler</t>
        </is>
      </c>
      <c r="E11" s="6" t="inlineStr">
        <is>
          <t>8.28 · MF-K13 / MF-K14</t>
        </is>
      </c>
      <c r="F11" s="6" t="inlineStr">
        <is>
          <t>8.28 ist sichtbar für Seil-Hydraulikaufzug (indirekt) mit Gegengewicht; K13 und K14 sind aber nur für Seil-/Trommelaufzug anwendbar.</t>
        </is>
      </c>
      <c r="G11" s="6" t="inlineStr">
        <is>
          <t>Bei indirekter Hydraulik mit Gegengewicht wird 8.28 gefragt (Pflicht „MF-K13 immer“), aber von keiner Gefährdung bewertet – unnötiger Schritt und verwirrend.</t>
        </is>
      </c>
      <c r="H11" s="6" t="inlineStr">
        <is>
          <t>Sichtbarkeit von 8.28 auf Seil-/Trommelaufzug beschränken (wie K13/K14) oder K13 auch für seil_hydraulik anwendbar machen, falls fachlich gewollt.</t>
        </is>
      </c>
      <c r="I11" s="8" t="inlineStr">
        <is>
          <t>bestätigt</t>
        </is>
      </c>
      <c r="J11" s="6" t="inlineStr">
        <is>
          <t>Bestätigt: 8.28 wird auch beim Seil-Hydraulikaufzug erhoben; MF-K13 verlangt Seil/Trommel UND Gegengewicht, MF-K14 Seil/Trommel.</t>
        </is>
      </c>
      <c r="K11" s="6" t="inlineStr">
        <is>
          <t>Sichtbarkeit von 8.28 auf Treibscheiben-/Trommelaufzug mit Gegengewicht begrenzt – denselben Umfang, den MF-K13/K14 auswerten. Bei indirekter Hydraulik entfällt die Frage.</t>
        </is>
      </c>
      <c r="L11" s="5" t="inlineStr">
        <is>
          <t>klein</t>
        </is>
      </c>
      <c r="M11" s="6" t="inlineStr">
        <is>
          <t>erledigt</t>
        </is>
      </c>
      <c r="N11" s="6" t="inlineStr">
        <is>
          <t>mf_content/tueren_fahrkorb.py</t>
        </is>
      </c>
    </row>
    <row r="12" ht="78" customHeight="1">
      <c r="A12" s="4" t="inlineStr">
        <is>
          <t>B11</t>
        </is>
      </c>
      <c r="B12" s="9" t="inlineStr">
        <is>
          <t>Mittel</t>
        </is>
      </c>
      <c r="C12" s="6" t="inlineStr">
        <is>
          <t>GBU</t>
        </is>
      </c>
      <c r="D12" s="6" t="inlineStr">
        <is>
          <t>Unklare Bedingung</t>
        </is>
      </c>
      <c r="E12" s="6" t="inlineStr">
        <is>
          <t>MF-F03-R5 / MF-G08-R3 (P210)</t>
        </is>
      </c>
      <c r="F12" s="6" t="inlineStr">
        <is>
          <t>Automatische Abschaltung vorhanden, aber Funktion NICHT nachgewiesen (9.6b/11.14b = Nein) → Mittel (P210) überstimmt R1 „Keine Abdeckung“ → Hoch (P100).</t>
        </is>
      </c>
      <c r="G12" s="6" t="inlineStr">
        <is>
          <t>Eine nicht nachgewiesene Kompensation senkt Hoch auf Mittel. Das widerspricht dem sonst konsequenten fail-closed-Prinzip (Nachweis fehlt = Kompensation gilt nicht).</t>
        </is>
      </c>
      <c r="H12" s="6" t="inlineStr">
        <is>
          <t>Entscheidung treffen: entweder ohne Funktionsnachweis bleibt es bei der Grundstufe der Abdeckung (R5 streichen bzw. Priorität unter R1–R3), oder Entscheidung im Hinweis begründen.</t>
        </is>
      </c>
      <c r="I12" s="8" t="inlineStr">
        <is>
          <t>bestätigt</t>
        </is>
      </c>
      <c r="J12" s="6" t="inlineStr">
        <is>
          <t>Bestätigt und sicherheitsrelevant: MF-F03 und MF-G08 aggregieren NONE, die höchste Priorität gewinnt. R5 bzw. G08-R3 (Mittel, Priorität 210) schlagen R1 (Hoch, Priorität 100), obwohl die Abschaltung gerade nicht nachgewiesen ist.</t>
        </is>
      </c>
      <c r="K12" s="6" t="inlineStr">
        <is>
          <t>Ohne Funktionsnachweis senkt die automatische Abschaltung die Stufe nicht mehr (MF-F03-R5, MF-G08-R3 gestrichen bzw. unter die Grundstufe gesetzt). Regressionstest „fail-closed Kompensation" in mf_smoke.ts.</t>
        </is>
      </c>
      <c r="L12" s="5" t="inlineStr">
        <is>
          <t>klein</t>
        </is>
      </c>
      <c r="M12" s="6" t="inlineStr">
        <is>
          <t>erledigt</t>
        </is>
      </c>
      <c r="N12" s="6" t="inlineStr">
        <is>
          <t>mf_content/fahrkorbdach.py, mf_content/schacht_grube.py, mf_smoke.ts</t>
        </is>
      </c>
    </row>
    <row r="13" ht="78" customHeight="1">
      <c r="A13" s="4" t="inlineStr">
        <is>
          <t>B12</t>
        </is>
      </c>
      <c r="B13" s="9" t="inlineStr">
        <is>
          <t>Mittel</t>
        </is>
      </c>
      <c r="C13" s="6" t="inlineStr">
        <is>
          <t>GBU</t>
        </is>
      </c>
      <c r="D13" s="6" t="inlineStr">
        <is>
          <t>Unklare Bedingung</t>
        </is>
      </c>
      <c r="E13" s="6" t="inlineStr">
        <is>
          <t>MF-G04 · 11.6 „Mobile Leiter im Schacht deponiert“</t>
        </is>
      </c>
      <c r="F13" s="6" t="inlineStr">
        <is>
          <t>Für die Option „Mobile Leiter im Schacht deponiert“ existiert keine Regel → Kein Risiko. „Leiter beim Kunden deponiert“ → Mittel, „im Fahrzeug“ → Hoch, „schwer erreichbar“ → Mittel.</t>
        </is>
      </c>
      <c r="G13" s="6" t="inlineStr">
        <is>
          <t>Unklar, ob eine im Schacht deponierte mobile Leiter bewusst gleichgestellt mit fester Leiter ist (TRBS 3121 Anh. 1 Nr. 6). Ohne Hinweis wirkt es wie eine Lücke.</t>
        </is>
      </c>
      <c r="H13" s="6" t="inlineStr">
        <is>
          <t>Entscheidung dokumentieren (Hinweis an R11) oder Regel Niedrig ergänzen (Eignung/Sicherung der mobilen Leiter prüfen).</t>
        </is>
      </c>
      <c r="I13" s="8" t="inlineStr">
        <is>
          <t>bestätigt</t>
        </is>
      </c>
      <c r="J13" s="6" t="inlineStr">
        <is>
          <t>Bestätigt: von den sechs Optionen der 11.6 hat nur „mobile Leiter im Schacht deponiert“ keine Regel – fest = kein Risiko, schwer erreichbar/beim Kunden = Mittel, im Fahrzeug/keine = Hoch.</t>
        </is>
      </c>
      <c r="K13" s="6" t="inlineStr">
        <is>
          <t>MF-G04: Die Option „mobile Leiter im Schacht deponiert" hat eine eigene Regel und damit eine Stufe; sie läuft nicht mehr ohne Bewertung durch.</t>
        </is>
      </c>
      <c r="L13" s="5" t="inlineStr">
        <is>
          <t>klein</t>
        </is>
      </c>
      <c r="M13" s="6" t="inlineStr">
        <is>
          <t>erledigt</t>
        </is>
      </c>
      <c r="N13" s="6" t="inlineStr">
        <is>
          <t>mf_content/schacht_grube.py</t>
        </is>
      </c>
    </row>
    <row r="14" ht="78" customHeight="1">
      <c r="A14" s="4" t="inlineStr">
        <is>
          <t>B13</t>
        </is>
      </c>
      <c r="B14" s="9" t="inlineStr">
        <is>
          <t>Mittel</t>
        </is>
      </c>
      <c r="C14" s="6" t="inlineStr">
        <is>
          <t>GBU</t>
        </is>
      </c>
      <c r="D14" s="6" t="inlineStr">
        <is>
          <t>Unklare Bedingung</t>
        </is>
      </c>
      <c r="E14" s="6" t="inlineStr">
        <is>
          <t>MF-T06 · 8.8 Optionen „Umsteuereinrichtung“, „Andere“</t>
        </is>
      </c>
      <c r="F14" s="6" t="inlineStr">
        <is>
          <t>Optionen „Umsteuereinrichtung (Schachtdrehtür)“ und „Andere Schließkantensicherung“ haben keine Regel → Kein Risiko.</t>
        </is>
      </c>
      <c r="G14" s="6" t="inlineStr">
        <is>
          <t>„Andere Schließkantensicherung“ ist eine Auffangoption ohne Prüfkriterium; der Techniker kann damit jede Bewertung umgehen.</t>
        </is>
      </c>
      <c r="H14" s="6" t="inlineStr">
        <is>
          <t>„Andere“ entweder streichen oder mit Regel Niedrig + Hinweis „Wirksamkeit dokumentieren“ versehen; Umsteuereinrichtung als Entscheidung begründen.</t>
        </is>
      </c>
      <c r="I14" s="8" t="inlineStr">
        <is>
          <t>bestätigt</t>
        </is>
      </c>
      <c r="J14" s="6" t="inlineStr">
        <is>
          <t>Bestätigt: von den fünf Optionen der 8.8 haben „Umsteuereinrichtung“ und „Andere“ keine Regel.</t>
        </is>
      </c>
      <c r="K14" s="6" t="inlineStr">
        <is>
          <t>8.8 „Andere Schließkantensicherung" bekommt eine eigene Regel (Niedrig) mit dem Auftrag, die Ausführung zu prüfen – statt als Auffangoption ohne Kriterium durchzugehen.</t>
        </is>
      </c>
      <c r="L14" s="5" t="inlineStr">
        <is>
          <t>klein</t>
        </is>
      </c>
      <c r="M14" s="6" t="inlineStr">
        <is>
          <t>erledigt</t>
        </is>
      </c>
      <c r="N14" s="6" t="inlineStr">
        <is>
          <t>mf_content/tueren_fahrkorb.py</t>
        </is>
      </c>
    </row>
    <row r="15" ht="78" customHeight="1">
      <c r="A15" s="4" t="inlineStr">
        <is>
          <t>B14</t>
        </is>
      </c>
      <c r="B15" s="9" t="inlineStr">
        <is>
          <t>Mittel</t>
        </is>
      </c>
      <c r="C15" s="6" t="inlineStr">
        <is>
          <t>GBU</t>
        </is>
      </c>
      <c r="D15" s="6" t="inlineStr">
        <is>
          <t>Logikfehler</t>
        </is>
      </c>
      <c r="E15" s="6" t="inlineStr">
        <is>
          <t>MF-K08 8.21a vs MF-U09 15.8b</t>
        </is>
      </c>
      <c r="F15" s="6" t="inlineStr">
        <is>
          <t>8.21a „Funktion der Brandfallsteuerung regelmäßig geprüft (Nachweis)?“ = Nein → Mittel. 15.8b „Funktion der Schnittstelle BMA–Aufzug geprüft (Nachweis)?“ = Nein → Hoch. Beide Fragen erfassen im Regelfall denselben Funktionsnachweis.</t>
        </is>
      </c>
      <c r="G15" s="6" t="inlineStr">
        <is>
          <t>Gleicher Sachverhalt, zwei Stufen, zwei Gefährdungen; Doppelbewertung im Bericht.</t>
        </is>
      </c>
      <c r="H15" s="6" t="inlineStr">
        <is>
          <t>Fragen zusammenlegen (ein Funktionsnachweis BFS/BMA-Schnittstelle) oder Stufen angleichen und Abgrenzung im Hinweistext klären.</t>
        </is>
      </c>
      <c r="I15" s="8" t="inlineStr">
        <is>
          <t>bestätigt</t>
        </is>
      </c>
      <c r="J15" s="6" t="inlineStr">
        <is>
          <t>Bestätigt: 8.21a führt über MF-K08-R2 zu Mittel, 15.8b über MF-U09-R2 zu Hoch; beide erfassen den Funktionsnachweis der Brandfallsteuerung bzw. ihrer BMA-Schnittstelle.</t>
        </is>
      </c>
      <c r="K15" s="6" t="inlineStr">
        <is>
          <t>8.21 ist getrennt in „Brandfallsteuerung vorhanden" (8.21a) und „Auslösung / Einbindung in die BMA" (8.21b, Auswahl: automatisch über BMA / nur manuell / unbekannt). Die Maßnahme passt jetzt zum Befund; MF-U09 15.8b greift nicht mehr für denselben Sachverhalt.</t>
        </is>
      </c>
      <c r="L15" s="5" t="inlineStr">
        <is>
          <t>mittel</t>
        </is>
      </c>
      <c r="M15" s="6" t="inlineStr">
        <is>
          <t>erledigt</t>
        </is>
      </c>
      <c r="N15" s="6" t="inlineStr">
        <is>
          <t>mf_content/tueren_fahrkorb.py, mf_content/erhebung.py (Karte K11)</t>
        </is>
      </c>
    </row>
    <row r="16" ht="78" customHeight="1">
      <c r="A16" s="4" t="inlineStr">
        <is>
          <t>B15</t>
        </is>
      </c>
      <c r="B16" s="9" t="inlineStr">
        <is>
          <t>Mittel</t>
        </is>
      </c>
      <c r="C16" s="6" t="inlineStr">
        <is>
          <t>GBU</t>
        </is>
      </c>
      <c r="D16" s="6" t="inlineStr">
        <is>
          <t>Unklare Bedingung</t>
        </is>
      </c>
      <c r="E16" s="6" t="inlineStr">
        <is>
          <t>MF-U09 · 15.8c</t>
        </is>
      </c>
      <c r="F16" s="6" t="inlineStr">
        <is>
          <t>15.8c „Evakuierungs-/Sonderfunktion des Aufzugs in DIESER Gefährdungsbeurteilung berücksichtigt?“ = Nein → Hoch. Die Frage ist selbstbezüglich – der Bearbeiter bewertet sein eigenes Dokument.</t>
        </is>
      </c>
      <c r="G16" s="6" t="inlineStr">
        <is>
          <t>Meta-Frage erzeugt eine Hoch-Stufe ohne Anlagenbefund; unklar, was der Betreiber daraus ableiten soll.</t>
        </is>
      </c>
      <c r="H16" s="6" t="inlineStr">
        <is>
          <t>Als Steuer-/Dokumentationsfrage führen (z. B. „Evakuierungsfunktion (EN 81-76) vorhanden?“ → dann eigene Befundfragen) statt Hoch-Regel.</t>
        </is>
      </c>
      <c r="I16" s="8" t="inlineStr">
        <is>
          <t>bestätigt</t>
        </is>
      </c>
      <c r="J16" s="6" t="inlineStr">
        <is>
          <t>Bestätigt: MF-U09-R3 liefert Hoch allein daraus, dass der Bearbeiter die Frage „in dieser Gefährdungsbeurteilung berücksichtigt?“ verneint.</t>
        </is>
      </c>
      <c r="K16" s="6" t="inlineStr">
        <is>
          <t>15.8c von Hoch auf Mittel und neu formuliert: gefragt ist die Festlegung des Verhaltens im Brandfall, nicht deren Nachweis.</t>
        </is>
      </c>
      <c r="L16" s="5" t="inlineStr">
        <is>
          <t>mittel</t>
        </is>
      </c>
      <c r="M16" s="6" t="inlineStr">
        <is>
          <t>erledigt</t>
        </is>
      </c>
      <c r="N16" s="6" t="inlineStr">
        <is>
          <t>mf_content/umfeld.py</t>
        </is>
      </c>
    </row>
    <row r="17" ht="78" customHeight="1">
      <c r="A17" s="4" t="inlineStr">
        <is>
          <t>B16</t>
        </is>
      </c>
      <c r="B17" s="9" t="inlineStr">
        <is>
          <t>Mittel</t>
        </is>
      </c>
      <c r="C17" s="6" t="inlineStr">
        <is>
          <t>GBU</t>
        </is>
      </c>
      <c r="D17" s="6" t="inlineStr">
        <is>
          <t>Logikfehler</t>
        </is>
      </c>
      <c r="E17" s="6" t="inlineStr">
        <is>
          <t>MF-U09 · 15.8d</t>
        </is>
      </c>
      <c r="F17" s="6" t="inlineStr">
        <is>
          <t>15.8d (Brandschutztür/Abschottung behindert Betrieb oder Rettung) ist immer sichtbar und Pflicht, MF-U09 ist aber nur bei [15.8] = Ja (BMA vorhanden) anwendbar.</t>
        </is>
      </c>
      <c r="G17" s="6" t="inlineStr">
        <is>
          <t>Ohne BMA wird die Frage gestellt, aber nie bewertet – ein Hoch-Befund geht verloren.</t>
        </is>
      </c>
      <c r="H17" s="6" t="inlineStr">
        <is>
          <t>15.8d in eine eigene, immer anwendbare Gefährdung verschieben oder U09-Anwendbarkeit auf ([15.8] = Ja ODER [15.8d] = Ja) erweitern.</t>
        </is>
      </c>
      <c r="I17" s="8" t="inlineStr">
        <is>
          <t>bestätigt</t>
        </is>
      </c>
      <c r="J17" s="6" t="inlineStr">
        <is>
          <t>Bestätigt und die gewichtigste Lücke der Mittel-Gruppe: 15.8d ist für alle Anlagen Pflicht, MF-U09 ist aber nur anwendbar, wenn 15.8 (BMA vorhanden) Ja ist. Ohne BMA wird gefragt und nie bewertet – ein Hoch-Befund geht verloren.</t>
        </is>
      </c>
      <c r="K17" s="6" t="inlineStr">
        <is>
          <t>15.8d ist nur noch anwendbar, wenn eine Brandmeldeanlage vorhanden ist oder der Brandschutz behindert wird – vorher wurde die Frage immer gestellt.</t>
        </is>
      </c>
      <c r="L17" s="5" t="inlineStr">
        <is>
          <t>klein</t>
        </is>
      </c>
      <c r="M17" s="6" t="inlineStr">
        <is>
          <t>erledigt</t>
        </is>
      </c>
      <c r="N17" s="6" t="inlineStr">
        <is>
          <t>mf_content/umfeld.py</t>
        </is>
      </c>
    </row>
    <row r="18" ht="78" customHeight="1">
      <c r="A18" s="4" t="inlineStr">
        <is>
          <t>B17</t>
        </is>
      </c>
      <c r="B18" s="9" t="inlineStr">
        <is>
          <t>Mittel</t>
        </is>
      </c>
      <c r="C18" s="6" t="inlineStr">
        <is>
          <t>GBU</t>
        </is>
      </c>
      <c r="D18" s="6" t="inlineStr">
        <is>
          <t>Logikfehler</t>
        </is>
      </c>
      <c r="E18" s="6" t="inlineStr">
        <is>
          <t>Erhebungsbereich Z · 4.7 = Nein (maschinenraumlos)</t>
        </is>
      </c>
      <c r="F18" s="6" t="inlineStr">
        <is>
          <t>Hinweis zu 4.7: „Raumbezogene Gefährdungen entfallen dann.“ Tatsächlich entfallen nur Z07, M01, 5.63, 5.65. Z01–Z05 (Beleuchtung der Zuwege, Aufstieg zum Triebwerksraum, Einschließen im Triebwerksraum, Zugangsbereich-Verschmutzung 5.62/5.64) werden weiter gefragt.</t>
        </is>
      </c>
      <c r="G18" s="6" t="inlineStr">
        <is>
          <t>Bei MRL-Anlagen werden Fragen wie „Art des Aufstiegs zum Triebwerksraum“ (5.5) oder „Triebwerksraum von innen verlassen“ (5.9) gestellt, die es nicht gibt; zugleich fehlt die Frage, ob der Schaltschrank an der Haltestelle abschließbar ist (nur im Cyber-Teil 2.1).</t>
        </is>
      </c>
      <c r="H18" s="6" t="inlineStr">
        <is>
          <t>Z-Fragen mit Triebwerksraum-Bezug auf [4.7] = Ja gaten oder Texte auf „Steuerungsraum/Schaltschrank“ verallgemeinern; für 4.7 = Nein eine Frage „Schaltschrank abschließbar“ ergänzen (Analogon zu 5.12a).</t>
        </is>
      </c>
      <c r="I18" s="8" t="inlineStr">
        <is>
          <t>bestätigt</t>
        </is>
      </c>
      <c r="J18" s="6" t="inlineStr">
        <is>
          <t>Bestätigt, Umfang größer als im Bericht: 4.7 steuert acht Gefährdungen (Z07, M01, M04, M05, M06, M14, M18, M19) und drei bedingte Fragen – nicht nur Z07 und M01. Die Z-Fragen mit Triebwerksraum-Bezug (5.1, 5.3, 5.5, 5.9, 5.12, 5.13, 5.60, 5.62, 5.64) hängen dagegen an keiner 4.7-Bedingung.</t>
        </is>
      </c>
      <c r="K18" s="6" t="inlineStr">
        <is>
          <t>Neue Frage 5.14 „Steuerschrank abschließbar" als Gegenstück zu 5.12a für maschinenraumlose Anlagen; MF-Z07 führt qa_maschinenraum als Modifier (ALWAYS), damit bei 4.7 = Nein keine Regellücke entsteht. riedl_smoke.ts hat die Lücke gefunden.</t>
        </is>
      </c>
      <c r="L18" s="5" t="inlineStr">
        <is>
          <t>mittel</t>
        </is>
      </c>
      <c r="M18" s="6" t="inlineStr">
        <is>
          <t>erledigt</t>
        </is>
      </c>
      <c r="N18" s="6" t="inlineStr">
        <is>
          <t>mf_content/zugang.py, riedl_smoke.ts</t>
        </is>
      </c>
    </row>
    <row r="19" ht="78" customHeight="1">
      <c r="A19" s="4" t="inlineStr">
        <is>
          <t>B18</t>
        </is>
      </c>
      <c r="B19" s="9" t="inlineStr">
        <is>
          <t>Mittel</t>
        </is>
      </c>
      <c r="C19" s="6" t="inlineStr">
        <is>
          <t>GBU</t>
        </is>
      </c>
      <c r="D19" s="6" t="inlineStr">
        <is>
          <t>Logikfehler</t>
        </is>
      </c>
      <c r="E19" s="6" t="inlineStr">
        <is>
          <t>MF-M15 · 5.53b</t>
        </is>
      </c>
      <c r="F19" s="6" t="inlineStr">
        <is>
          <t>5.53b „Beauftragte Personen in die Personenbefreiung eingewiesen?“ ist immer sichtbar – auch wenn E1 = Nein (keine beauftragte Person benannt). Dann greifen D05-R1 (Mittel) und M15-R3 (Mittel) für dieselbe Ursache.</t>
        </is>
      </c>
      <c r="G19" s="6" t="inlineStr">
        <is>
          <t>Frage ohne Gegenstand; Doppelbewertung derselben Organisationslücke in zwei Gefährdungen.</t>
        </is>
      </c>
      <c r="H19" s="6" t="inlineStr">
        <is>
          <t>5.53b nur bei [E1] = Ja sichtbar/Pflicht; Abgrenzung zu E2 (Unterweisung) im Hinweistext klären.</t>
        </is>
      </c>
      <c r="I19" s="8" t="inlineStr">
        <is>
          <t>bestätigt</t>
        </is>
      </c>
      <c r="J19" s="6" t="inlineStr">
        <is>
          <t>Bestätigt: qm_personal_eingewiesen ist Trigger mit Pflicht „immer“, also auch ohne benannte beauftragte Person.</t>
        </is>
      </c>
      <c r="K19" s="6" t="inlineStr">
        <is>
          <t>5.53b ist nur sichtbar, wenn eine beauftragte Person benannt ist (E1 = Ja). Fehlt sie ganz, ist das der Befund von MF-D05 – die Einweisung wird nicht zusätzlich bemängelt.</t>
        </is>
      </c>
      <c r="L19" s="5" t="inlineStr">
        <is>
          <t>klein</t>
        </is>
      </c>
      <c r="M19" s="6" t="inlineStr">
        <is>
          <t>erledigt</t>
        </is>
      </c>
      <c r="N19" s="6" t="inlineStr">
        <is>
          <t>mf_content/triebwerksraum.py</t>
        </is>
      </c>
    </row>
    <row r="20" ht="78" customHeight="1">
      <c r="A20" s="4" t="inlineStr">
        <is>
          <t>B19</t>
        </is>
      </c>
      <c r="B20" s="9" t="inlineStr">
        <is>
          <t>Mittel</t>
        </is>
      </c>
      <c r="C20" s="6" t="inlineStr">
        <is>
          <t>GBU</t>
        </is>
      </c>
      <c r="D20" s="6" t="inlineStr">
        <is>
          <t>Dopplung</t>
        </is>
      </c>
      <c r="E20" s="6" t="inlineStr">
        <is>
          <t>MF-M08-R2 vs MF-K12-R1/R3</t>
        </is>
      </c>
      <c r="F20" s="6" t="inlineStr">
        <is>
          <t>Sachverhalt „Zweikreisbremse ohne Überwachung + Türüberbrückung“ wird in M08 (Mittel, Bremskontrollschalter nachrüsten) und in K12 (Hoch bzw. Mittel, Bremskontrollschalter nachrüsten) bewertet – identische Maßnahmen.</t>
        </is>
      </c>
      <c r="G20" s="6" t="inlineStr">
        <is>
          <t>Zwei Gefährdungen, dieselbe Maßnahme, im Bericht doppelt.</t>
        </is>
      </c>
      <c r="H20" s="6" t="inlineStr">
        <is>
          <t>M08 auf die reine Bremsfrage (6.2 = Nein → Hoch) reduzieren; die Überwachung/Türüberbrückung nur in K12 bewerten – oder Querverweis in den Maßnahmen.</t>
        </is>
      </c>
      <c r="I20" s="8" t="inlineStr">
        <is>
          <t>bestätigt</t>
        </is>
      </c>
      <c r="J20" s="6" t="inlineStr">
        <is>
          <t>Bestätigt: MF-M08-R2 und MF-K12-R3 tragen dieselben beiden Maßnahmen („Bremse bei jeder Wartung auf Wirksamkeit beider Bremskreise prüfen“, „Bremskontrollschalter nachrüsten“).</t>
        </is>
      </c>
      <c r="K20" s="6" t="inlineStr">
        <is>
          <t>Bewusst nicht übernommen. Geprüft und als Fehlbefund verworfen: MF-M08-R2 und MF-K12-R1/R3 schließen sich über 8.27 (UCM-Sicherheitsmodul) gegenseitig aus – dieselbe Anlage kann nie beide Regeln auslösen. Keine Änderung.</t>
        </is>
      </c>
      <c r="L20" s="5" t="inlineStr">
        <is>
          <t>klein</t>
        </is>
      </c>
      <c r="M20" s="6" t="inlineStr">
        <is>
          <t>bewusst nicht übernommen</t>
        </is>
      </c>
      <c r="N20" s="6" t="inlineStr">
        <is>
          <t>–</t>
        </is>
      </c>
    </row>
    <row r="21" ht="78" customHeight="1">
      <c r="A21" s="4" t="inlineStr">
        <is>
          <t>B20</t>
        </is>
      </c>
      <c r="B21" s="9" t="inlineStr">
        <is>
          <t>Mittel</t>
        </is>
      </c>
      <c r="C21" s="6" t="inlineStr">
        <is>
          <t>GBU</t>
        </is>
      </c>
      <c r="D21" s="6" t="inlineStr">
        <is>
          <t>Dopplung</t>
        </is>
      </c>
      <c r="E21" s="6" t="inlineStr">
        <is>
          <t>5.35 vs 5.37 (Karte 5.35)</t>
        </is>
      </c>
      <c r="F21" s="6" t="inlineStr">
        <is>
          <t>5.35 „Nachweis der elektrischen Prüfung nach DGUV V3 (Plakette/Protokoll)“ (M02, Mittel) und 5.37 „Prüfung der ortsfesten elektrischen Anlage nachgewiesen?“ (M16, Mittel) erfassen denselben Prüfnachweis; Maßnahmen beider Regeln lauten „DGUV V3 Prüfung veranlassen“.</t>
        </is>
      </c>
      <c r="G21" s="6" t="inlineStr">
        <is>
          <t>Doppelte Frage, doppelte Mittel-Stufe in zwei Gefährdungen.</t>
        </is>
      </c>
      <c r="H21" s="6" t="inlineStr">
        <is>
          <t>Zusammenlegen oder klar trennen: 5.35 = Aufzugsanlage/Betriebsmittel, 5.37 = bauseitige Installation des Raums – dann Fragetexte und Maßnahmen entsprechend schärfen.</t>
        </is>
      </c>
      <c r="I21" s="10" t="inlineStr">
        <is>
          <t>teilweise</t>
        </is>
      </c>
      <c r="J21" s="6" t="inlineStr">
        <is>
          <t>Die doppelte Erhebung ist bestätigt, „wortgleiche Maßnahmen“ nicht: MF-M02-R5 fordert die DGUV-V3-Prüfung der Betriebsmittel, MF-M16-R3 den Nachweis für die ortsfeste Installation.</t>
        </is>
      </c>
      <c r="K21" s="6" t="inlineStr">
        <is>
          <t>Fragetexte von 5.35 und 5.37 gegeneinander abgegrenzt (Triebwerksraum vs. Aufzugsanlage); die Abgrenzung steht auch in den Hinweistexten.</t>
        </is>
      </c>
      <c r="L21" s="5" t="inlineStr">
        <is>
          <t>klein</t>
        </is>
      </c>
      <c r="M21" s="6" t="inlineStr">
        <is>
          <t>erledigt</t>
        </is>
      </c>
      <c r="N21" s="6" t="inlineStr">
        <is>
          <t>mf_content/triebwerksraum.py</t>
        </is>
      </c>
    </row>
    <row r="22" ht="78" customHeight="1">
      <c r="A22" s="4" t="inlineStr">
        <is>
          <t>B21</t>
        </is>
      </c>
      <c r="B22" s="9" t="inlineStr">
        <is>
          <t>Mittel</t>
        </is>
      </c>
      <c r="C22" s="6" t="inlineStr">
        <is>
          <t>GBU</t>
        </is>
      </c>
      <c r="D22" s="6" t="inlineStr">
        <is>
          <t>Dopplung</t>
        </is>
      </c>
      <c r="E22" s="6" t="inlineStr">
        <is>
          <t>MF-K01 · 8.2 vs 8.3</t>
        </is>
      </c>
      <c r="F22" s="6" t="inlineStr">
        <is>
          <t>8.2 unterscheidet bereits „ständig besetzt“ / „nicht ständig besetzt“; 8.3 fragt zusätzlich „rund um die Uhr besetzt?“. Beides ist derselbe Sachverhalt; widersprüchliche Antworten (8.2 = ständig besetzt, 8.3 = Nein) sind möglich. R2/R3/R4 haben identische Stufe und Maßnahmen.</t>
        </is>
      </c>
      <c r="G22" s="6" t="inlineStr">
        <is>
          <t>Redundante Frage, mögliche Widersprüche, drei gleichlautende Regeln.</t>
        </is>
      </c>
      <c r="H22" s="6" t="inlineStr">
        <is>
          <t>8.3 streichen oder nur bei 8.2 ∈ {Sprech-/Klingel zu ständig besetzter Stelle} als Nachweisfrage stellen; R2–R4 zu einer Regel mit „ist eines von“ zusammenfassen.</t>
        </is>
      </c>
      <c r="I22" s="8" t="inlineStr">
        <is>
          <t>bestätigt</t>
        </is>
      </c>
      <c r="J22" s="6" t="inlineStr">
        <is>
          <t>Bestätigt: MF-K01-R2, -R3 und -R4 haben identische Stufe und identische Maßnahmen; 8.3 erzeugt mit R5 eine eigene Mittel-Regel und kann 8.2 widersprechen.</t>
        </is>
      </c>
      <c r="K22" s="6" t="inlineStr">
        <is>
          <t>MF-K01: Die drei wortgleichen Regeln (Klingel im Schacht, nicht ständig besetzt, Klingel zu ständig besetzter Stelle) sind zu einer IN-Regel zusammengefasst. 8.3 ist nur noch sichtbar, wenn die Notrufart überhaupt eine ständig besetzte Stelle vorsieht.</t>
        </is>
      </c>
      <c r="L22" s="5" t="inlineStr">
        <is>
          <t>klein</t>
        </is>
      </c>
      <c r="M22" s="6" t="inlineStr">
        <is>
          <t>erledigt</t>
        </is>
      </c>
      <c r="N22" s="6" t="inlineStr">
        <is>
          <t>mf_content/tueren_fahrkorb.py</t>
        </is>
      </c>
    </row>
    <row r="23" ht="78" customHeight="1">
      <c r="A23" s="4" t="inlineStr">
        <is>
          <t>B22</t>
        </is>
      </c>
      <c r="B23" s="9" t="inlineStr">
        <is>
          <t>Mittel</t>
        </is>
      </c>
      <c r="C23" s="6" t="inlineStr">
        <is>
          <t>GBU</t>
        </is>
      </c>
      <c r="D23" s="6" t="inlineStr">
        <is>
          <t>Dopplung</t>
        </is>
      </c>
      <c r="E23" s="6" t="inlineStr">
        <is>
          <t>MF-Z01 · 5.2 vs 5.2a</t>
        </is>
      </c>
      <c r="F23" s="6" t="inlineStr">
        <is>
          <t>5.2 „ausreichend (… funktionsfähig …)“ enthält bereits die Funktionsfähigkeit; 5.2a „Defekte Leuchten?“ fragt dasselbe erneut. Metadaten widersprüchlich: Rolle „optional“, aber Pflicht „wenn [5.1] = Ja“.</t>
        </is>
      </c>
      <c r="G23" s="6" t="inlineStr">
        <is>
          <t>Bei defekter Leuchte feuern R2 und R3 (beide Mittel); Pflicht/optional-Status unklar.</t>
        </is>
      </c>
      <c r="H23" s="6" t="inlineStr">
        <is>
          <t>5.2a als Teilgrund von 5.2 führen oder streichen; Rolle und Pflicht angleichen.</t>
        </is>
      </c>
      <c r="I23" s="10" t="inlineStr">
        <is>
          <t>teilweise</t>
        </is>
      </c>
      <c r="J23" s="6" t="inlineStr">
        <is>
          <t>Der Doppeltreffer ist bestätigt (MF-Z01-R2 und -R3 feuern gemeinsam, Aggregation MAXIMUM). Der Metadaten-Widerspruch ist keiner: 5.2a trägt die Notiz „Pflicht, weil bewertungsrelevant (automatisch gesetzt)“.</t>
        </is>
      </c>
      <c r="K23" s="6" t="inlineStr">
        <is>
          <t>5.2a ist Folgefrage zu 5.2 mit eigener Maßnahme statt optionaler Frage ohne Regelwirkung.</t>
        </is>
      </c>
      <c r="L23" s="5" t="inlineStr">
        <is>
          <t>klein</t>
        </is>
      </c>
      <c r="M23" s="6" t="inlineStr">
        <is>
          <t>erledigt</t>
        </is>
      </c>
      <c r="N23" s="6" t="inlineStr">
        <is>
          <t>mf_content/zugang.py</t>
        </is>
      </c>
    </row>
    <row r="24" ht="78" customHeight="1">
      <c r="A24" s="4" t="inlineStr">
        <is>
          <t>B23</t>
        </is>
      </c>
      <c r="B24" s="9" t="inlineStr">
        <is>
          <t>Mittel</t>
        </is>
      </c>
      <c r="C24" s="6" t="inlineStr">
        <is>
          <t>GBU/Cyber</t>
        </is>
      </c>
      <c r="D24" s="6" t="inlineStr">
        <is>
          <t>Dopplung</t>
        </is>
      </c>
      <c r="E24" s="6" t="inlineStr">
        <is>
          <t>4.7 (GBU) vs 1.4 (Cyber) – Code qa_maschinenraum doppelt</t>
        </is>
      </c>
      <c r="F24" s="6" t="inlineStr">
        <is>
          <t>„Eigener Triebwerks-/Maschinenraum vorhanden?“ wird in beiden Katalogen mit demselben Code gefragt; GBU 4.7 ist an den Anlagenstamm gebunden, Cyber 1.4 nicht.</t>
        </is>
      </c>
      <c r="G24" s="6" t="inlineStr">
        <is>
          <t>Doppelter Code; zweimal dieselbe Frage pro Anlage; bei gemeinsamer Auswertung Kollision.</t>
        </is>
      </c>
      <c r="H24" s="6" t="inlineStr">
        <is>
          <t>Cyber 1.4 aus dem Anlagenstamm (maschinenraum_vorhanden) übernehmen und nicht mehr fragen.</t>
        </is>
      </c>
      <c r="I24" s="8" t="inlineStr">
        <is>
          <t>bestätigt</t>
        </is>
      </c>
      <c r="J24" s="6" t="inlineStr">
        <is>
          <t>Bestätigt und weitergehend: doppelt vergeben sind qa_maschinenraum (GBU 4.7 / Cyber 1.4) UND qa_aufzugsart (GBU 3.1 / Cyber 1.1). Im GBU-Katalog hängen beide am Anlagenstamm, im Cyber-Katalog nicht.</t>
        </is>
      </c>
      <c r="K24" s="6" t="inlineStr">
        <is>
          <t>Teilweise umgesetzt. Der Hinweistext von Cyber 1.4 hält fest, dass die Angabe dieselbe ist wie GBU 4.7 (gleicher Fragen-Code) und aus dem Anlagenstamm vorzubelegen, nicht zweimal zu erheben ist. Der Cyber-Katalog kennt – anders als der GBU-Teil – keinen eigenen Anlagenstamm-Mechanismus; die Vorbelegung leistet die App über den gemeinsamen Code.</t>
        </is>
      </c>
      <c r="L24" s="5" t="inlineStr">
        <is>
          <t>mittel</t>
        </is>
      </c>
      <c r="M24" s="6" t="inlineStr">
        <is>
          <t>teilweise</t>
        </is>
      </c>
      <c r="N24" s="6" t="inlineStr">
        <is>
          <t>cy_content/anlage.py</t>
        </is>
      </c>
    </row>
    <row r="25" ht="78" customHeight="1">
      <c r="A25" s="4" t="inlineStr">
        <is>
          <t>B24</t>
        </is>
      </c>
      <c r="B25" s="9" t="inlineStr">
        <is>
          <t>Mittel</t>
        </is>
      </c>
      <c r="C25" s="6" t="inlineStr">
        <is>
          <t>GBU/Cyber</t>
        </is>
      </c>
      <c r="D25" s="6" t="inlineStr">
        <is>
          <t>Unklare Bedingung</t>
        </is>
      </c>
      <c r="E25" s="6" t="inlineStr">
        <is>
          <t>Nummernkollisionen GBU ↔ Cyber</t>
        </is>
      </c>
      <c r="F25" s="6" t="inlineStr">
        <is>
          <t>Gleiche Anzeigenummern mit anderer Bedeutung: 2.1, 4.1, 4.3, 4.5, 4.6, 5.5–5.9, 5.12 (z. B. [4.5] = UCM-Schutz in GBU, Softwarestand in Cyber; [2.1] = Nutzungsart vs. Steuerung frei zugänglich).</t>
        </is>
      </c>
      <c r="G25" s="6" t="inlineStr">
        <is>
          <t>Bedingungen im Blatt „Regeln“ sind ohne Katalogspalte nicht eindeutig lesbar; bei Zusammenführung zur Gesamt-GBU (Frage 5.11) Verwechslungsgefahr.</t>
        </is>
      </c>
      <c r="H25" s="6" t="inlineStr">
        <is>
          <t>Cyber-Nummern mit Präfix führen (z. B. C-2.1) oder Nummernkreis trennen; in Bedingungen den Code statt der Nummer anzeigen.</t>
        </is>
      </c>
      <c r="I25" s="8" t="inlineStr">
        <is>
          <t>bestätigt</t>
        </is>
      </c>
      <c r="J25" s="6" t="inlineStr">
        <is>
          <t>Bestätigt: 19 Anzeigenummern kommen in beiden Katalogen mit anderer Bedeutung vor (2.1, 4.1, 4.2, 4.3, 4.5, 4.6 und 5.1 bis 5.13). Die Frage-Codes sind eindeutig und die Kataloge werden getrennt ausgewertet – es ist ein Lese-, kein Logikproblem.</t>
        </is>
      </c>
      <c r="K25" s="6" t="inlineStr">
        <is>
          <t>Teilweise umgesetzt. Im Fragenkatalog tragen Cyber-Nummern jetzt das Präfix „C" ([C 4.5] statt [4.5]); ein Lesehinweis erklärt es. Die Nummernkreise selbst bleiben getrennt, weil ui_number in App und Seed unverändert bleiben soll – eine Umnummerierung würde jede Cyber-Frage neu benennen.</t>
        </is>
      </c>
      <c r="L25" s="5" t="inlineStr">
        <is>
          <t>klein</t>
        </is>
      </c>
      <c r="M25" s="6" t="inlineStr">
        <is>
          <t>teilweise</t>
        </is>
      </c>
      <c r="N25" s="6" t="inlineStr">
        <is>
          <t>gen_riedl_fragenkatalog_xlsx.py</t>
        </is>
      </c>
    </row>
    <row r="26" ht="78" customHeight="1">
      <c r="A26" s="4" t="inlineStr">
        <is>
          <t>B25</t>
        </is>
      </c>
      <c r="B26" s="9" t="inlineStr">
        <is>
          <t>Mittel</t>
        </is>
      </c>
      <c r="C26" s="6" t="inlineStr">
        <is>
          <t>Cyber</t>
        </is>
      </c>
      <c r="D26" s="6" t="inlineStr">
        <is>
          <t>Dopplung</t>
        </is>
      </c>
      <c r="E26" s="6" t="inlineStr">
        <is>
          <t>1.3 „vernetzt“ vs 1.5 vs 1.6 vs 3.12.1 / 3.1.2 „Fernzugriff“</t>
        </is>
      </c>
      <c r="F26" s="6" t="inlineStr">
        <is>
          <t>Netzanbindung wird mehrfach erfasst: 1.3 (Option „mit Netz-/Fernanbindung“), 1.5 (Netzwerk/Internet, nennt GLT), 1.6 (bauseitige Systeme, nennt ebenfalls GLT), 3.12.1 (Remote-Service) und 3.1.2 (Steuerung mit „Fernzugriff“). Keine Konsistenzprüfung.</t>
        </is>
      </c>
      <c r="G26" s="6" t="inlineStr">
        <is>
          <t>Widersprüche möglich (1.3 = vernetzt, 1.5 = Nein); derselbe Fernzugriff zählt in CY-C01-R4 (Hoch) UND CY-C12 – doppelte Ampelwirkung.</t>
        </is>
      </c>
      <c r="H26" s="6" t="inlineStr">
        <is>
          <t>1.5 aus 1.3 ableiten oder plausibilisieren; GLT nur in 1.6 nennen; im Bericht die Komponenten- und Kanalbewertung als eine Zeile zusammenführen oder Doppelzählung bewusst dokumentieren.</t>
        </is>
      </c>
      <c r="I26" s="10" t="inlineStr">
        <is>
          <t>teilweise</t>
        </is>
      </c>
      <c r="J26" s="6" t="inlineStr">
        <is>
          <t>Die Mehrfacherfassung ist bestätigt (1.3 mit der Option „mit Netz-/Fernanbindung“, 1.5, 1.6, 3.12.1, 3.1.2). Die behauptete doppelte Ampelwirkung ist indirekt: CY-C01-R4 wertet die Schnittstellenkategorie der Steuerung, nicht den Fernzugriff selbst.</t>
        </is>
      </c>
      <c r="K26" s="6" t="inlineStr">
        <is>
          <t>Hinweistexte grenzen 1.5 (Netzanbindung) und 1.6 (bauseitige Systeme) gegeneinander ab und sagen, wie sie sich zu 3.12.1 und zur Schnittstellenkategorie 3.x.2 verhalten.</t>
        </is>
      </c>
      <c r="L26" s="5" t="inlineStr">
        <is>
          <t>mittel</t>
        </is>
      </c>
      <c r="M26" s="6" t="inlineStr">
        <is>
          <t>erledigt</t>
        </is>
      </c>
      <c r="N26" s="6" t="inlineStr">
        <is>
          <t>cy_content/anlage.py</t>
        </is>
      </c>
    </row>
    <row r="27" ht="78" customHeight="1">
      <c r="A27" s="4" t="inlineStr">
        <is>
          <t>B26</t>
        </is>
      </c>
      <c r="B27" s="9" t="inlineStr">
        <is>
          <t>Mittel</t>
        </is>
      </c>
      <c r="C27" s="6" t="inlineStr">
        <is>
          <t>Cyber</t>
        </is>
      </c>
      <c r="D27" s="6" t="inlineStr">
        <is>
          <t>Unnötiger Schritt</t>
        </is>
      </c>
      <c r="E27" s="6" t="inlineStr">
        <is>
          <t>4.2 (Fernzugriff nur nach Freigabe)</t>
        </is>
      </c>
      <c r="F27" s="6" t="inlineStr">
        <is>
          <t>4.2 ist bei [1.5] = Ja sichtbar und Pflicht für CY-C12, auch wenn 3.12.1 = Nein (kein Remote-Service). CY-C12 ist dann nicht anwendbar.</t>
        </is>
      </c>
      <c r="G27" s="6" t="inlineStr">
        <is>
          <t>Frage ohne Bewertungsfolge bei reiner Fernüberwachung.</t>
        </is>
      </c>
      <c r="H27" s="6" t="inlineStr">
        <is>
          <t>Sichtbarkeit von 4.2 an [3.12.1] = Ja knüpfen.</t>
        </is>
      </c>
      <c r="I27" s="8" t="inlineStr">
        <is>
          <t>bestätigt</t>
        </is>
      </c>
      <c r="J27" s="6" t="inlineStr">
        <is>
          <t>Bestätigt: CY-C12 ist nur anwendbar bei 1.5 UND 3.12.1, die Trigger-Fragen sind aber schon bei 1.5 = Ja Pflicht.</t>
        </is>
      </c>
      <c r="K27" s="6" t="inlineStr">
        <is>
          <t>4.2 ist nur noch sichtbar, wenn Remote-Service/Fernwartung vorhanden ist (3.12.1 = Ja). Eine reine Fernüberwachung ohne Schreibzugriff braucht kein Freigabeverfahren.</t>
        </is>
      </c>
      <c r="L27" s="5" t="inlineStr">
        <is>
          <t>klein</t>
        </is>
      </c>
      <c r="M27" s="6" t="inlineStr">
        <is>
          <t>erledigt</t>
        </is>
      </c>
      <c r="N27" s="6" t="inlineStr">
        <is>
          <t>cy_content/netz.py</t>
        </is>
      </c>
    </row>
    <row r="28" ht="78" customHeight="1">
      <c r="A28" s="4" t="inlineStr">
        <is>
          <t>B27</t>
        </is>
      </c>
      <c r="B28" s="9" t="inlineStr">
        <is>
          <t>Mittel</t>
        </is>
      </c>
      <c r="C28" s="6" t="inlineStr">
        <is>
          <t>Cyber</t>
        </is>
      </c>
      <c r="D28" s="6" t="inlineStr">
        <is>
          <t>Unklare Bedingung</t>
        </is>
      </c>
      <c r="E28" s="6" t="inlineStr">
        <is>
          <t>4.1 / 4.3 / 4.4 gemeinsam für C11 und C12</t>
        </is>
      </c>
      <c r="F28" s="6" t="inlineStr">
        <is>
          <t>Segmentierung, Authentifizierung und Protokollierung werden einmal gefragt, aber auf zwei Kanäle (Fernüberwachung, Fernwartung) angewendet, die technisch getrennt sein können (z. B. Hersteller-Cloud vs. Wartungs-VPN).</t>
        </is>
      </c>
      <c r="G28" s="6" t="inlineStr">
        <is>
          <t>Eine Antwort für zwei Kanäle; die schlechtere Ausprägung bestimmt beide Gefährdungen oder geht unter.</t>
        </is>
      </c>
      <c r="H28" s="6" t="inlineStr">
        <is>
          <t>Entweder bewusst „kanalübergreifend, schlechtester Fall“ im Hinweistext festhalten oder je Kanal fragen.</t>
        </is>
      </c>
      <c r="I28" s="8" t="inlineStr">
        <is>
          <t>bestätigt</t>
        </is>
      </c>
      <c r="J28" s="6" t="inlineStr">
        <is>
          <t>Bestätigt: 4.1, 4.3 und 4.4 werden einmal gefragt und in CY-C11 und CY-C12 verwendet.</t>
        </is>
      </c>
      <c r="K28" s="6" t="inlineStr">
        <is>
          <t>4.1, 4.3 und 4.4 sagen im Hinweistext ausdrücklich, dass sie kanalübergreifend gelten und nach dem schlechtesten Fall zu beantworten sind („Ja" nur, wenn es für jeden vorhandenen Kanal zutrifft).</t>
        </is>
      </c>
      <c r="L28" s="5" t="inlineStr">
        <is>
          <t>klein</t>
        </is>
      </c>
      <c r="M28" s="6" t="inlineStr">
        <is>
          <t>erledigt</t>
        </is>
      </c>
      <c r="N28" s="6" t="inlineStr">
        <is>
          <t>cy_content/netz.py</t>
        </is>
      </c>
    </row>
    <row r="29" ht="78" customHeight="1">
      <c r="A29" s="4" t="inlineStr">
        <is>
          <t>B28</t>
        </is>
      </c>
      <c r="B29" s="9" t="inlineStr">
        <is>
          <t>Mittel</t>
        </is>
      </c>
      <c r="C29" s="6" t="inlineStr">
        <is>
          <t>Cyber</t>
        </is>
      </c>
      <c r="D29" s="6" t="inlineStr">
        <is>
          <t>Unklare Bedingung</t>
        </is>
      </c>
      <c r="E29" s="6" t="inlineStr">
        <is>
          <t>CY-N01 · 4.5 „Stand nicht bekannt“ → Niedrig</t>
        </is>
      </c>
      <c r="F29" s="6" t="inlineStr">
        <is>
          <t>Unbekannter Software-/Firmwarestand → Niedrig (R3), bekannter Stand ohne Update-Verfahren → Mittel/Hoch (R2/R1). Wer den Stand nicht kennt, hat auch kein Verfahren.</t>
        </is>
      </c>
      <c r="G29" s="6" t="inlineStr">
        <is>
          <t>Unwissen wird besser bewertet als Wissen ohne Prozess; Anreiz, „nicht bekannt“ zu wählen.</t>
        </is>
      </c>
      <c r="H29" s="6" t="inlineStr">
        <is>
          <t>R3 mindestens auf Mittel setzen (mit 1.5 = Ja Hoch) oder die Entscheidung K-C14 mit Begründung im Hinweis dokumentieren.</t>
        </is>
      </c>
      <c r="I29" s="8" t="inlineStr">
        <is>
          <t>bestätigt</t>
        </is>
      </c>
      <c r="J29" s="6" t="inlineStr">
        <is>
          <t>Bestätigt und ein echter Fehlanreiz: CY-N01-R3 gibt für „Stand nicht bekannt“ Niedrig, während „bekannt, ungeregelt“ Mittel (R2) und mit Netzanbindung Hoch (R1) ergibt.</t>
        </is>
      </c>
      <c r="K29" s="6" t="inlineStr">
        <is>
          <t>CY-N01: „Softwarestand nicht bekannt" ist angehoben – wer den Stand nicht kennt, kann auch nicht beurteilen, ob er trägt.</t>
        </is>
      </c>
      <c r="L29" s="5" t="inlineStr">
        <is>
          <t>klein</t>
        </is>
      </c>
      <c r="M29" s="6" t="inlineStr">
        <is>
          <t>erledigt</t>
        </is>
      </c>
      <c r="N29" s="6" t="inlineStr">
        <is>
          <t>cy_content/netz.py</t>
        </is>
      </c>
    </row>
    <row r="30" ht="78" customHeight="1">
      <c r="A30" s="4" t="inlineStr">
        <is>
          <t>B29</t>
        </is>
      </c>
      <c r="B30" s="9" t="inlineStr">
        <is>
          <t>Mittel</t>
        </is>
      </c>
      <c r="C30" s="6" t="inlineStr">
        <is>
          <t>Cyber</t>
        </is>
      </c>
      <c r="D30" s="6" t="inlineStr">
        <is>
          <t>Unklare Bedingung</t>
        </is>
      </c>
      <c r="E30" s="6" t="inlineStr">
        <is>
          <t>3.1.4 vs 3.2.1 (PESSRAL)</t>
        </is>
      </c>
      <c r="F30" s="6" t="inlineStr">
        <is>
          <t>3.1.4 „Sicherheitskreis bleibt durch unabhängige elektromechanische Kette wirksam“ kann bei [3.2.1] = Ja (PESSRAL = programmierbarer Sicherheitskreis) kaum uneingeschränkt Ja sein. Keine Plausibilisierung.</t>
        </is>
      </c>
      <c r="G30" s="6" t="inlineStr">
        <is>
          <t>Kompensation R2/R3 in CY-C01 kann bei PESSRAL-Anlagen fälschlich greifen.</t>
        </is>
      </c>
      <c r="H30" s="6" t="inlineStr">
        <is>
          <t>Hinweistext zu 3.1.4 ergänzen („bei PESSRAL nur Ja, wenn …“) oder 3.1.4 bei 3.2.1 = Ja nicht als Kompensation zulassen.</t>
        </is>
      </c>
      <c r="I30" s="8" t="inlineStr">
        <is>
          <t>bestätigt</t>
        </is>
      </c>
      <c r="J30" s="6" t="inlineStr">
        <is>
          <t>Bestätigt: 3.1.4 wirkt in CY-C01-R2 und -R3 als Kompensation (Mittel statt Hoch) und wird nicht gegen 3.2.1 (PESSRAL) plausibilisiert.</t>
        </is>
      </c>
      <c r="K30" s="6" t="inlineStr">
        <is>
          <t>3.1.4 (unabhängiger Sicherheitskreis) berücksichtigt jetzt, dass bei vorhandenem PESSRAL (3.2.1) der Sicherheitskreis selbst programmierbar ist.</t>
        </is>
      </c>
      <c r="L30" s="5" t="inlineStr">
        <is>
          <t>klein</t>
        </is>
      </c>
      <c r="M30" s="6" t="inlineStr">
        <is>
          <t>erledigt</t>
        </is>
      </c>
      <c r="N30" s="6" t="inlineStr">
        <is>
          <t>cy_content/komponenten.py</t>
        </is>
      </c>
    </row>
    <row r="31" ht="78" customHeight="1">
      <c r="A31" s="4" t="inlineStr">
        <is>
          <t>B30</t>
        </is>
      </c>
      <c r="B31" s="9" t="inlineStr">
        <is>
          <t>Mittel</t>
        </is>
      </c>
      <c r="C31" s="6" t="inlineStr">
        <is>
          <t>Cyber</t>
        </is>
      </c>
      <c r="D31" s="6" t="inlineStr">
        <is>
          <t>Unklare Bedingung</t>
        </is>
      </c>
      <c r="E31" s="6" t="inlineStr">
        <is>
          <t>2.5 Doppelfrage</t>
        </is>
      </c>
      <c r="F31" s="6" t="inlineStr">
        <is>
          <t>„Werden Standard-/Werkszugangsdaten verwendet ODER sind die Zugangsdaten nicht bekannt?“ – zwei verschiedene Sachverhalte in einer Ja/Nein-Frage; Maßnahme „Werkszugangsdaten ändern“ passt nur auf den ersten.</t>
        </is>
      </c>
      <c r="G31" s="6" t="inlineStr">
        <is>
          <t>Unklare Antwort, teilweise unpassende Maßnahme.</t>
        </is>
      </c>
      <c r="H31" s="6" t="inlineStr">
        <is>
          <t>In zwei Fragen trennen (Werksdaten in Gebrauch / Zugangsdaten unbekannt) mit je eigener Maßnahme.</t>
        </is>
      </c>
      <c r="I31" s="8" t="inlineStr">
        <is>
          <t>bestätigt</t>
        </is>
      </c>
      <c r="J31" s="6" t="inlineStr">
        <is>
          <t>Bestätigt: 2.5 fragt Werkszugangsdaten UND unbekannte Zugangsdaten in einer Ja/Nein-Frage; die Maßnahme „Werkszugangsdaten ändern“ passt nur auf den ersten Fall.</t>
        </is>
      </c>
      <c r="K31" s="6" t="inlineStr">
        <is>
          <t>2.5 ist getrennt in „Werkszugangsdaten in Gebrauch?" und die neue Frage 2.5a „Sind dem Betreiber die Zugangsdaten bekannt und liegen sie gesichert vor?" – zwei Sachverhalte mit verschiedenen Maßnahmen.</t>
        </is>
      </c>
      <c r="L31" s="5" t="inlineStr">
        <is>
          <t>mittel</t>
        </is>
      </c>
      <c r="M31" s="6" t="inlineStr">
        <is>
          <t>erledigt</t>
        </is>
      </c>
      <c r="N31" s="6" t="inlineStr">
        <is>
          <t>cy_content/zugang.py</t>
        </is>
      </c>
    </row>
    <row r="32" ht="78" customHeight="1">
      <c r="A32" s="4" t="inlineStr">
        <is>
          <t>B31</t>
        </is>
      </c>
      <c r="B32" s="9" t="inlineStr">
        <is>
          <t>Mittel</t>
        </is>
      </c>
      <c r="C32" s="6" t="inlineStr">
        <is>
          <t>Cyber</t>
        </is>
      </c>
      <c r="D32" s="6" t="inlineStr">
        <is>
          <t>Unnötiger Schritt</t>
        </is>
      </c>
      <c r="E32" s="6" t="inlineStr">
        <is>
          <t>CY-O05 · 5.11–5.14 (Pflicht, nur Dokumentation)</t>
        </is>
      </c>
      <c r="F32" s="6" t="inlineStr">
        <is>
          <t>Vier Meta-Fragen („in Gesamt-GBU übernommen“, „alle Komponenten erfasst“, „erhebliches Risiko berücksichtigt“, „Stand der Technik herangezogen“) sind Pflicht, erzeugen aber keine Stufe. 5.11 kann vor Abschluss der Bearbeitung gar nicht wahrheitsgemäß mit Ja beantwortet werden.</t>
        </is>
      </c>
      <c r="G32" s="6" t="inlineStr">
        <is>
          <t>Blockieren die Vollständigkeit (fail-closed) ohne Bewertungsnutzen; selbstbezüglich.</t>
        </is>
      </c>
      <c r="H32" s="6" t="inlineStr">
        <is>
          <t>Als Abschluss-Checkliste außerhalb der Gefährdung führen (nicht Pflicht für CY-O05) oder auf eine Bestätigungsfrage reduzieren.</t>
        </is>
      </c>
      <c r="I32" s="8" t="inlineStr">
        <is>
          <t>bestätigt</t>
        </is>
      </c>
      <c r="J32" s="6" t="inlineStr">
        <is>
          <t>Bestätigt: 5.11 bis 5.14 sind Dokumentationsfragen mit Pflicht „immer“ in CY-O05 und erzeugen keine Stufe; unbeantwortet halten sie die Gefährdung unvollständig.</t>
        </is>
      </c>
      <c r="K32" s="6" t="inlineStr">
        <is>
          <t>Die vier ZÜS-Dokumentationsfragen 5.11–5.14 stehen auf required_mode = NEVER: sie halten die Erhebung nicht mehr auf, fehlen aber im ZÜS-Abschlusscheck sichtbar. Regressionstest in cy_smoke.ts.</t>
        </is>
      </c>
      <c r="L32" s="5" t="inlineStr">
        <is>
          <t>mittel</t>
        </is>
      </c>
      <c r="M32" s="6" t="inlineStr">
        <is>
          <t>erledigt</t>
        </is>
      </c>
      <c r="N32" s="6" t="inlineStr">
        <is>
          <t>cy_content/organisation.py, cy_smoke.ts</t>
        </is>
      </c>
    </row>
    <row r="33" ht="78" customHeight="1">
      <c r="A33" s="4" t="inlineStr">
        <is>
          <t>B32</t>
        </is>
      </c>
      <c r="B33" s="9" t="inlineStr">
        <is>
          <t>Mittel</t>
        </is>
      </c>
      <c r="C33" s="6" t="inlineStr">
        <is>
          <t>GBU</t>
        </is>
      </c>
      <c r="D33" s="6" t="inlineStr">
        <is>
          <t>Logikfehler</t>
        </is>
      </c>
      <c r="E33" s="6" t="inlineStr">
        <is>
          <t>MF-M10 · 6.1 vs 3.1</t>
        </is>
      </c>
      <c r="F33" s="6" t="inlineStr">
        <is>
          <t>6.1 (Antriebssystem) wird nur für die Anwendbarkeit von M10 genutzt („≠ Hydraulischer Antrieb“). Die Option „Hydraulischer Antrieb“ dupliziert 3.1 = Hydraulikaufzug; die Optionen Ein-/Zweigeschwindigkeit/geregelt werden nirgends ausgewertet.</t>
        </is>
      </c>
      <c r="G33" s="6" t="inlineStr">
        <is>
          <t>Widersprüchliche Eingaben möglich (3.1 = Hydraulik, 6.1 = geregelt); Frage weitgehend ohne Nutzen.</t>
        </is>
      </c>
      <c r="H33" s="6" t="inlineStr">
        <is>
          <t>M10-Anwendbarkeit an [3.1] ∉ {Hydraulik, Seil-Hydraulik} knüpfen; 6.1 entweder streichen oder nutzen (z. B. „geregelt“ als Info für K03-Maßnahme, Cyber 3.3.1 daraus ableiten).</t>
        </is>
      </c>
      <c r="I33" s="10" t="inlineStr">
        <is>
          <t>teilweise</t>
        </is>
      </c>
      <c r="J33" s="6" t="inlineStr">
        <is>
          <t>Teilweise: 6.1 steuert die Anwendbarkeit von MF-M10 UND MF-M12 – die Option „geregelt“ wird dort ausgewertet, anders als im Befund beschrieben. Richtig ist: 6.1 erzeugt keine eigene Regel und kann 3.1 widersprechen (3.1 = Hydraulik, 6.1 = geregelt).</t>
        </is>
      </c>
      <c r="K33" s="6" t="inlineStr">
        <is>
          <t>MF-M10 ist an der Aufzugsart (3.1) anwendbar statt am frei zugänglichen 6.1; bei Hydraulikanlagen entfällt die Gefährdung.</t>
        </is>
      </c>
      <c r="L33" s="5" t="inlineStr">
        <is>
          <t>mittel</t>
        </is>
      </c>
      <c r="M33" s="6" t="inlineStr">
        <is>
          <t>erledigt</t>
        </is>
      </c>
      <c r="N33" s="6" t="inlineStr">
        <is>
          <t>mf_content/triebwerksraum.py</t>
        </is>
      </c>
    </row>
    <row r="34" ht="78" customHeight="1">
      <c r="A34" s="4" t="inlineStr">
        <is>
          <t>B33</t>
        </is>
      </c>
      <c r="B34" s="9" t="inlineStr">
        <is>
          <t>Mittel</t>
        </is>
      </c>
      <c r="C34" s="6" t="inlineStr">
        <is>
          <t>GBU</t>
        </is>
      </c>
      <c r="D34" s="6" t="inlineStr">
        <is>
          <t>Unnötiger Schritt</t>
        </is>
      </c>
      <c r="E34" s="6" t="inlineStr">
        <is>
          <t>MF-Z02 · 5.3a / 5.3b / MF-M02 · 5.34</t>
        </is>
      </c>
      <c r="F34" s="6" t="inlineStr">
        <is>
          <t>5.3a (rutschig), 5.3b (Stolperstellen) und 5.34 (Warnkennzeichnung offene Kontakte) sind optionale Fragen ohne Regelbezug. 5.3 enthält die Teilaspekte bereits im Fragetext (…„ohne Absturzkante“ überschneidet zudem mit 5.7).</t>
        </is>
      </c>
      <c r="G34" s="6" t="inlineStr">
        <is>
          <t>Zusätzliche Klicks ohne Wirkung auf Stufe oder Maßnahme; Maßnahme Z02-R1 bleibt generisch.</t>
        </is>
      </c>
      <c r="H34" s="6" t="inlineStr">
        <is>
          <t>Entweder streichen oder als Maßnahmen-Auswahl nutzen (rutschig → rutschhemmender Belag; Stolperstellen → beseitigen). 5.34 nach Entscheidung K-K10 (Warnhinweis keine Kompensation) streichen.</t>
        </is>
      </c>
      <c r="I34" s="8" t="inlineStr">
        <is>
          <t>bestätigt</t>
        </is>
      </c>
      <c r="J34" s="6" t="inlineStr">
        <is>
          <t>Bestätigt: 5.3a, 5.3b und 5.34 kommen in keiner Regelbedingung vor.</t>
        </is>
      </c>
      <c r="K34" s="6" t="inlineStr">
        <is>
          <t>5.3a/5.3b sind Folgefragen mit eigener Maßnahme; 5.34 hat eine eigene Regel (Niedrig) statt optional und wirkungslos zu sein.</t>
        </is>
      </c>
      <c r="L34" s="5" t="inlineStr">
        <is>
          <t>klein</t>
        </is>
      </c>
      <c r="M34" s="6" t="inlineStr">
        <is>
          <t>erledigt</t>
        </is>
      </c>
      <c r="N34" s="6" t="inlineStr">
        <is>
          <t>mf_content/zugang.py, mf_content/triebwerksraum.py</t>
        </is>
      </c>
    </row>
    <row r="35" ht="78" customHeight="1">
      <c r="A35" s="4" t="inlineStr">
        <is>
          <t>B34</t>
        </is>
      </c>
      <c r="B35" s="9" t="inlineStr">
        <is>
          <t>Mittel</t>
        </is>
      </c>
      <c r="C35" s="6" t="inlineStr">
        <is>
          <t>GBU</t>
        </is>
      </c>
      <c r="D35" s="6" t="inlineStr">
        <is>
          <t>Dopplung</t>
        </is>
      </c>
      <c r="E35" s="6" t="inlineStr">
        <is>
          <t>MF-U02 / MF-U03 · 8 Ortsfragen</t>
        </is>
      </c>
      <c r="F35" s="6" t="inlineStr">
        <is>
          <t>Verschmutzung und Lagerung brennbarer Stoffe werden je 4-mal (Zugangsbereich, Triebwerksraum, Schacht, Grube) mit identischer Stufe und wortgleichen Maßnahmen gefragt.</t>
        </is>
      </c>
      <c r="G35" s="6" t="inlineStr">
        <is>
          <t>8 Fragen für 2 Sachverhalte; im Bericht bis zu 4 identische Maßnahmenzeilen ohne Ortsangabe.</t>
        </is>
      </c>
      <c r="H35" s="6" t="inlineStr">
        <is>
          <t>Als Ortsmatrix (Mehrfachauswahl Ort) behalten, aber Maßnahmentexte mit Ortsplatzhalter erzeugen und im Bericht zusammenfassen – oder auf je eine Frage mit Ortsauswahl reduzieren.</t>
        </is>
      </c>
      <c r="I35" s="8" t="inlineStr">
        <is>
          <t>bestätigt</t>
        </is>
      </c>
      <c r="J35" s="6" t="inlineStr">
        <is>
          <t>Bestätigt: MF-U02 und MF-U03 haben je vier Ortsfragen, Aggregation ANY und vier gleichwertige Regeln.</t>
        </is>
      </c>
      <c r="K35" s="6" t="inlineStr">
        <is>
          <t>Die vier Ortsmatrix-Gefährdungen nennen den Ort in Sofort- und Folgemaßnahme („Schachtgrube: …"), statt vier Orte mit demselben Satz zu bedienen.</t>
        </is>
      </c>
      <c r="L35" s="5" t="inlineStr">
        <is>
          <t>mittel</t>
        </is>
      </c>
      <c r="M35" s="6" t="inlineStr">
        <is>
          <t>erledigt</t>
        </is>
      </c>
      <c r="N35" s="6" t="inlineStr">
        <is>
          <t>mf_content/umfeld.py</t>
        </is>
      </c>
    </row>
    <row r="36" ht="78" customHeight="1">
      <c r="A36" s="4" t="inlineStr">
        <is>
          <t>B35</t>
        </is>
      </c>
      <c r="B36" s="9" t="inlineStr">
        <is>
          <t>Mittel</t>
        </is>
      </c>
      <c r="C36" s="6" t="inlineStr">
        <is>
          <t>GBU</t>
        </is>
      </c>
      <c r="D36" s="6" t="inlineStr">
        <is>
          <t>Dopplung</t>
        </is>
      </c>
      <c r="E36" s="6" t="inlineStr">
        <is>
          <t>MF-U07 · 15.23a vs 11.15</t>
        </is>
      </c>
      <c r="F36" s="6" t="inlineStr">
        <is>
          <t>„Feuchtigkeit/Kondensat an sicherheitsrelevanten Bauteilen“ (15.23a) und „Wasser oder Feuchtigkeit in der Schachtgrube“ (11.15) überschneiden sich; beide Hoch, wortgleiche Maßnahme. 15.23/15.23a/15.23b stehen in Phase „vorab (Betreiber)“, sind aber Vor-Ort-Befunde (Korrosion, Kondensat).</t>
        </is>
      </c>
      <c r="G36" s="6" t="inlineStr">
        <is>
          <t>Doppelbewertung; Betreiber soll vorab technische Befunde liefern, die er nicht beurteilen kann.</t>
        </is>
      </c>
      <c r="H36" s="6" t="inlineStr">
        <is>
          <t>Phase auf „vor Ort“ setzen; 15.23a auf „außerhalb der Grube“ eingrenzen oder mit 11.15 zusammenführen.</t>
        </is>
      </c>
      <c r="I36" s="8" t="inlineStr">
        <is>
          <t>bestätigt</t>
        </is>
      </c>
      <c r="J36" s="6" t="inlineStr">
        <is>
          <t>Bestätigt: 15.23a liegt in Kategorie U mit der Phase „vorab“, 11.15 in Kategorie G mit „vor Ort“; beide führen zu Hoch.</t>
        </is>
      </c>
      <c r="K36" s="6" t="inlineStr">
        <is>
          <t>15.23a und 11.15 sind im Fragetext und im Hinweistext gegeneinander abgegrenzt.</t>
        </is>
      </c>
      <c r="L36" s="5" t="inlineStr">
        <is>
          <t>mittel</t>
        </is>
      </c>
      <c r="M36" s="6" t="inlineStr">
        <is>
          <t>erledigt</t>
        </is>
      </c>
      <c r="N36" s="6" t="inlineStr">
        <is>
          <t>mf_content/umfeld.py</t>
        </is>
      </c>
    </row>
    <row r="37" ht="78" customHeight="1">
      <c r="A37" s="4" t="inlineStr">
        <is>
          <t>B36</t>
        </is>
      </c>
      <c r="B37" s="9" t="inlineStr">
        <is>
          <t>Mittel</t>
        </is>
      </c>
      <c r="C37" s="6" t="inlineStr">
        <is>
          <t>GBU</t>
        </is>
      </c>
      <c r="D37" s="6" t="inlineStr">
        <is>
          <t>Vorbelegung (Annahme/Nachweis)</t>
        </is>
      </c>
      <c r="E37" s="6" t="inlineStr">
        <is>
          <t>Annahmen · Zustandsfragen aus Baujahr</t>
        </is>
      </c>
      <c r="F37" s="6" t="inlineStr">
        <is>
          <t>Baujahr-Annahmen setzen auch Zustands-/Instandhaltungsfragen auf „Ja“: 5.30 (berührungssicher), 5.53a (gekennzeichnet), 9.4 (Fußleiste), 5.41 (Einzugsschutz), 5.12a (abschließbar), 5.40 (Einzugsschutz). Das Baujahr belegt die Errichtung, nicht den heutigen Zustand.</t>
        </is>
      </c>
      <c r="G37" s="6" t="inlineStr">
        <is>
          <t>Fehlende Abdeckungen, entfernte Kennzeichnungen oder ausgebaute Schlösser werden bei Anlagen ab 1999 vorbelegt als unauffällig.</t>
        </is>
      </c>
      <c r="H37" s="6" t="inlineStr">
        <is>
          <t>Annahmen auf konstruktive Merkmale beschränken (Zweikreisbremse, Rohrbruchventil, UCM nach Nachweis…); Zustandsfragen immer erheben.</t>
        </is>
      </c>
      <c r="I37" s="8" t="inlineStr">
        <is>
          <t>bestätigt</t>
        </is>
      </c>
      <c r="J37" s="6" t="inlineStr">
        <is>
          <t>Bestätigt und der größte offene Block: unter den 64 Baujahr-Annahmen stehen etliche Zustands- und Kennzeichnungsfragen – 5.30 (berührungssicher), 5.40 und 5.41 (Einzugsschutz), 5.51a/5.51b (Hauptschalter abschließbar/gekennzeichnet), 5.53a (Notbetrieb gekennzeichnet), 5.12a (Tür abschließbar), 8.16 (Nennlast gekennzeichnet), 9.4 (Fußleiste). Das Baujahr belegt die Errichtung, nicht den heutigen Zustand.</t>
        </is>
      </c>
      <c r="K37" s="6" t="inlineStr">
        <is>
          <t>Acht Annahmen zu Zustands- und Kennzeichnungsfragen sind gestrichen (Kennzeichnung, Abdeckungen, Freifläche, Schloss, Leuchtmittel) – das Baujahr sagt über den Zustand nichts aus. Jede Streichung steht mit Begründung im Code.</t>
        </is>
      </c>
      <c r="L37" s="5" t="inlineStr">
        <is>
          <t>mittel</t>
        </is>
      </c>
      <c r="M37" s="6" t="inlineStr">
        <is>
          <t>erledigt</t>
        </is>
      </c>
      <c r="N37" s="6" t="inlineStr">
        <is>
          <t>mf_content/annahmen.py</t>
        </is>
      </c>
    </row>
    <row r="38" ht="78" customHeight="1">
      <c r="A38" s="4" t="inlineStr">
        <is>
          <t>B37</t>
        </is>
      </c>
      <c r="B38" s="9" t="inlineStr">
        <is>
          <t>Mittel</t>
        </is>
      </c>
      <c r="C38" s="6" t="inlineStr">
        <is>
          <t>GBU</t>
        </is>
      </c>
      <c r="D38" s="6" t="inlineStr">
        <is>
          <t>Unklare Bedingung</t>
        </is>
      </c>
      <c r="E38" s="6" t="inlineStr">
        <is>
          <t>Annahmen · Abschaltbedingung [1.29] = Nein</t>
        </is>
      </c>
      <c r="F38" s="6" t="inlineStr">
        <is>
          <t>„Alle Annahmen entfallen, wenn [1.29] = Nein“. 1.29 (Konformitätserklärung liegt vor) ist optional (Pflicht „–“). Unbeantwortet ist die Bedingung nicht erfüllt – gelten die Annahmen dann?</t>
        </is>
      </c>
      <c r="G38" s="6" t="inlineStr">
        <is>
          <t>Fail-open-Risiko: ohne Antwort auf 1.29 könnten Baujahr-Annahmen greifen.</t>
        </is>
      </c>
      <c r="H38" s="6" t="inlineStr">
        <is>
          <t>Annahmen nur bei [1.29] = Ja anwenden (positiv formulieren) und 1.29 Pflicht machen, sobald Baujahr ≥ 1999.</t>
        </is>
      </c>
      <c r="I38" s="8" t="inlineStr">
        <is>
          <t>bestätigt</t>
        </is>
      </c>
      <c r="J38" s="6" t="inlineStr">
        <is>
          <t>Bestätigt, und es ist ein Fail-open: 1.29 ist optional ohne Pflicht, die Abschaltbedingung lautet „1.29 = Nein“. Unbeantwortet ist sie nicht erfüllt, die Baujahr-Annahmen greifen also ohne jede Aussage zur Konformitätserklärung.</t>
        </is>
      </c>
      <c r="K38" s="6" t="inlineStr">
        <is>
          <t>Die Abschaltbedingung aller Annahmen ist positiv formuliert (NICHT [1.29] = Ja) und 1.29 ist ab Baujahr 1999 Pflichtfrage. Zusätzlich behebt katalog_teilmenge.py einen dabei gefundenen fail-open: Abgeleitete Kataloge verloren die Rücknahmebedingung, sobald sie zusammengesetzt war – die Annahmen hätten dort IMMER gegriffen. Jetzt bricht die Ableitung ab, wenn eine benötigte Frage fehlt.</t>
        </is>
      </c>
      <c r="L38" s="5" t="inlineStr">
        <is>
          <t>mittel</t>
        </is>
      </c>
      <c r="M38" s="6" t="inlineStr">
        <is>
          <t>erledigt</t>
        </is>
      </c>
      <c r="N38" s="6" t="inlineStr">
        <is>
          <t>mf_content/common.py, mf_content/sonderfunktion_doku.py, katalog_teilmenge.py</t>
        </is>
      </c>
    </row>
    <row r="39" ht="78" customHeight="1">
      <c r="A39" s="4" t="inlineStr">
        <is>
          <t>B38</t>
        </is>
      </c>
      <c r="B39" s="11" t="inlineStr">
        <is>
          <t>Niedrig</t>
        </is>
      </c>
      <c r="C39" s="6" t="inlineStr">
        <is>
          <t>GBU</t>
        </is>
      </c>
      <c r="D39" s="6" t="inlineStr">
        <is>
          <t>Dopplung</t>
        </is>
      </c>
      <c r="E39" s="6" t="inlineStr">
        <is>
          <t>MF-T06 · R9 / R10</t>
        </is>
      </c>
      <c r="F39" s="6" t="inlineStr">
        <is>
          <t>R9 (8.9a Scherengitter) und R10 (8.9 Lichtgitter) sind bis auf die Kompensationsfrage identisch (Mittel, gleiche Maßnahmen).</t>
        </is>
      </c>
      <c r="G39" s="6" t="inlineStr">
        <is>
          <t>Zwei Regeln statt einer.</t>
        </is>
      </c>
      <c r="H39" s="6" t="inlineStr">
        <is>
          <t>Zu einer Regel „([8.9] = Ja ODER [8.9a] = Ja) UND [8.9b] = Ja UND [2.1] ∈ {…}“ zusammenfassen. 8.9b-Text kürzen („ausschließlich eingewiesene Personen“) – „Lastenaufzug“ prüft bereits 2.1.</t>
        </is>
      </c>
      <c r="I39" s="8" t="inlineStr">
        <is>
          <t>bestätigt</t>
        </is>
      </c>
      <c r="J39" s="6" t="inlineStr">
        <is>
          <t>Bestätigt: MF-T06-R9 und -R10 unterscheiden sich nur in der Kompensationsfrage.</t>
        </is>
      </c>
      <c r="K39" s="6" t="inlineStr">
        <is>
          <t>Bewusst nicht übernommen. R9 (Scherengitter) und R10 (Lichtgitter) bleiben getrennt: Der Bericht soll benennen, welche Ersatzlösung wirkt. Ein Zusammenfassen brächte keine Bewertungsänderung, würde aber Regel-IDs destabilisieren.</t>
        </is>
      </c>
      <c r="L39" s="5" t="inlineStr">
        <is>
          <t>klein</t>
        </is>
      </c>
      <c r="M39" s="6" t="inlineStr">
        <is>
          <t>bewusst nicht übernommen</t>
        </is>
      </c>
      <c r="N39" s="6" t="inlineStr">
        <is>
          <t>–</t>
        </is>
      </c>
    </row>
    <row r="40" ht="78" customHeight="1">
      <c r="A40" s="4" t="inlineStr">
        <is>
          <t>B39</t>
        </is>
      </c>
      <c r="B40" s="11" t="inlineStr">
        <is>
          <t>Niedrig</t>
        </is>
      </c>
      <c r="C40" s="6" t="inlineStr">
        <is>
          <t>GBU</t>
        </is>
      </c>
      <c r="D40" s="6" t="inlineStr">
        <is>
          <t>Unnötiger Schritt</t>
        </is>
      </c>
      <c r="E40" s="6" t="inlineStr">
        <is>
          <t>MF-F01 · R3 / R4 Überlappung</t>
        </is>
      </c>
      <c r="F40" s="6" t="inlineStr">
        <is>
          <t>R4 (Mittel) deckt auch „über 850 mm“ ab, wo R3 bereits Hoch liefert; R2 (&lt; 700 → Hoch) überschneidet mit R3/R4. MAXIMUM macht es harmlos, aber redundant.</t>
        </is>
      </c>
      <c r="G40" s="6" t="inlineStr">
        <is>
          <t>Mehrfachtreffer mit identischen Maßnahmen; erschwert das Lesen der Regelmatrix.</t>
        </is>
      </c>
      <c r="H40" s="6" t="inlineStr">
        <is>
          <t>R4 auf „501–850 mm“ UND „700–1 099 mm“, R3 auf „über 850 mm“ UND „700–1 099 mm“ beschränken.</t>
        </is>
      </c>
      <c r="I40" s="8" t="inlineStr">
        <is>
          <t>bestätigt</t>
        </is>
      </c>
      <c r="J40" s="6" t="inlineStr">
        <is>
          <t>Bestätigt: MF-F01 aggregiert MAXIMUM, die Überlappung ändert das Ergebnis nicht.</t>
        </is>
      </c>
      <c r="K40" s="6" t="inlineStr">
        <is>
          <t>MF-F01-R4 auf 501–850 mm begrenzt; darüber gilt R3 (Hoch). Die Überlappung ist weg.</t>
        </is>
      </c>
      <c r="L40" s="5" t="inlineStr">
        <is>
          <t>klein</t>
        </is>
      </c>
      <c r="M40" s="6" t="inlineStr">
        <is>
          <t>erledigt</t>
        </is>
      </c>
      <c r="N40" s="6" t="inlineStr">
        <is>
          <t>mf_content/fahrkorbdach.py</t>
        </is>
      </c>
    </row>
    <row r="41" ht="78" customHeight="1">
      <c r="A41" s="4" t="inlineStr">
        <is>
          <t>B40</t>
        </is>
      </c>
      <c r="B41" s="11" t="inlineStr">
        <is>
          <t>Niedrig</t>
        </is>
      </c>
      <c r="C41" s="6" t="inlineStr">
        <is>
          <t>GBU</t>
        </is>
      </c>
      <c r="D41" s="6" t="inlineStr">
        <is>
          <t>Unklare Bedingung</t>
        </is>
      </c>
      <c r="E41" s="6" t="inlineStr">
        <is>
          <t>MF-S07 · 10.13 Frage vs Karte 10.3</t>
        </is>
      </c>
      <c r="F41" s="6" t="inlineStr">
        <is>
          <t>Fragetext: „…frei und sicher begehbar?“ (Verkehrsweg). Kartenposition: „…nicht gesichert / unwirksam (Schacht-, Inspektionstüren)“ (Sicherheitsfunktion). Nein → Hoch.</t>
        </is>
      </c>
      <c r="G41" s="6" t="inlineStr">
        <is>
          <t>Zwei verschiedene Sachverhalte unter einer Frage; Hoch für ein zugestelltes Türumfeld wirkt überzogen, für eine unwirksame Inspektionstür-Sicherung passend.</t>
        </is>
      </c>
      <c r="H41" s="6" t="inlineStr">
        <is>
          <t>In zwei Fragen trennen: Zugang frei (Mittel) / Verriegelung/Schalter der Inspektionstür wirksam (Hoch).</t>
        </is>
      </c>
      <c r="I41" s="8" t="inlineStr">
        <is>
          <t>bestätigt</t>
        </is>
      </c>
      <c r="J41" s="6" t="inlineStr">
        <is>
          <t>Bestätigt: Fragetext (freier Verkehrsweg) und Kartenposition (Sicherung der Inspektionstür) beschreiben zwei Sachverhalte, das Ergebnis ist Hoch.</t>
        </is>
      </c>
      <c r="K41" s="6" t="inlineStr">
        <is>
          <t>10.13 ist in Türkontakt (10.13) und Verriegelung (10.13a) getrennt; die Karte 10.3 nennt beide Positionen.</t>
        </is>
      </c>
      <c r="L41" s="5" t="inlineStr">
        <is>
          <t>mittel</t>
        </is>
      </c>
      <c r="M41" s="6" t="inlineStr">
        <is>
          <t>erledigt</t>
        </is>
      </c>
      <c r="N41" s="6" t="inlineStr">
        <is>
          <t>mf_content/schacht_grube.py, mf_content/erhebung.py</t>
        </is>
      </c>
    </row>
    <row r="42" ht="78" customHeight="1">
      <c r="A42" s="4" t="inlineStr">
        <is>
          <t>B41</t>
        </is>
      </c>
      <c r="B42" s="11" t="inlineStr">
        <is>
          <t>Niedrig</t>
        </is>
      </c>
      <c r="C42" s="6" t="inlineStr">
        <is>
          <t>GBU</t>
        </is>
      </c>
      <c r="D42" s="6" t="inlineStr">
        <is>
          <t>Unklare Bedingung</t>
        </is>
      </c>
      <c r="E42" s="6" t="inlineStr">
        <is>
          <t>Doppelfragen mit unterschiedlichen Maßnahmen</t>
        </is>
      </c>
      <c r="F42" s="6" t="inlineStr">
        <is>
          <t>Mehrere Ja/Nein-Fragen bündeln Sachverhalte, deren Maßnahmen sich unterscheiden: 8.21 „vorhanden UND in BMA eingebunden“ (Nein → „BFS nachrüsten“, auch wenn nur die Einbindung fehlt); 3.9 „Wartungsunterlagen und Prüfbuch vorhanden und aktuell“; 5.51 „vorhanden und Wirkung nachvollziehbar“; 9.6b/11.14b (drei Bedingungen).</t>
        </is>
      </c>
      <c r="G42" s="6" t="inlineStr">
        <is>
          <t>Maßnahme passt nicht zu jedem Nein.</t>
        </is>
      </c>
      <c r="H42" s="6" t="inlineStr">
        <is>
          <t>8.21 in „vorhanden“ / „in BMA eingebunden“ trennen; bei den übrigen Fragen mindestens die Maßnahmentexte neutral formulieren.</t>
        </is>
      </c>
      <c r="I42" s="8" t="inlineStr">
        <is>
          <t>bestätigt</t>
        </is>
      </c>
      <c r="J42" s="6" t="inlineStr">
        <is>
          <t>Bestätigt für 8.21 (vorhanden UND in BMA eingebunden), 3.9, 5.51 sowie 9.6b/11.14b.</t>
        </is>
      </c>
      <c r="K42" s="6" t="inlineStr">
        <is>
          <t>Teilweise umgesetzt. 8.21 – der Hauptfall – ist getrennt (siehe B14). Bei den übrigen Bündelfragen (z. B. 3.9 Wartungsunterlagen und Prüfbuch) sind die Maßnahmentexte neutral formuliert statt die Frage zu teilen; ein Teilen würde dort nur Fragen vermehren.</t>
        </is>
      </c>
      <c r="L42" s="5" t="inlineStr">
        <is>
          <t>mittel</t>
        </is>
      </c>
      <c r="M42" s="6" t="inlineStr">
        <is>
          <t>teilweise</t>
        </is>
      </c>
      <c r="N42" s="6" t="inlineStr">
        <is>
          <t>mf_content/tueren_fahrkorb.py, mf_content/sonderfunktion_doku.py</t>
        </is>
      </c>
    </row>
    <row r="43" ht="78" customHeight="1">
      <c r="A43" s="4" t="inlineStr">
        <is>
          <t>B42</t>
        </is>
      </c>
      <c r="B43" s="11" t="inlineStr">
        <is>
          <t>Niedrig</t>
        </is>
      </c>
      <c r="C43" s="6" t="inlineStr">
        <is>
          <t>GBU</t>
        </is>
      </c>
      <c r="D43" s="6" t="inlineStr">
        <is>
          <t>Bewertungslücke</t>
        </is>
      </c>
      <c r="E43" s="6" t="inlineStr">
        <is>
          <t>Karte 10.1 „…und Beleuchtung der Haltestellen“</t>
        </is>
      </c>
      <c r="F43" s="6" t="inlineStr">
        <is>
          <t>Kartentitel und Hilfetext nennen die Haltestellenbeleuchtung (50 lx), es gibt aber keine Frage dazu.</t>
        </is>
      </c>
      <c r="G43" s="6" t="inlineStr">
        <is>
          <t>Versprochener Prüfpunkt fehlt.</t>
        </is>
      </c>
      <c r="H43" s="6" t="inlineStr">
        <is>
          <t>Frage 10.1d „Beleuchtung an den Haltestellen ≥ 50 lx?“ ergänzen oder Titel/Hilfetext kürzen.</t>
        </is>
      </c>
      <c r="I43" s="8" t="inlineStr">
        <is>
          <t>bestätigt</t>
        </is>
      </c>
      <c r="J43" s="6" t="inlineStr">
        <is>
          <t>Bestätigt: die Karte BS1 heißt „Schachtbeleuchtung und Beleuchtung der Haltestellen“, enthält aber nur die Fragen zur Schachtbeleuchtung.</t>
        </is>
      </c>
      <c r="K43" s="6" t="inlineStr">
        <is>
          <t>Der Kartentext 10.1 verweist für die Haltestellen wieder auf denselben Sollwert wie Frage 10.2 – und der ist jetzt einheitlich 50 lx (Entscheidung Arne 20.09.2026). Der bisherige Wert „mind. 75 Lux" stammte aus dem übernommenen App-Katalog und widersprach der eigenen Quellenangabe DIN EN 81-20 5.3.7.1; Fragetext, Maßnahme und Kartentext sind angeglichen.</t>
        </is>
      </c>
      <c r="L43" s="5" t="inlineStr">
        <is>
          <t>klein</t>
        </is>
      </c>
      <c r="M43" s="6" t="inlineStr">
        <is>
          <t>erledigt</t>
        </is>
      </c>
      <c r="N43" s="6" t="inlineStr">
        <is>
          <t>mf_content/schacht_grube.py (10.2, MF-S02), mf_content/erhebung.py (Karte BS1)</t>
        </is>
      </c>
    </row>
    <row r="44" ht="78" customHeight="1">
      <c r="A44" s="4" t="inlineStr">
        <is>
          <t>B43</t>
        </is>
      </c>
      <c r="B44" s="11" t="inlineStr">
        <is>
          <t>Niedrig</t>
        </is>
      </c>
      <c r="C44" s="6" t="inlineStr">
        <is>
          <t>GBU</t>
        </is>
      </c>
      <c r="D44" s="6" t="inlineStr">
        <is>
          <t>Unklare Bedingung</t>
        </is>
      </c>
      <c r="E44" s="6" t="inlineStr">
        <is>
          <t>MF-K10 · 8.22 vs 8.23 / 8.24</t>
        </is>
      </c>
      <c r="F44" s="6" t="inlineStr">
        <is>
          <t>8.22 „nach EN 81-70 barrierefrei ausgeführt“ umfasst 8.23/8.24 bereits; bei 8.22 = Ja müssen 8.23/8.24 Ja sein. Maßnahme K10-R2 „Bündigkeit und Türoffenhaltezeit prüfen“ passt nicht zur Frage.</t>
        </is>
      </c>
      <c r="G44" s="6" t="inlineStr">
        <is>
          <t>Redundanz, möglicher Widerspruch, unpassende Sofortmaßnahme.</t>
        </is>
      </c>
      <c r="H44" s="6" t="inlineStr">
        <is>
          <t>8.23/8.24 nur bei 8.22 = Nein stellen (Teilaspekte) und R2-Maßnahme anpassen.</t>
        </is>
      </c>
      <c r="I44" s="8" t="inlineStr">
        <is>
          <t>bestätigt</t>
        </is>
      </c>
      <c r="J44" s="6" t="inlineStr">
        <is>
          <t>Bestätigt: 8.22 (barrierefrei nach EN 81-70) umfasst 8.23 und 8.24; die Sofortmaßnahme von MF-K10-R2 passt nicht zur Frage.</t>
        </is>
      </c>
      <c r="K44" s="6" t="inlineStr">
        <is>
          <t>8.23 und 8.24 sind Teilaspekte von 8.22 und werden nur bei nicht normgerechter Ausführung gestellt; die Maßnahme von K10-R2 ist an die Frage angepasst.</t>
        </is>
      </c>
      <c r="L44" s="5" t="inlineStr">
        <is>
          <t>klein</t>
        </is>
      </c>
      <c r="M44" s="6" t="inlineStr">
        <is>
          <t>erledigt</t>
        </is>
      </c>
      <c r="N44" s="6" t="inlineStr">
        <is>
          <t>mf_content/tueren_fahrkorb.py</t>
        </is>
      </c>
    </row>
    <row r="45" ht="78" customHeight="1">
      <c r="A45" s="4" t="inlineStr">
        <is>
          <t>B44</t>
        </is>
      </c>
      <c r="B45" s="11" t="inlineStr">
        <is>
          <t>Niedrig</t>
        </is>
      </c>
      <c r="C45" s="6" t="inlineStr">
        <is>
          <t>GBU</t>
        </is>
      </c>
      <c r="D45" s="6" t="inlineStr">
        <is>
          <t>Vorbelegung (Annahme/Nachweis)</t>
        </is>
      </c>
      <c r="E45" s="6" t="inlineStr">
        <is>
          <t>Nachweise · 8.28 „Aktive Maßnahme“</t>
        </is>
      </c>
      <c r="F45" s="6" t="inlineStr">
        <is>
          <t>ZÜS-Bericht ohne Mängel belegt 8.28 mit „Aktive Maßnahme (SAFÜ)“ vor. Der Prüfbericht sagt nicht, ob die Schutzeinrichtung aktiv oder passiv ist.</t>
        </is>
      </c>
      <c r="G45" s="6" t="inlineStr">
        <is>
          <t>Vorbelegung genauer als die Quelle; für K14-R1 (Kompensation nur bei aktiver Maßnahme) relevant.</t>
        </is>
      </c>
      <c r="H45" s="6" t="inlineStr">
        <is>
          <t>Nur „nicht verhindert“ ausschließen, Art der Maßnahme erheben – oder Vorbelegung streichen.</t>
        </is>
      </c>
      <c r="I45" s="8" t="inlineStr">
        <is>
          <t>bestätigt</t>
        </is>
      </c>
      <c r="J45" s="6" t="inlineStr">
        <is>
          <t>Bestätigt: der ZÜS-Bericht ohne Mängel belegt 8.28 mit „Aktive Maßnahme“ vor, obwohl er die Bauart nicht nennt. Relevant, weil MF-K14-R1 nur die aktive Maßnahme als Kompensation anerkennt.</t>
        </is>
      </c>
      <c r="K45" s="6" t="inlineStr">
        <is>
          <t>Der Nachweis zu 8.28 ist gestrichen: Der Prüfbericht belegt, dass eine Schutzeinrichtung wirkt – nicht, ob sie aktiv oder passiv ausgeführt ist. Genau diese Unterscheidung entscheidet aber über die Kompensation in MF-K14.</t>
        </is>
      </c>
      <c r="L45" s="5" t="inlineStr">
        <is>
          <t>klein</t>
        </is>
      </c>
      <c r="M45" s="6" t="inlineStr">
        <is>
          <t>erledigt</t>
        </is>
      </c>
      <c r="N45" s="6" t="inlineStr">
        <is>
          <t>mf_content/erhebung.py (NACHWEISE)</t>
        </is>
      </c>
    </row>
    <row r="46" ht="78" customHeight="1">
      <c r="A46" s="4" t="inlineStr">
        <is>
          <t>B45</t>
        </is>
      </c>
      <c r="B46" s="11" t="inlineStr">
        <is>
          <t>Niedrig</t>
        </is>
      </c>
      <c r="C46" s="6" t="inlineStr">
        <is>
          <t>GBU</t>
        </is>
      </c>
      <c r="D46" s="6" t="inlineStr">
        <is>
          <t>Formal / Text</t>
        </is>
      </c>
      <c r="E46" s="6" t="inlineStr">
        <is>
          <t>MF-G04-R7 · Hinweis</t>
        </is>
      </c>
      <c r="F46" s="6" t="inlineStr">
        <is>
          <t>Hinweistext enthält unaufgelösten Platzhalter: „[Prüfbericht: %s – Leiter nur bewertet …]“.</t>
        </is>
      </c>
      <c r="G46" s="6" t="inlineStr">
        <is>
          <t>Formatierungsfehler aus dem Generator.</t>
        </is>
      </c>
      <c r="H46" s="6" t="inlineStr">
        <is>
          <t>Platzhalter im Generator (gen_riedl_fragenkatalog_xlsx.py / Regelquelle) füllen.</t>
        </is>
      </c>
      <c r="I46" s="8" t="inlineStr">
        <is>
          <t>bestätigt</t>
        </is>
      </c>
      <c r="J46" s="6" t="inlineStr">
        <is>
          <t>Der Platzhalter %s stand wörtlich im Hinweis.</t>
        </is>
      </c>
      <c r="K46" s="6" t="inlineStr">
        <is>
          <t>Keine unaufgelösten Platzhalter mehr in den Hinweisen (im erzeugten Katalog geprüft).</t>
        </is>
      </c>
      <c r="L46" s="5" t="inlineStr">
        <is>
          <t>klein</t>
        </is>
      </c>
      <c r="M46" s="6" t="inlineStr">
        <is>
          <t>erledigt</t>
        </is>
      </c>
      <c r="N46" s="6" t="inlineStr">
        <is>
          <t>mf_content/common.py</t>
        </is>
      </c>
    </row>
    <row r="47" ht="78" customHeight="1">
      <c r="A47" s="4" t="inlineStr">
        <is>
          <t>B46</t>
        </is>
      </c>
      <c r="B47" s="11" t="inlineStr">
        <is>
          <t>Niedrig</t>
        </is>
      </c>
      <c r="C47" s="6" t="inlineStr">
        <is>
          <t>GBU</t>
        </is>
      </c>
      <c r="D47" s="6" t="inlineStr">
        <is>
          <t>Formal / Text</t>
        </is>
      </c>
      <c r="E47" s="6" t="inlineStr">
        <is>
          <t>MF-M02-R5 · Maßnahme</t>
        </is>
      </c>
      <c r="F47" s="6" t="inlineStr">
        <is>
          <t>Tippfehler „DGUV V3 Püfung beauftragen“; Annahmen-Begründungen mit „Funktionspruefung“ (ue statt ü).</t>
        </is>
      </c>
      <c r="G47" s="6" t="inlineStr">
        <is>
          <t>Erscheint so im Bericht.</t>
        </is>
      </c>
      <c r="H47" s="6" t="inlineStr">
        <is>
          <t>Korrigieren.</t>
        </is>
      </c>
      <c r="I47" s="8" t="inlineStr">
        <is>
          <t>bestätigt</t>
        </is>
      </c>
      <c r="J47" s="6" t="inlineStr">
        <is>
          <t>Tippfehler bestätigt.</t>
        </is>
      </c>
      <c r="K47" s="6" t="inlineStr">
        <is>
          <t>„DGUV V3 Püfung" und „Kolbenabsinkverhinderrung" in die Textkorrektur aufgenommen; die Annahmen-Begründungen sind bereinigt.</t>
        </is>
      </c>
      <c r="L47" s="5" t="inlineStr">
        <is>
          <t>klein</t>
        </is>
      </c>
      <c r="M47" s="6" t="inlineStr">
        <is>
          <t>erledigt</t>
        </is>
      </c>
      <c r="N47" s="6" t="inlineStr">
        <is>
          <t>mf_content/common.py (TEXTKORREKTUR)</t>
        </is>
      </c>
    </row>
    <row r="48" ht="78" customHeight="1">
      <c r="A48" s="4" t="inlineStr">
        <is>
          <t>B47</t>
        </is>
      </c>
      <c r="B48" s="11" t="inlineStr">
        <is>
          <t>Niedrig</t>
        </is>
      </c>
      <c r="C48" s="6" t="inlineStr">
        <is>
          <t>GBU</t>
        </is>
      </c>
      <c r="D48" s="6" t="inlineStr">
        <is>
          <t>Formal / Text</t>
        </is>
      </c>
      <c r="E48" s="6" t="inlineStr">
        <is>
          <t>9.1m, 8.10m, 8.12m, 8.14m</t>
        </is>
      </c>
      <c r="F48" s="6" t="inlineStr">
        <is>
          <t>Fragetext endet auf „(optional) [optional]“ – Suffix doppelt.</t>
        </is>
      </c>
      <c r="G48" s="6" t="inlineStr">
        <is>
          <t>Kosmetik.</t>
        </is>
      </c>
      <c r="H48" s="6" t="inlineStr">
        <is>
          <t>Ein Suffix entfernen (Generator hängt „[optional]“ offenbar automatisch an).</t>
        </is>
      </c>
      <c r="I48" s="8" t="inlineStr">
        <is>
          <t>bestätigt</t>
        </is>
      </c>
      <c r="J48" s="6" t="inlineStr">
        <is>
          <t>Der Fehler lag im Export-Generator, nicht im Katalog.</t>
        </is>
      </c>
      <c r="K48" s="6" t="inlineStr">
        <is>
          <t>Kein doppeltes „(optional) [optional]" mehr – im erzeugten Fragenkatalog geprüft.</t>
        </is>
      </c>
      <c r="L48" s="5" t="inlineStr">
        <is>
          <t>klein</t>
        </is>
      </c>
      <c r="M48" s="6" t="inlineStr">
        <is>
          <t>erledigt</t>
        </is>
      </c>
      <c r="N48" s="6" t="inlineStr">
        <is>
          <t>gen_riedl_fragenkatalog_xlsx.py</t>
        </is>
      </c>
    </row>
    <row r="49" ht="78" customHeight="1">
      <c r="A49" s="4" t="inlineStr">
        <is>
          <t>B48</t>
        </is>
      </c>
      <c r="B49" s="11" t="inlineStr">
        <is>
          <t>Niedrig</t>
        </is>
      </c>
      <c r="C49" s="6" t="inlineStr">
        <is>
          <t>GBU/Cyber</t>
        </is>
      </c>
      <c r="D49" s="6" t="inlineStr">
        <is>
          <t>Formal / Text</t>
        </is>
      </c>
      <c r="E49" s="6" t="inlineStr">
        <is>
          <t>Auffangregeln „[X] ist beantwortet“</t>
        </is>
      </c>
      <c r="F49" s="6" t="inlineStr">
        <is>
          <t>Die Kein-Risiko-Regel nennt nur die erste Pflichtfrage (z. B. MF-D03-R3 „[3.9] ist beantwortet“, obwohl 3.9 und 3.10 Pflicht sind). Laut Lesehinweis gilt „alle Pflichtfragen beantwortet“.</t>
        </is>
      </c>
      <c r="G49" s="6" t="inlineStr">
        <is>
          <t>Bedingungstext im Blatt ist irreführend.</t>
        </is>
      </c>
      <c r="H49" s="6" t="inlineStr">
        <is>
          <t>Anzeige der Auffangregel auf „alle Pflichtfragen beantwortet“ ändern.</t>
        </is>
      </c>
      <c r="I49" s="8" t="inlineStr">
        <is>
          <t>bestätigt</t>
        </is>
      </c>
      <c r="J49" s="6" t="inlineStr">
        <is>
          <t>Bestätigt: die Auffangregel trägt im Katalog tatsächlich nur eine Frage als Bedingung (etwa „3.9 ist beantwortet“). Die Vollständigkeitsprüfung übernimmt der Evaluator getrennt, das Ergebnis ist also richtig – der angezeigte Bedingungstext ist irreführend.</t>
        </is>
      </c>
      <c r="K49" s="6" t="inlineStr">
        <is>
          <t>Die Auffangregel wird im Blatt „Regeln" ausgeschrieben: „Auffangregel: keine Mangelregel dieser Gefährdung trifft zu und alle Pflichtfragen sind beantwortet (Anker: [x.y])". Dazu ein eigener Lesehinweis.</t>
        </is>
      </c>
      <c r="L49" s="5" t="inlineStr">
        <is>
          <t>klein</t>
        </is>
      </c>
      <c r="M49" s="6" t="inlineStr">
        <is>
          <t>erledigt</t>
        </is>
      </c>
      <c r="N49" s="6" t="inlineStr">
        <is>
          <t>gen_riedl_fragenkatalog_xlsx.py</t>
        </is>
      </c>
    </row>
    <row r="50" ht="78" customHeight="1">
      <c r="A50" s="4" t="inlineStr">
        <is>
          <t>B49</t>
        </is>
      </c>
      <c r="B50" s="11" t="inlineStr">
        <is>
          <t>Niedrig</t>
        </is>
      </c>
      <c r="C50" s="6" t="inlineStr">
        <is>
          <t>Cyber</t>
        </is>
      </c>
      <c r="D50" s="6" t="inlineStr">
        <is>
          <t>Formal / Text</t>
        </is>
      </c>
      <c r="E50" s="6" t="inlineStr">
        <is>
          <t>Maßnahmenkatalog · Paare mit/ohne „Wirksamkeit nachweisen“</t>
        </is>
      </c>
      <c r="F50" s="6" t="inlineStr">
        <is>
          <t>4 Maßnahmenpaare unterscheiden sich nur durch den Zusatz „Wirksamkeit nachweisen (TRBS 1115-1 Abschn. 5)“ (m_2610af0dfe/m_e87e6f3848, m_67bc571c3f/m_9f47343c88, m_64db42df3b/m_ed35b64254, m_c93486816a/m_191b4f0ae9, m_113b67299f/m_1b9044ac23). GBU: „Fahrbegrenzung nachrüsten oder Schutzraum wiederherstellen/herstellen“, „Nutzer über die Absturzgefahr … unterweisen“ mit/ohne Zusatz, zwei UCM-Nachrüst-Varianten.</t>
        </is>
      </c>
      <c r="G50" s="6" t="inlineStr">
        <is>
          <t>Maßnahmenkatalog aufgebläht; bei Mehrfachtreffern erscheinen fast identische Zeilen.</t>
        </is>
      </c>
      <c r="H50" s="6" t="inlineStr">
        <is>
          <t>Zusatz als Attribut der Regel führen oder Texte vereinheitlichen; Duplikate im mx()-Register zusammenführen.</t>
        </is>
      </c>
      <c r="I50" s="8" t="inlineStr">
        <is>
          <t>bestätigt</t>
        </is>
      </c>
      <c r="J50" s="6" t="inlineStr">
        <is>
          <t>Bestätigt: die Maßnahmenpaare unterscheiden sich nur im Zusatz „Wirksamkeit nachweisen (TRBS 1115-1, Abschnitt 5)“.</t>
        </is>
      </c>
      <c r="K50" s="6" t="inlineStr">
        <is>
          <t>Der Zusatz „Wirksamkeit nachweisen (TRBS 1115-1 Abschn. 5)" hängt jetzt einheitlich an jeder Maßnahme der Komponentenmuster – vorher nur an einem Teil, wodurch scheinbar zwei Maßnahmenpaare existierten.</t>
        </is>
      </c>
      <c r="L50" s="5" t="inlineStr">
        <is>
          <t>mittel</t>
        </is>
      </c>
      <c r="M50" s="6" t="inlineStr">
        <is>
          <t>erledigt</t>
        </is>
      </c>
      <c r="N50" s="6" t="inlineStr">
        <is>
          <t>cy_content/komponenten.py</t>
        </is>
      </c>
    </row>
    <row r="51" ht="78" customHeight="1">
      <c r="A51" s="4" t="inlineStr">
        <is>
          <t>B50</t>
        </is>
      </c>
      <c r="B51" s="11" t="inlineStr">
        <is>
          <t>Niedrig</t>
        </is>
      </c>
      <c r="C51" s="6" t="inlineStr">
        <is>
          <t>GBU</t>
        </is>
      </c>
      <c r="D51" s="6" t="inlineStr">
        <is>
          <t>Formal / Text</t>
        </is>
      </c>
      <c r="E51" s="6" t="inlineStr">
        <is>
          <t>Rollenbezeichnung „Modifikator“</t>
        </is>
      </c>
      <c r="F51" s="6" t="inlineStr">
        <is>
          <t>8.29a/8.29b (K15) und 8.27 (M08) sind als „Modifikator“ geführt, haben aber eigene Befundregeln bzw. wirken als Auslöser.</t>
        </is>
      </c>
      <c r="G51" s="6" t="inlineStr">
        <is>
          <t>Rollenmetadaten stimmen nicht mit der Regelverwendung überein.</t>
        </is>
      </c>
      <c r="H51" s="6" t="inlineStr">
        <is>
          <t>Rolle automatisch aus der Regelverwendung ableiten.</t>
        </is>
      </c>
      <c r="I51" s="8" t="inlineStr">
        <is>
          <t>bestätigt</t>
        </is>
      </c>
      <c r="J51" s="6" t="inlineStr">
        <is>
          <t>Bestätigt: 8.29a, 8.29b und 8.27 sind als Modifikator geführt, haben aber eigene Befundregeln; umgekehrt steht 5.2a als optional und ist Pflicht (siehe B22).</t>
        </is>
      </c>
      <c r="K51" s="6" t="inlineStr">
        <is>
          <t>Teilweise umgesetzt. Die Rollen bleiben, wie sie sind – „Modifikator" ist bei 8.29a/8.29b und 8.27 fachlich richtig (sie verändern die Stufe, lösen sie aber nicht allein aus). Stattdessen erklärt ein neuer Lesehinweis, was jede Rolle bedeutet und dass die tatsächliche Wirkung im Blatt „Regeln" steht.</t>
        </is>
      </c>
      <c r="L51" s="5" t="inlineStr">
        <is>
          <t>klein</t>
        </is>
      </c>
      <c r="M51" s="6" t="inlineStr">
        <is>
          <t>teilweise</t>
        </is>
      </c>
      <c r="N51" s="6" t="inlineStr">
        <is>
          <t>gen_riedl_fragenkatalog_xlsx.py</t>
        </is>
      </c>
    </row>
    <row r="52" ht="78" customHeight="1">
      <c r="A52" s="4" t="inlineStr">
        <is>
          <t>B51</t>
        </is>
      </c>
      <c r="B52" s="11" t="inlineStr">
        <is>
          <t>Niedrig</t>
        </is>
      </c>
      <c r="C52" s="6" t="inlineStr">
        <is>
          <t>GBU</t>
        </is>
      </c>
      <c r="D52" s="6" t="inlineStr">
        <is>
          <t>Formal / Text</t>
        </is>
      </c>
      <c r="E52" s="6" t="inlineStr">
        <is>
          <t>„Unauffälliger Wert“ lückenhaft</t>
        </is>
      </c>
      <c r="F52" s="6" t="inlineStr">
        <is>
          <t>Für viele Befundfragen fehlt der unauffällige Wert (z. B. 5.40, 6.2, 9.2, 5.5, 3.4, 8.8), für andere ist er gesetzt (5.41, 5.30).</t>
        </is>
      </c>
      <c r="G52" s="6" t="inlineStr">
        <is>
          <t>Falls die UI daraus eine „alles unauffällig“-Vorbelegung ableitet, ist sie unvollständig.</t>
        </is>
      </c>
      <c r="H52" s="6" t="inlineStr">
        <is>
          <t>Für alle Befundfragen setzen oder das Feld konsequent nur für Ja/Nein-Fragen nutzen.</t>
        </is>
      </c>
      <c r="I52" s="11" t="inlineStr">
        <is>
          <t>nicht bestätigt</t>
        </is>
      </c>
      <c r="J52" s="6" t="inlineStr">
        <is>
          <t>Kein Fehler: der unauffällige Wert ist bewusst nur dort gesetzt, wo eine Sammelantwort fachlich vertretbar ist. Bauart-, Ausstattungs- und Prüfaussagen sind über erhebung.KEIN_SAMMEL ausgenommen (Festlegung 17.09.2026) – genau deshalb fehlt er bei 5.40, 6.2, 9.2, 5.5, 3.4 und 8.8.</t>
        </is>
      </c>
      <c r="K52" s="6" t="inlineStr">
        <is>
          <t>Bewusst nicht übernommen. Der unauffällige Wert (best_case) wird bewusst nur dort gesetzt, wo eine Sammelantwort zulässig ist – also wo der unauffällige Zustand mit einem Blick feststellbar ist. Messwerte, Bauart-, Ausstattungs- und Prüfaussagen bleiben leer und werden einzeln beantwortet. Als Lesehinweis dokumentiert, damit eine leere Zelle nicht als Fehler gelesen wird.</t>
        </is>
      </c>
      <c r="L52" s="5" t="inlineStr">
        <is>
          <t>klein</t>
        </is>
      </c>
      <c r="M52" s="6" t="inlineStr">
        <is>
          <t>bewusst nicht übernommen</t>
        </is>
      </c>
      <c r="N52" s="6" t="inlineStr">
        <is>
          <t>gen_riedl_fragenkatalog_xlsx.py</t>
        </is>
      </c>
    </row>
    <row r="53" ht="78" customHeight="1">
      <c r="A53" s="4" t="inlineStr">
        <is>
          <t>B52</t>
        </is>
      </c>
      <c r="B53" s="11" t="inlineStr">
        <is>
          <t>Niedrig</t>
        </is>
      </c>
      <c r="C53" s="6" t="inlineStr">
        <is>
          <t>GBU/Cyber</t>
        </is>
      </c>
      <c r="D53" s="6" t="inlineStr">
        <is>
          <t>Formal / Text</t>
        </is>
      </c>
      <c r="E53" s="6" t="inlineStr">
        <is>
          <t>Ampel „Niedrig = Grün“</t>
        </is>
      </c>
      <c r="F53" s="6" t="inlineStr">
        <is>
          <t>Die Riedl-Variante zeigt Niedrig als Grün. Damit verschwinden Befunde wie Drahtglas (T04-R3), Schutzraum Altnorm (F04-R3/G02-R2), eine von zwei Kompensationen (K05-R4) optisch.</t>
        </is>
      </c>
      <c r="G53" s="6" t="inlineStr">
        <is>
          <t>Informationsverlust im Bericht; Maßnahmen zu Niedrig-Befunden wirken grundlos.</t>
        </is>
      </c>
      <c r="H53" s="6" t="inlineStr">
        <is>
          <t>Bewusste Entscheidung – aber Niedrig im Bericht als eigene Kategorie (hellgrün/„Hinweis“) kennzeichnen, damit Maßnahmen nachvollziehbar bleiben.</t>
        </is>
      </c>
      <c r="I53" s="12" t="inlineStr">
        <is>
          <t>bewusste Entscheidung</t>
        </is>
      </c>
      <c r="J53" s="6" t="inlineStr">
        <is>
          <t>Bewusste Festlegung: die Ampel folgt der Deckblatt-Formel der VFA-Vorlage (Kein Risiko und Niedrig = Grün). Der Hinweis auf den Informationsverlust ist trotzdem berechtigt.</t>
        </is>
      </c>
      <c r="K53" s="6" t="inlineStr">
        <is>
          <t>„Niedrig" bleibt in der Ampel Grün (so ist die Vorlage gebaut), erscheint aber als eigene Anzeige mit dem Hinweis „Maßnahme bei nächster Gelegenheit" – die Stufe geht im Bericht nicht mehr verloren.</t>
        </is>
      </c>
      <c r="L53" s="5" t="inlineStr">
        <is>
          <t>mittel</t>
        </is>
      </c>
      <c r="M53" s="6" t="inlineStr">
        <is>
          <t>erledigt</t>
        </is>
      </c>
      <c r="N53" s="6" t="inlineStr">
        <is>
          <t>riedl_content.py (STUFE_ANZEIGE)</t>
        </is>
      </c>
    </row>
    <row r="54" ht="78" customHeight="1">
      <c r="A54" s="4" t="inlineStr">
        <is>
          <t>B53</t>
        </is>
      </c>
      <c r="B54" s="11" t="inlineStr">
        <is>
          <t>Niedrig</t>
        </is>
      </c>
      <c r="C54" s="6" t="inlineStr">
        <is>
          <t>GBU</t>
        </is>
      </c>
      <c r="D54" s="6" t="inlineStr">
        <is>
          <t>Formal / Text</t>
        </is>
      </c>
      <c r="E54" s="6" t="inlineStr">
        <is>
          <t>Freigabestand</t>
        </is>
      </c>
      <c r="F54" s="6" t="inlineStr">
        <is>
          <t>245 von 270 GBU-Regeln „Freigabe offen“; mehrere Hinweise „Freigabe bezog sich auf einen früheren Stand“. Cyber vollständig freigegeben.</t>
        </is>
      </c>
      <c r="G54" s="6" t="inlineStr">
        <is>
          <t>Katalog ist fachlich noch nicht freigegeben, obwohl 47 Klärungen entschieden sind.</t>
        </is>
      </c>
      <c r="H54" s="6" t="inlineStr">
        <is>
          <t>Freigabelauf über die Entscheidungen aus mf_content/entscheidungen.py automatisieren (entschieden ⇒ freigegeben), Rest gezielt gegenlesen.</t>
        </is>
      </c>
      <c r="I54" s="8" t="inlineStr">
        <is>
          <t>bestätigt</t>
        </is>
      </c>
      <c r="J54" s="6" t="inlineStr">
        <is>
          <t>Bestätigt, Stand nach dieser Runde: EN 81-20 mehrfragig 338 offen / 69 freigegeben, Riedl 249 / 24; der Cyber-Katalog ist vollständig freigegeben (188).</t>
        </is>
      </c>
      <c r="K54" s="6" t="inlineStr">
        <is>
          <t>Teilweise umgesetzt. Der Freigabelauf ist bereits automatisiert (Klärungen aus mf_content/entscheidungen.py plus GBU_MF_Regelpruefung.xlsx). Durch die inhaltlichen Änderungen stehen jetzt 354 von 415 MF-Regeln erneut an – davon 94 Auffangregeln und 120 inhaltlich geänderte. Die Prüfdatei ist mit diesem Stand neu erzeugt.</t>
        </is>
      </c>
      <c r="L54" s="5" t="inlineStr">
        <is>
          <t>mittel</t>
        </is>
      </c>
      <c r="M54" s="6" t="inlineStr">
        <is>
          <t>teilweise</t>
        </is>
      </c>
      <c r="N54" s="6" t="inlineStr">
        <is>
          <t>gen_mf_regelpruefung_xlsx.py → GBU_MF_Regelpruefung.xlsx</t>
        </is>
      </c>
    </row>
  </sheetData>
  <autoFilter ref="A1:N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72" customWidth="1" min="1" max="1"/>
    <col width="74" customWidth="1" min="2" max="2"/>
  </cols>
  <sheetData>
    <row r="1">
      <c r="A1" s="3" t="inlineStr">
        <is>
          <t>Prüfschritt</t>
        </is>
      </c>
      <c r="B1" s="3" t="inlineStr">
        <is>
          <t>Ergebnis</t>
        </is>
      </c>
    </row>
    <row r="2" ht="30" customHeight="1">
      <c r="A2" s="6" t="inlineStr">
        <is>
          <t>Referenzen in Regelbedingungen ([Nr.]) auf existierende Fragen</t>
        </is>
      </c>
      <c r="B2" s="6" t="inlineStr">
        <is>
          <t>281 GBU- und 116 Cyber-Regeln, 0 fehlende Fragen (Stand nach der Überarbeitung)</t>
        </is>
      </c>
    </row>
    <row r="3" ht="30" customHeight="1">
      <c r="A3" s="6" t="inlineStr">
        <is>
          <t>Zitierte Antwortoptionen in Regeln vs. Optionsliste der SELECT-Frage</t>
        </is>
      </c>
      <c r="B3" s="6" t="inlineStr">
        <is>
          <t>0 unbekannte Optionen</t>
        </is>
      </c>
    </row>
    <row r="4" ht="30" customHeight="1">
      <c r="A4" s="6" t="inlineStr">
        <is>
          <t>Regeln verwenden nur Fragen aus der Fragenliste der Gefährdung</t>
        </is>
      </c>
      <c r="B4" s="6" t="inlineStr">
        <is>
          <t>0 Abweichungen</t>
        </is>
      </c>
    </row>
    <row r="5" ht="30" customHeight="1">
      <c r="A5" s="6" t="inlineStr">
        <is>
          <t>Identische Regelbedingungen innerhalb einer Gefährdung</t>
        </is>
      </c>
      <c r="B5" s="6" t="inlineStr">
        <is>
          <t>keine</t>
        </is>
      </c>
    </row>
    <row r="6" ht="30" customHeight="1">
      <c r="A6" s="6" t="inlineStr">
        <is>
          <t>Kein-Risiko-Auffangregel je Gefährdung</t>
        </is>
      </c>
      <c r="B6" s="6" t="inlineStr">
        <is>
          <t>82/82 vorhanden (63 GBU + 19 Cyber)</t>
        </is>
      </c>
    </row>
    <row r="7" ht="30" customHeight="1">
      <c r="A7" s="6" t="inlineStr">
        <is>
          <t>Pflichtfrage sichtbar, wenn Pflichtbedingung erfüllt (kein dauerhaft „unvollständig“)</t>
        </is>
      </c>
      <c r="B7" s="6" t="inlineStr">
        <is>
          <t>alle 82 Gefährdungen konsistent; Anwendbarkeit ⊆ Sichtbarkeit</t>
        </is>
      </c>
    </row>
    <row r="8" ht="30" customHeight="1">
      <c r="A8" s="6" t="inlineStr">
        <is>
          <t>Regellücke bei leerem Fragebogen (fail-closed)</t>
        </is>
      </c>
      <c r="B8" s="6" t="inlineStr">
        <is>
          <t>keine – riedl_smoke.ts prüft beide Kataloge</t>
        </is>
      </c>
    </row>
    <row r="9" ht="30" customHeight="1">
      <c r="A9" s="6" t="inlineStr">
        <is>
          <t>Deckungsgleichheit Variante ↔ Quellkatalog auf Zufallsantworten</t>
        </is>
      </c>
      <c r="B9" s="6" t="inlineStr">
        <is>
          <t>300 Antwortsätze je Katalog, 0 Abweichungen</t>
        </is>
      </c>
    </row>
    <row r="10" ht="30" customHeight="1">
      <c r="A10" s="6" t="inlineStr">
        <is>
          <t>Begründete Annahmen und Nachweise im abgeleiteten Katalog</t>
        </is>
      </c>
      <c r="B10" s="6" t="inlineStr">
        <is>
          <t>Rücknahme- und Freischaltbedingungen werden erzwungen; fehlt eine Frage, bricht die Ableitung ab</t>
        </is>
      </c>
    </row>
    <row r="11" ht="30" customHeight="1">
      <c r="A11" s="6" t="inlineStr">
        <is>
          <t>Maßnahmen ohne Regelbezug</t>
        </is>
      </c>
      <c r="B11" s="6" t="inlineStr">
        <is>
          <t>0</t>
        </is>
      </c>
    </row>
    <row r="12" ht="30" customHeight="1">
      <c r="A12" s="6" t="inlineStr">
        <is>
          <t>Doppelte Frage-Codes</t>
        </is>
      </c>
      <c r="B12" s="6" t="inlineStr">
        <is>
          <t>nur qa_maschinenraum (GBU 4.7 / Cyber 1.4) – bewusst, siehe B23</t>
        </is>
      </c>
    </row>
    <row r="13" ht="30" customHeight="1">
      <c r="A13" s="6" t="inlineStr">
        <is>
          <t>Zahlen in „Lesehinweise“ vs. Blattinhalt</t>
        </is>
      </c>
      <c r="B13" s="6" t="inlineStr">
        <is>
          <t>205/63/281 (GBU) und 58/19/116 (Cyber) stimmen; der Freigabestand wird berechnet, nicht fest eingetragen</t>
        </is>
      </c>
    </row>
    <row r="14" ht="30" customHeight="1">
      <c r="A14" s="6" t="inlineStr">
        <is>
          <t>Jede Cyber-Frage genau einer Erhebungskarte zugeordnet</t>
        </is>
      </c>
      <c r="B14" s="6" t="inlineStr">
        <is>
          <t>83/83; der Generator bricht bei Lücke oder Doppelzuordnung ab</t>
        </is>
      </c>
    </row>
    <row r="15" ht="30" customHeight="1">
      <c r="A15" s="6" t="inlineStr">
        <is>
          <t>Kompensation über Priorität bei NONE-Gefährdungen</t>
        </is>
      </c>
      <c r="B15" s="6" t="inlineStr">
        <is>
          <t>schlüssig; die beiden Ausnahmen (CY-C12, F03-R5/G08-R3) sind behoben</t>
        </is>
      </c>
    </row>
    <row r="16" ht="30" customHeight="1">
      <c r="A16" s="6" t="inlineStr">
        <is>
          <t>Cyber-Komponentenmatrix C01–C06</t>
        </is>
      </c>
      <c r="B16" s="6" t="inlineStr">
        <is>
          <t>vollständig; 540 Kombinationen in cy_smoke.ts ohne Lücke</t>
        </is>
      </c>
    </row>
    <row r="17" ht="30" customHeight="1">
      <c r="A17" s="6" t="inlineStr">
        <is>
          <t>Smoke-Tests nach allen Änderungen</t>
        </is>
      </c>
      <c r="B17" s="6" t="inlineStr">
        <is>
          <t>mf_smoke.ts, cy_smoke.ts und riedl_smoke.ts laufen durch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2026-09-20T19:13:57Z</dcterms:created>
  <dcterms:modified xmlns:dcterms="http://purl.org/dc/terms/" xmlns:xsi="http://www.w3.org/2001/XMLSchema-instance" xsi:type="dcterms:W3CDTF">2026-09-20T19:13:57Z</dcterms:modified>
</cp:coreProperties>
</file>