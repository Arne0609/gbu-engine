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ehinweise" sheetId="1" state="visible" r:id="rId1"/>
    <sheet xmlns:r="http://schemas.openxmlformats.org/officeDocument/2006/relationships" name="Muster" sheetId="2" state="visible" r:id="rId2"/>
    <sheet xmlns:r="http://schemas.openxmlformats.org/officeDocument/2006/relationships" name="Regeln" sheetId="3" state="visible" r:id="rId3"/>
  </sheets>
  <definedNames>
    <definedName name="_xlnm._FilterDatabase" localSheetId="2" hidden="1">'Regeln'!$A$1:$P$99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3F5F8"/>
      </patternFill>
    </fill>
    <fill>
      <patternFill patternType="solid">
        <fgColor rgb="00FFF2CC"/>
      </patternFill>
    </fill>
    <fill>
      <patternFill patternType="solid">
        <fgColor rgb="00E8F0E8"/>
      </patternFill>
    </fill>
  </fills>
  <borders count="2">
    <border>
      <left/>
      <right/>
      <top/>
      <bottom/>
      <diagonal/>
    </border>
    <border>
      <left style="thin">
        <color rgb="00C9D1DB"/>
      </left>
      <right style="thin">
        <color rgb="00C9D1DB"/>
      </right>
      <top style="thin">
        <color rgb="00C9D1DB"/>
      </top>
      <bottom style="thin">
        <color rgb="00C9D1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Cyber-GBU komponentenbasiert (CY) – Regelprüfung zur Freigabe</t>
        </is>
      </c>
    </row>
    <row r="2">
      <c r="A2" s="2" t="inlineStr">
        <is>
          <t>Stand 03.09.2026 · Regelwerk cyber-mf-2026.2 · 188 Regeln gesamt, davon 90 VERIFIED (über entschiedene Klärungen K-C01…K-C25) und 98 REVIEW_REQUIRED (diese Liste).</t>
        </is>
      </c>
    </row>
    <row r="3">
      <c r="A3" s="2" t="inlineStr"/>
    </row>
    <row r="4">
      <c r="A4" s="2" t="inlineStr">
        <is>
          <t>Was hier vorliegt: Regeln, an denen KEIN Klärungspunkt hing – also die Eigenregeln, deren Ableitung beim Entwurf als unstrittig galt (Evidenz „hohe Sicherheit" = direkt aus TRBS 1115-1 / B-002 / BA-017 ableitbar; „abgeleitet" = Stufe nach Nohl-Logik der anderen GBU-Typen gesetzt). Sie sind fachlich noch nicht freigegeben und laufen deshalb mit quality_status REVIEW_REQUIRED.</t>
        </is>
      </c>
    </row>
    <row r="5">
      <c r="A5" s="2" t="inlineStr"/>
    </row>
    <row r="6">
      <c r="A6" s="2" t="inlineStr">
        <is>
          <t>Blatt „Muster": 60 der 98 Regeln sind die 6 Komponenten-Muster der Fabrik komponente() für lokale Schnittstellen (kabelgebunden / Benutzerschnittstelle) bzw. die Auffangregel „Kein Risiko" – je Muster einmal für alle 10 Komponenten CY-C01…C10 entscheiden. Eine Entscheidung im Blatt „Muster" gilt für alle zugehörigen Regeln; im Blatt „Regeln" muss dann nichts mehr eingetragen werden (Abweichungen für einzelne Komponenten dort in „Korrektur" notieren).</t>
        </is>
      </c>
    </row>
    <row r="7">
      <c r="A7" s="2" t="inlineStr">
        <is>
          <t>Blatt „Regeln": alle 98 Regeln einzeln (Filter über Spalte „Muster": leer = Einzelregel). Die 38 Einzelregeln (Zugang, Netz, Kanäle CY-C11…C14, Organisation) bitte je Zeile entscheiden.</t>
        </is>
      </c>
    </row>
    <row r="8">
      <c r="A8" s="2" t="inlineStr"/>
    </row>
    <row r="9">
      <c r="A9" s="2" t="inlineStr">
        <is>
          <t>Entscheidung (gelbe Spalte, Auswahl): „Freigeben" = Regel stimmt, wird VERIFIED · „Ändern" = Stufe/Bedingung/Maßnahme anpassen, Festlegung in „Korrektur" · „Streichen" = Regel entfällt (Achtung: nur sinnvoll, wenn eine andere Regel den Fall abdeckt – die Engine bleibt fail-closed, sonst ergibt der Fall „Unvollständig/Regellücke").</t>
        </is>
      </c>
    </row>
    <row r="10">
      <c r="A10" s="2" t="inlineStr"/>
    </row>
    <row r="11">
      <c r="A11" s="2" t="inlineStr">
        <is>
          <t>Lesehilfe Bedingung: Fragen mit Nr. und Text; „in [A, B]" = Antwort ist eine der genannten; „Zugang frei" = eine der drei Zugangsfragen (Steuerung / Triebwerksraum / Schacht frei zugänglich) mit Ja. Prio: höhere Zahl gewinnt (spezifischere Regel zuerst); Prio 1 ist die Auffangregel „Kein Risiko", die nur greift, wenn keine Mangelregel zutrifft und alle Pflichtfragen beantwortet sind.</t>
        </is>
      </c>
    </row>
    <row r="12">
      <c r="A12" s="2" t="inlineStr">
        <is>
          <t>Stufenlogik Komponente (zur Einordnung): Fernzugriff/kabellos ohne Maßnahmen = Hoch (K-C06, VERIFIED) · lokal ohne Maßnahmen = Mittel · teilweise = Niedrig, mit freiem Zugang Mittel · umgesetzt = Kein Risiko, mit freiem Zugang Niedrig · unabhängige Sicherheitseinrichtung deckelt auf Mittel/Niedrig (K-C07…K-C09, VERIFIED).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6" customWidth="1" min="4" max="4"/>
    <col width="70" customWidth="1" min="5" max="5"/>
    <col width="12" customWidth="1" min="6" max="6"/>
    <col width="14" customWidth="1" min="7" max="7"/>
    <col width="40" customWidth="1" min="8" max="8"/>
    <col width="40" customWidth="1" min="9" max="9"/>
    <col width="44" customWidth="1" min="10" max="10"/>
    <col width="14" customWidth="1" min="11" max="11"/>
    <col width="40" customWidth="1" min="12" max="12"/>
  </cols>
  <sheetData>
    <row r="1" ht="30" customHeight="1">
      <c r="A1" s="3" t="inlineStr">
        <is>
          <t>Muster</t>
        </is>
      </c>
      <c r="B1" s="3" t="inlineStr">
        <is>
          <t>Regeln</t>
        </is>
      </c>
      <c r="C1" s="3" t="inlineStr">
        <is>
          <t>Komponenten</t>
        </is>
      </c>
      <c r="D1" s="3" t="inlineStr">
        <is>
          <t>Prio</t>
        </is>
      </c>
      <c r="E1" s="3" t="inlineStr">
        <is>
          <t>Bedingung (X = Komponente)</t>
        </is>
      </c>
      <c r="F1" s="3" t="inlineStr">
        <is>
          <t>Stufe</t>
        </is>
      </c>
      <c r="G1" s="3" t="inlineStr">
        <is>
          <t>Evidenz</t>
        </is>
      </c>
      <c r="H1" s="3" t="inlineStr">
        <is>
          <t>Sofortmaßnahme</t>
        </is>
      </c>
      <c r="I1" s="3" t="inlineStr">
        <is>
          <t>Mittelfristige Maßnahme</t>
        </is>
      </c>
      <c r="J1" s="3" t="inlineStr">
        <is>
          <t>Begründung im Entwurf</t>
        </is>
      </c>
      <c r="K1" s="3" t="inlineStr">
        <is>
          <t>Entscheidung</t>
        </is>
      </c>
      <c r="L1" s="3" t="inlineStr">
        <is>
          <t>Korrektur</t>
        </is>
      </c>
    </row>
    <row r="2">
      <c r="A2" s="4" t="inlineStr">
        <is>
          <t>M1</t>
        </is>
      </c>
      <c r="B2" s="4" t="n">
        <v>10</v>
      </c>
      <c r="C2" s="4" t="inlineStr">
        <is>
          <t>CY-C01, CY-C02, CY-C03, CY-C04, CY-C05, CY-C06, CY-C07, CY-C08, CY-C09, CY-C10</t>
        </is>
      </c>
      <c r="D2" s="4" t="n">
        <v>300</v>
      </c>
      <c r="E2" s="4" t="inlineStr">
        <is>
          <t>(3.X.2 Höchste vorhandene Schnittstellenkategorie der Komponente „X" in [„Kabelgebunden, nur vor Ort (USB, RS232/485, CAN, Ethernet, Serviceanschluss, Speicherkarte)", „Benutzerschnittstelle (Bedienfeld, Eingabeterminal, Display mit Parametrierzugang)"] UND 3.X.3 Schutzmaßnahmen nach TRBS 1115-1 für „X" = „Keine Schutzmaßnahmen festgelegt")</t>
        </is>
      </c>
      <c r="F2" s="4" t="inlineStr">
        <is>
          <t>Mittel</t>
        </is>
      </c>
      <c r="G2" s="4" t="inlineStr">
        <is>
          <t>abgeleitet</t>
        </is>
      </c>
      <c r="H2" s="4" t="inlineStr">
        <is>
          <t>Serviceschnittstellen der Komponente gegen unbefugte Nutzung sichern</t>
        </is>
      </c>
      <c r="I2" s="4" t="inlineStr">
        <is>
          <t>Zugang zu Schnittstellen vor Unbefugten schützen; nicht benötigte Schnittstellen deaktivieren; Parameteränderungen dokumentieren.</t>
        </is>
      </c>
      <c r="J2" s="4" t="inlineStr">
        <is>
          <t>Lokale Schnittstelle ohne Maßnahmen: Angriff setzt physische Nähe voraus, daher eine Stufe unter Fernzugriff (Hoch). TRBS 1115-1 4.5.2 verlangt Maßnahmen für jede erreichbare Schnittstelle.</t>
        </is>
      </c>
      <c r="K2" s="5" t="n"/>
      <c r="L2" s="5" t="n"/>
    </row>
    <row r="3">
      <c r="A3" s="6" t="inlineStr">
        <is>
          <t>M2</t>
        </is>
      </c>
      <c r="B3" s="6" t="n">
        <v>10</v>
      </c>
      <c r="C3" s="6" t="inlineStr">
        <is>
          <t>CY-C01, CY-C02, CY-C03, CY-C04, CY-C05, CY-C06, CY-C07, CY-C08, CY-C09, CY-C10</t>
        </is>
      </c>
      <c r="D3" s="6" t="n">
        <v>290</v>
      </c>
      <c r="E3" s="6" t="inlineStr">
        <is>
          <t>((3.X.2 Höchste vorhandene Schnittstellenkategorie der Komponente „X" in [„Kabelgebunden, nur vor Ort (USB, RS232/485, CAN, Ethernet, Serviceanschluss, Speicherkarte)", „Benutzerschnittstelle (Bedienfeld, Eingabeterminal, Display mit Parametrierzugang)"] UND 3.X.3 Schutzmaßnahmen nach TRBS 1115-1 für „X" = „Festgelegt, aber nicht vollständig umgesetzt oder ohne Wirksamkeitsnachweis") UND (2.1 Ist die X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F3" s="6" t="inlineStr">
        <is>
          <t>Mittel</t>
        </is>
      </c>
      <c r="G3" s="6" t="inlineStr">
        <is>
          <t>abgeleitet</t>
        </is>
      </c>
      <c r="H3" s="6" t="inlineStr">
        <is>
          <t>Zugang beschränken; offene Maßnahmen priorisiert umsetzen</t>
        </is>
      </c>
      <c r="I3" s="6" t="inlineStr">
        <is>
          <t>Festgelegte Maßnahmen vollständig umsetzen und Wirksamkeit nachweisen</t>
        </is>
      </c>
      <c r="J3" s="6" t="inlineStr">
        <is>
          <t>Maßnahmen nur teilweise UND Zugang frei: die Schnittstelle ist ohne Hürde erreichbar, Restlücke wird wie „keine Maßnahmen" behandelt.</t>
        </is>
      </c>
      <c r="K3" s="5" t="n"/>
      <c r="L3" s="5" t="n"/>
    </row>
    <row r="4">
      <c r="A4" s="4" t="inlineStr">
        <is>
          <t>M3</t>
        </is>
      </c>
      <c r="B4" s="4" t="n">
        <v>10</v>
      </c>
      <c r="C4" s="4" t="inlineStr">
        <is>
          <t>CY-C01, CY-C02, CY-C03, CY-C04, CY-C05, CY-C06, CY-C07, CY-C08, CY-C09, CY-C10</t>
        </is>
      </c>
      <c r="D4" s="4" t="n">
        <v>280</v>
      </c>
      <c r="E4" s="4" t="inlineStr">
        <is>
          <t>(3.X.2 Höchste vorhandene Schnittstellenkategorie der Komponente „X" in [„Kabelgebunden, nur vor Ort (USB, RS232/485, CAN, Ethernet, Serviceanschluss, Speicherkarte)", „Benutzerschnittstelle (Bedienfeld, Eingabeterminal, Display mit Parametrierzugang)"] UND 3.X.3 Schutzmaßnahmen nach TRBS 1115-1 für „X" = „Festgelegt, aber nicht vollständig umgesetzt oder ohne Wirksamkeitsnachweis")</t>
        </is>
      </c>
      <c r="F4" s="4" t="inlineStr">
        <is>
          <t>Niedrig</t>
        </is>
      </c>
      <c r="G4" s="4" t="inlineStr">
        <is>
          <t>abgeleitet</t>
        </is>
      </c>
      <c r="H4" s="4" t="inlineStr">
        <is>
          <t>Offene Maßnahmen terminieren und Verantwortliche benennen</t>
        </is>
      </c>
      <c r="I4" s="4" t="inlineStr">
        <is>
          <t>Festgelegte Maßnahmen vollständig umsetzen und Wirksamkeit nachweisen</t>
        </is>
      </c>
      <c r="J4" s="4" t="inlineStr">
        <is>
          <t>Maßnahmen teilweise, Zugang gesichert: Restrisiko, Nachbesserung terminieren.</t>
        </is>
      </c>
      <c r="K4" s="5" t="n"/>
      <c r="L4" s="5" t="n"/>
    </row>
    <row r="5">
      <c r="A5" s="6" t="inlineStr">
        <is>
          <t>M4</t>
        </is>
      </c>
      <c r="B5" s="6" t="n">
        <v>10</v>
      </c>
      <c r="C5" s="6" t="inlineStr">
        <is>
          <t>CY-C01, CY-C02, CY-C03, CY-C04, CY-C05, CY-C06, CY-C07, CY-C08, CY-C09, CY-C10</t>
        </is>
      </c>
      <c r="D5" s="6" t="n">
        <v>260</v>
      </c>
      <c r="E5" s="6" t="inlineStr">
        <is>
          <t>((3.X.2 Höchste vorhandene Schnittstellenkategorie der Komponente „X" in [„Kabelgebunden, nur vor Ort (USB, RS232/485, CAN, Ethernet, Serviceanschluss, Speicherkarte)", „Benutzerschnittstelle (Bedienfeld, Eingabeterminal, Display mit Parametrierzugang)"] UND 3.X.3 Schutzmaßnahmen nach TRBS 1115-1 für „X" = „Festgelegt, umgesetzt und Wirksamkeit nachgewiesen (TRBS 1115-1 Abschn. 5)") UND (2.1 Ist die X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F5" s="6" t="inlineStr">
        <is>
          <t>Niedrig</t>
        </is>
      </c>
      <c r="G5" s="6" t="inlineStr">
        <is>
          <t>abgeleitet</t>
        </is>
      </c>
      <c r="H5" s="6" t="inlineStr">
        <is>
          <t>Physischen Zugang zur Steuerung bzw. zum Raum beschränken (siehe Gefährdungen Zugang)</t>
        </is>
      </c>
      <c r="I5" s="6" t="inlineStr">
        <is>
          <t>Zugangskontrolle (Hardware) dauerhaft herstellen</t>
        </is>
      </c>
      <c r="J5" s="6" t="inlineStr">
        <is>
          <t>Maßnahmen umgesetzt, aber Zugang frei: die organisatorisch-technischen Maßnahmen stehen, die physische Zugangskontrolle fehlt (siehe Gefährdungen Zugang).</t>
        </is>
      </c>
      <c r="K5" s="5" t="n"/>
      <c r="L5" s="5" t="n"/>
    </row>
    <row r="6">
      <c r="A6" s="4" t="inlineStr">
        <is>
          <t>M5</t>
        </is>
      </c>
      <c r="B6" s="4" t="n">
        <v>10</v>
      </c>
      <c r="C6" s="4" t="inlineStr">
        <is>
          <t>CY-C01, CY-C02, CY-C03, CY-C04, CY-C05, CY-C06, CY-C07, CY-C08, CY-C09, CY-C10</t>
        </is>
      </c>
      <c r="D6" s="4" t="n">
        <v>250</v>
      </c>
      <c r="E6" s="4" t="inlineStr">
        <is>
          <t>(3.X.2 Höchste vorhandene Schnittstellenkategorie der Komponente „X" in [„Kabelgebunden, nur vor Ort (USB, RS232/485, CAN, Ethernet, Serviceanschluss, Speicherkarte)", „Benutzerschnittstelle (Bedienfeld, Eingabeterminal, Display mit Parametrierzugang)"] UND 3.X.3 Schutzmaßnahmen nach TRBS 1115-1 für „X" = „Festgelegt, umgesetzt und Wirksamkeit nachgewiesen (TRBS 1115-1 Abschn. 5)")</t>
        </is>
      </c>
      <c r="F6" s="4" t="inlineStr">
        <is>
          <t>Kein Risiko</t>
        </is>
      </c>
      <c r="G6" s="4" t="inlineStr">
        <is>
          <t>hohe Sicherheit</t>
        </is>
      </c>
      <c r="H6" s="4" t="inlineStr">
        <is>
          <t>Zustand erhalten; Maßnahmen bei der wiederkehrenden Prüfung erneut nachweisen</t>
        </is>
      </c>
      <c r="I6" s="4" t="inlineStr"/>
      <c r="J6" s="4" t="inlineStr">
        <is>
          <t>Maßnahmen umgesetzt, Zugang gesichert: Sollzustand nach TRBS 1115-1.</t>
        </is>
      </c>
      <c r="K6" s="5" t="n"/>
      <c r="L6" s="5" t="n"/>
    </row>
    <row r="7">
      <c r="A7" s="6" t="inlineStr">
        <is>
          <t>M6</t>
        </is>
      </c>
      <c r="B7" s="6" t="n">
        <v>10</v>
      </c>
      <c r="C7" s="6" t="inlineStr">
        <is>
          <t>CY-C01, CY-C02, CY-C03, CY-C04, CY-C05, CY-C06, CY-C07, CY-C08, CY-C09, CY-C10</t>
        </is>
      </c>
      <c r="D7" s="6" t="n">
        <v>1</v>
      </c>
      <c r="E7" s="6" t="inlineStr">
        <is>
          <t>3.X.2 Höchste vorhandene Schnittstellenkategorie der Komponente „X" beantwortet</t>
        </is>
      </c>
      <c r="F7" s="6" t="inlineStr">
        <is>
          <t>Kein Risiko</t>
        </is>
      </c>
      <c r="G7" s="6" t="inlineStr">
        <is>
          <t>hohe Sicherheit</t>
        </is>
      </c>
      <c r="H7" s="6" t="inlineStr">
        <is>
          <t>Zustand erhalten; bei der wiederkehrenden Prüfung und der Betreiberkontrolle erneut prüfen</t>
        </is>
      </c>
      <c r="I7" s="6" t="inlineStr"/>
      <c r="J7" s="6" t="inlineStr">
        <is>
          <t>Auffangregel: keine Mangelregel trifft zu, Pflichtfragen beantwortet.</t>
        </is>
      </c>
      <c r="K7" s="5" t="n"/>
      <c r="L7" s="5" t="n"/>
    </row>
  </sheetData>
  <dataValidations count="1">
    <dataValidation sqref="K2:K7" showDropDown="0" showInputMessage="0" showErrorMessage="0" allowBlank="1" type="list">
      <formula1>"Freigeben,Ändern,Streichen"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6" customWidth="1" min="3" max="3"/>
    <col width="22" customWidth="1" min="4" max="4"/>
    <col width="13" customWidth="1" min="5" max="5"/>
    <col width="6" customWidth="1" min="6" max="6"/>
    <col width="70" customWidth="1" min="7" max="7"/>
    <col width="12" customWidth="1" min="8" max="8"/>
    <col width="14" customWidth="1" min="9" max="9"/>
    <col width="8" customWidth="1" min="10" max="10"/>
    <col width="40" customWidth="1" min="11" max="11"/>
    <col width="40" customWidth="1" min="12" max="12"/>
    <col width="34" customWidth="1" min="13" max="13"/>
    <col width="40" customWidth="1" min="14" max="14"/>
    <col width="14" customWidth="1" min="15" max="15"/>
    <col width="40" customWidth="1" min="16" max="16"/>
  </cols>
  <sheetData>
    <row r="1" ht="30" customHeight="1">
      <c r="A1" s="3" t="inlineStr">
        <is>
          <t>Nr.</t>
        </is>
      </c>
      <c r="B1" s="3" t="inlineStr">
        <is>
          <t>Gefährdung</t>
        </is>
      </c>
      <c r="C1" s="3" t="inlineStr">
        <is>
          <t>Titel</t>
        </is>
      </c>
      <c r="D1" s="3" t="inlineStr">
        <is>
          <t>Erhebungsbereich</t>
        </is>
      </c>
      <c r="E1" s="3" t="inlineStr">
        <is>
          <t>Regel</t>
        </is>
      </c>
      <c r="F1" s="3" t="inlineStr">
        <is>
          <t>Prio</t>
        </is>
      </c>
      <c r="G1" s="3" t="inlineStr">
        <is>
          <t>Bedingung</t>
        </is>
      </c>
      <c r="H1" s="3" t="inlineStr">
        <is>
          <t>Stufe</t>
        </is>
      </c>
      <c r="I1" s="3" t="inlineStr">
        <is>
          <t>Evidenz</t>
        </is>
      </c>
      <c r="J1" s="3" t="inlineStr">
        <is>
          <t>Muster</t>
        </is>
      </c>
      <c r="K1" s="3" t="inlineStr">
        <is>
          <t>Sofortmaßnahme</t>
        </is>
      </c>
      <c r="L1" s="3" t="inlineStr">
        <is>
          <t>Mittelfristige Maßnahme</t>
        </is>
      </c>
      <c r="M1" s="3" t="inlineStr">
        <is>
          <t>Hinweis im Entwurf</t>
        </is>
      </c>
      <c r="N1" s="3" t="inlineStr">
        <is>
          <t>Norm-/Quellenbezug der Gefährdung</t>
        </is>
      </c>
      <c r="O1" s="3" t="inlineStr">
        <is>
          <t>Entscheidung</t>
        </is>
      </c>
      <c r="P1" s="3" t="inlineStr">
        <is>
          <t>Korrektur</t>
        </is>
      </c>
    </row>
    <row r="2">
      <c r="A2" s="4" t="n">
        <v>1</v>
      </c>
      <c r="B2" s="4" t="inlineStr">
        <is>
          <t>CY-Z01</t>
        </is>
      </c>
      <c r="C2" s="4" t="inlineStr">
        <is>
          <t>Unbefugter physischer Zugang zur Aufzugssteuerung</t>
        </is>
      </c>
      <c r="D2" s="4" t="inlineStr">
        <is>
          <t>Z – Zugang und Zugriff</t>
        </is>
      </c>
      <c r="E2" s="4" t="inlineStr">
        <is>
          <t>CY-Z01-R3</t>
        </is>
      </c>
      <c r="F2" s="4" t="n">
        <v>200</v>
      </c>
      <c r="G2" s="4" t="inlineStr">
        <is>
          <t>2.4 Sind die Service- und Programmierschnittstellen (Serviceanschluss, USB, Speicherkarte, Diagnosestecker) gegen unbefugte Nutzung gesichert (verschlossene Abdeckung, Freigabe nur mit Schlüssel/Code)? = Nein</t>
        </is>
      </c>
      <c r="H2" s="4" t="inlineStr">
        <is>
          <t>Niedrig</t>
        </is>
      </c>
      <c r="I2" s="4" t="inlineStr">
        <is>
          <t>abgeleitet</t>
        </is>
      </c>
      <c r="J2" s="4" t="inlineStr"/>
      <c r="K2" s="4" t="inlineStr">
        <is>
          <t>Serviceschnittstellen abdecken/verschließen oder Freigabe nur mit Schlüssel/Code</t>
        </is>
      </c>
      <c r="L2" s="4" t="inlineStr">
        <is>
          <t>Zugangskontrolle (Hardware) für Service- und Programmierzugänge dauerhaft festlegen</t>
        </is>
      </c>
      <c r="M2" s="4" t="inlineStr"/>
      <c r="N2" s="4" t="inlineStr">
        <is>
          <t>TRBS 1115 Teil 1 4.5.2 Zugangskontrolle; EK-ZÜS BA-017; BetrSichV § 3 Abs. 1</t>
        </is>
      </c>
      <c r="O2" s="5" t="n"/>
      <c r="P2" s="5" t="n"/>
    </row>
    <row r="3">
      <c r="A3" s="6" t="n">
        <v>2</v>
      </c>
      <c r="B3" s="6" t="inlineStr">
        <is>
          <t>CY-Z01</t>
        </is>
      </c>
      <c r="C3" s="6" t="inlineStr">
        <is>
          <t>Unbefugter physischer Zugang zur Aufzugssteuerung</t>
        </is>
      </c>
      <c r="D3" s="6" t="inlineStr">
        <is>
          <t>Z – Zugang und Zugriff</t>
        </is>
      </c>
      <c r="E3" s="6" t="inlineStr">
        <is>
          <t>CY-Z01-R4</t>
        </is>
      </c>
      <c r="F3" s="6" t="n">
        <v>1</v>
      </c>
      <c r="G3" s="6" t="inlineStr">
        <is>
          <t>2.1 Ist die Aufzugssteuerung (Steuerschrank, Bedien-/Serviceeinheit) für Unbefugte frei zugänglich? beantwortet</t>
        </is>
      </c>
      <c r="H3" s="6" t="inlineStr">
        <is>
          <t>Kein Risiko</t>
        </is>
      </c>
      <c r="I3" s="6" t="inlineStr">
        <is>
          <t>hohe Sicherheit</t>
        </is>
      </c>
      <c r="J3" s="6" t="inlineStr"/>
      <c r="K3" s="6" t="inlineStr">
        <is>
          <t>Zustand erhalten; bei der wiederkehrenden Prüfung und der Betreiberkontrolle erneut prüfen</t>
        </is>
      </c>
      <c r="L3" s="6" t="inlineStr"/>
      <c r="M3" s="6" t="inlineStr">
        <is>
          <t>Kein Risiko: keine Mangelregel trifft zu, alle Pflichtfragen beantwortet.</t>
        </is>
      </c>
      <c r="N3" s="6" t="inlineStr">
        <is>
          <t>TRBS 1115 Teil 1 4.5.2 Zugangskontrolle; EK-ZÜS BA-017; BetrSichV § 3 Abs. 1</t>
        </is>
      </c>
      <c r="O3" s="5" t="n"/>
      <c r="P3" s="5" t="n"/>
    </row>
    <row r="4">
      <c r="A4" s="4" t="n">
        <v>3</v>
      </c>
      <c r="B4" s="4" t="inlineStr">
        <is>
          <t>CY-Z04</t>
        </is>
      </c>
      <c r="C4" s="4" t="inlineStr">
        <is>
          <t>Unzureichende logische Zugangskontrolle (Werkszugangsdaten, fehlende Rollen)</t>
        </is>
      </c>
      <c r="D4" s="4" t="inlineStr">
        <is>
          <t>Z – Zugang und Zugriff</t>
        </is>
      </c>
      <c r="E4" s="4" t="inlineStr">
        <is>
          <t>CY-Z04-R3</t>
        </is>
      </c>
      <c r="F4" s="4" t="n">
        <v>200</v>
      </c>
      <c r="G4" s="4" t="inlineStr">
        <is>
          <t>2.6 Sind Zugriffsrechte rollenbasiert vergeben (Betreiber, Wartungsfirma, Hersteller) und werden sie bei Personal- oder Firmenwechsel entzogen? = Nein</t>
        </is>
      </c>
      <c r="H4" s="4" t="inlineStr">
        <is>
          <t>Niedrig</t>
        </is>
      </c>
      <c r="I4" s="4" t="inlineStr">
        <is>
          <t>abgeleitet</t>
        </is>
      </c>
      <c r="J4" s="4" t="inlineStr"/>
      <c r="K4" s="4" t="inlineStr">
        <is>
          <t>Zugriffsrechte prüfen und nicht mehr benötigte Zugänge entziehen</t>
        </is>
      </c>
      <c r="L4" s="4" t="inlineStr">
        <is>
          <t>Rollenkonzept (Betreiber, Wartung, Hersteller) mit Entzug bei Wechsel festlegen</t>
        </is>
      </c>
      <c r="M4" s="4" t="inlineStr"/>
      <c r="N4" s="4" t="inlineStr">
        <is>
          <t>TRBS 1115 Teil 1 4.5.2 Zugangskontrolle (Software); DEKRA Ausfüllhilfe Cybersicherheit 09/2024 Schritt 3</t>
        </is>
      </c>
      <c r="O4" s="5" t="n"/>
      <c r="P4" s="5" t="n"/>
    </row>
    <row r="5">
      <c r="A5" s="6" t="n">
        <v>4</v>
      </c>
      <c r="B5" s="6" t="inlineStr">
        <is>
          <t>CY-Z04</t>
        </is>
      </c>
      <c r="C5" s="6" t="inlineStr">
        <is>
          <t>Unzureichende logische Zugangskontrolle (Werkszugangsdaten, fehlende Rollen)</t>
        </is>
      </c>
      <c r="D5" s="6" t="inlineStr">
        <is>
          <t>Z – Zugang und Zugriff</t>
        </is>
      </c>
      <c r="E5" s="6" t="inlineStr">
        <is>
          <t>CY-Z04-R4</t>
        </is>
      </c>
      <c r="F5" s="6" t="n">
        <v>1</v>
      </c>
      <c r="G5" s="6" t="inlineStr">
        <is>
          <t>2.5 Werden Standard-/Werkszugangsdaten (Passwörter, PINs, Servicecodes) verwendet oder sind die Zugangsdaten nicht bekannt? beantwortet</t>
        </is>
      </c>
      <c r="H5" s="6" t="inlineStr">
        <is>
          <t>Kein Risiko</t>
        </is>
      </c>
      <c r="I5" s="6" t="inlineStr">
        <is>
          <t>hohe Sicherheit</t>
        </is>
      </c>
      <c r="J5" s="6" t="inlineStr"/>
      <c r="K5" s="6" t="inlineStr">
        <is>
          <t>Zustand erhalten; bei der wiederkehrenden Prüfung und der Betreiberkontrolle erneut prüfen</t>
        </is>
      </c>
      <c r="L5" s="6" t="inlineStr"/>
      <c r="M5" s="6" t="inlineStr">
        <is>
          <t>Kein Risiko: keine Mangelregel trifft zu, alle Pflichtfragen beantwortet.</t>
        </is>
      </c>
      <c r="N5" s="6" t="inlineStr">
        <is>
          <t>TRBS 1115 Teil 1 4.5.2 Zugangskontrolle (Software); DEKRA Ausfüllhilfe Cybersicherheit 09/2024 Schritt 3</t>
        </is>
      </c>
      <c r="O5" s="5" t="n"/>
      <c r="P5" s="5" t="n"/>
    </row>
    <row r="6">
      <c r="A6" s="4" t="n">
        <v>5</v>
      </c>
      <c r="B6" s="4" t="inlineStr">
        <is>
          <t>CY-Z05</t>
        </is>
      </c>
      <c r="C6" s="4" t="inlineStr">
        <is>
          <t>Ungeregelte Servicegeräte und Wechseldatenträger</t>
        </is>
      </c>
      <c r="D6" s="4" t="inlineStr">
        <is>
          <t>Z – Zugang und Zugriff</t>
        </is>
      </c>
      <c r="E6" s="4" t="inlineStr">
        <is>
          <t>CY-Z05-R1</t>
        </is>
      </c>
      <c r="F6" s="4" t="n">
        <v>250</v>
      </c>
      <c r="G6" s="4" t="inlineStr">
        <is>
          <t>2.7 Ist geregelt, welche Servicegeräte, Laptops und Wechseldatenträger an die Anlage angeschlossen werden dürfen (nur freigegebene, geprüfte Geräte; kein privater Datenträger)? = Nein</t>
        </is>
      </c>
      <c r="H6" s="4" t="inlineStr">
        <is>
          <t>Mittel</t>
        </is>
      </c>
      <c r="I6" s="4" t="inlineStr">
        <is>
          <t>abgeleitet</t>
        </is>
      </c>
      <c r="J6" s="4" t="inlineStr"/>
      <c r="K6" s="4" t="inlineStr">
        <is>
          <t>Anschluss privater oder ungeprüfter Geräte und Datenträger untersagen</t>
        </is>
      </c>
      <c r="L6" s="4" t="inlineStr">
        <is>
          <t>Freigabeliste für Servicegeräte und Datenträger mit der Wartungsfirma vereinbaren (Härtung nach TRBS 1115-1)</t>
        </is>
      </c>
      <c r="M6" s="4" t="inlineStr"/>
      <c r="N6" s="4" t="inlineStr">
        <is>
          <t>TRBS 1115 Teil 1 4.5.2 Härtung; EK-ZÜS BA-017</t>
        </is>
      </c>
      <c r="O6" s="5" t="n"/>
      <c r="P6" s="5" t="n"/>
    </row>
    <row r="7">
      <c r="A7" s="6" t="n">
        <v>6</v>
      </c>
      <c r="B7" s="6" t="inlineStr">
        <is>
          <t>CY-Z05</t>
        </is>
      </c>
      <c r="C7" s="6" t="inlineStr">
        <is>
          <t>Ungeregelte Servicegeräte und Wechseldatenträger</t>
        </is>
      </c>
      <c r="D7" s="6" t="inlineStr">
        <is>
          <t>Z – Zugang und Zugriff</t>
        </is>
      </c>
      <c r="E7" s="6" t="inlineStr">
        <is>
          <t>CY-Z05-R2</t>
        </is>
      </c>
      <c r="F7" s="6" t="n">
        <v>1</v>
      </c>
      <c r="G7" s="6" t="inlineStr">
        <is>
          <t>2.7 Ist geregelt, welche Servicegeräte, Laptops und Wechseldatenträger an die Anlage angeschlossen werden dürfen (nur freigegebene, geprüfte Geräte; kein privater Datenträger)? beantwortet</t>
        </is>
      </c>
      <c r="H7" s="6" t="inlineStr">
        <is>
          <t>Kein Risiko</t>
        </is>
      </c>
      <c r="I7" s="6" t="inlineStr">
        <is>
          <t>hohe Sicherheit</t>
        </is>
      </c>
      <c r="J7" s="6" t="inlineStr"/>
      <c r="K7" s="6" t="inlineStr">
        <is>
          <t>Zustand erhalten; bei der wiederkehrenden Prüfung und der Betreiberkontrolle erneut prüfen</t>
        </is>
      </c>
      <c r="L7" s="6" t="inlineStr"/>
      <c r="M7" s="6" t="inlineStr">
        <is>
          <t>Kein Risiko: keine Mangelregel trifft zu, alle Pflichtfragen beantwortet.</t>
        </is>
      </c>
      <c r="N7" s="6" t="inlineStr">
        <is>
          <t>TRBS 1115 Teil 1 4.5.2 Härtung; EK-ZÜS BA-017</t>
        </is>
      </c>
      <c r="O7" s="5" t="n"/>
      <c r="P7" s="5" t="n"/>
    </row>
    <row r="8">
      <c r="A8" s="4" t="n">
        <v>7</v>
      </c>
      <c r="B8" s="4" t="inlineStr">
        <is>
          <t>CY-N01</t>
        </is>
      </c>
      <c r="C8" s="4" t="inlineStr">
        <is>
          <t>Unbekannte oder ungepatchte Schwachstellen (Softwarestand)</t>
        </is>
      </c>
      <c r="D8" s="4" t="inlineStr">
        <is>
          <t>N – Netz, Fernzugriff und Härtung</t>
        </is>
      </c>
      <c r="E8" s="4" t="inlineStr">
        <is>
          <t>CY-N01-R1</t>
        </is>
      </c>
      <c r="F8" s="4" t="n">
        <v>300</v>
      </c>
      <c r="G8" s="4" t="inlineStr">
        <is>
          <t>(4.5 Software-/Firmwarestand und bekannte Schwachstellen = „Stand bekannt, aber kein Verfahren für Updates/Schwachstellenhinweise" UND 1.5 Anlage mit Netzwerk- oder Internetanbindung (Fernüberwachung, Fernwartung, Gateway/Router/Modem, Gebäudeleittechnik)? = Ja)</t>
        </is>
      </c>
      <c r="H8" s="4" t="inlineStr">
        <is>
          <t>Hoch</t>
        </is>
      </c>
      <c r="I8" s="4" t="inlineStr">
        <is>
          <t>abgeleitet</t>
        </is>
      </c>
      <c r="J8" s="4" t="inlineStr"/>
      <c r="K8" s="4" t="inlineStr">
        <is>
          <t>Bekannte Schwachstellen mit dem Hersteller abklären; Fernzugänge bis zur Klärung deaktivieren</t>
        </is>
      </c>
      <c r="L8" s="4" t="inlineStr">
        <is>
          <t>Update- und Schwachstellenverfahren mit Hersteller und Wartungsfirma vertraglich festlegen</t>
        </is>
      </c>
      <c r="M8" s="4" t="inlineStr"/>
      <c r="N8" s="4" t="inlineStr">
        <is>
          <t>TRBS 1115 Teil 1 3.3 Stand der Technik; EK-ZÜS B-002 rev. 5 Anhang 2 Nr. 5, 10</t>
        </is>
      </c>
      <c r="O8" s="5" t="n"/>
      <c r="P8" s="5" t="n"/>
    </row>
    <row r="9">
      <c r="A9" s="6" t="n">
        <v>8</v>
      </c>
      <c r="B9" s="6" t="inlineStr">
        <is>
          <t>CY-N01</t>
        </is>
      </c>
      <c r="C9" s="6" t="inlineStr">
        <is>
          <t>Unbekannte oder ungepatchte Schwachstellen (Softwarestand)</t>
        </is>
      </c>
      <c r="D9" s="6" t="inlineStr">
        <is>
          <t>N – Netz, Fernzugriff und Härtung</t>
        </is>
      </c>
      <c r="E9" s="6" t="inlineStr">
        <is>
          <t>CY-N01-R2</t>
        </is>
      </c>
      <c r="F9" s="6" t="n">
        <v>250</v>
      </c>
      <c r="G9" s="6" t="inlineStr">
        <is>
          <t>4.5 Software-/Firmwarestand und bekannte Schwachstellen = „Stand bekannt, aber kein Verfahren für Updates/Schwachstellenhinweise"</t>
        </is>
      </c>
      <c r="H9" s="6" t="inlineStr">
        <is>
          <t>Mittel</t>
        </is>
      </c>
      <c r="I9" s="6" t="inlineStr">
        <is>
          <t>abgeleitet</t>
        </is>
      </c>
      <c r="J9" s="6" t="inlineStr"/>
      <c r="K9" s="6" t="inlineStr">
        <is>
          <t>Herstellerhinweise zu Schwachstellen einholen und bewerten</t>
        </is>
      </c>
      <c r="L9" s="6" t="inlineStr">
        <is>
          <t>Update- und Schwachstellenverfahren festlegen (Zuständigkeit, Fristen)</t>
        </is>
      </c>
      <c r="M9" s="6" t="inlineStr"/>
      <c r="N9" s="6" t="inlineStr">
        <is>
          <t>TRBS 1115 Teil 1 3.3 Stand der Technik; EK-ZÜS B-002 rev. 5 Anhang 2 Nr. 5, 10</t>
        </is>
      </c>
      <c r="O9" s="5" t="n"/>
      <c r="P9" s="5" t="n"/>
    </row>
    <row r="10">
      <c r="A10" s="4" t="n">
        <v>9</v>
      </c>
      <c r="B10" s="4" t="inlineStr">
        <is>
          <t>CY-N01</t>
        </is>
      </c>
      <c r="C10" s="4" t="inlineStr">
        <is>
          <t>Unbekannte oder ungepatchte Schwachstellen (Softwarestand)</t>
        </is>
      </c>
      <c r="D10" s="4" t="inlineStr">
        <is>
          <t>N – Netz, Fernzugriff und Härtung</t>
        </is>
      </c>
      <c r="E10" s="4" t="inlineStr">
        <is>
          <t>CY-N01-R4</t>
        </is>
      </c>
      <c r="F10" s="4" t="n">
        <v>1</v>
      </c>
      <c r="G10" s="4" t="inlineStr">
        <is>
          <t>4.5 Software-/Firmwarestand und bekannte Schwachstellen beantwortet</t>
        </is>
      </c>
      <c r="H10" s="4" t="inlineStr">
        <is>
          <t>Kein Risiko</t>
        </is>
      </c>
      <c r="I10" s="4" t="inlineStr">
        <is>
          <t>hohe Sicherheit</t>
        </is>
      </c>
      <c r="J10" s="4" t="inlineStr"/>
      <c r="K10" s="4" t="inlineStr">
        <is>
          <t>Zustand erhalten; bei der wiederkehrenden Prüfung und der Betreiberkontrolle erneut prüfen</t>
        </is>
      </c>
      <c r="L10" s="4" t="inlineStr"/>
      <c r="M10" s="4" t="inlineStr">
        <is>
          <t>Kein Risiko: keine Mangelregel trifft zu, alle Pflichtfragen beantwortet.</t>
        </is>
      </c>
      <c r="N10" s="4" t="inlineStr">
        <is>
          <t>TRBS 1115 Teil 1 3.3 Stand der Technik; EK-ZÜS B-002 rev. 5 Anhang 2 Nr. 5, 10</t>
        </is>
      </c>
      <c r="O10" s="5" t="n"/>
      <c r="P10" s="5" t="n"/>
    </row>
    <row r="11">
      <c r="A11" s="6" t="n">
        <v>10</v>
      </c>
      <c r="B11" s="6" t="inlineStr">
        <is>
          <t>CY-N02</t>
        </is>
      </c>
      <c r="C11" s="6" t="inlineStr">
        <is>
          <t>Fehlende Härtung: nicht benötigte Funktionen und Schnittstellen aktiv</t>
        </is>
      </c>
      <c r="D11" s="6" t="inlineStr">
        <is>
          <t>N – Netz, Fernzugriff und Härtung</t>
        </is>
      </c>
      <c r="E11" s="6" t="inlineStr">
        <is>
          <t>CY-N02-R3</t>
        </is>
      </c>
      <c r="F11" s="6" t="n">
        <v>1</v>
      </c>
      <c r="G11" s="6" t="inlineStr">
        <is>
          <t>4.6 Sind nicht benötigte Funktionen, Ports, Dienste und Schnittstellen deaktiviert (Funktionsreduzierung)? beantwortet</t>
        </is>
      </c>
      <c r="H11" s="6" t="inlineStr">
        <is>
          <t>Kein Risiko</t>
        </is>
      </c>
      <c r="I11" s="6" t="inlineStr">
        <is>
          <t>hohe Sicherheit</t>
        </is>
      </c>
      <c r="J11" s="6" t="inlineStr"/>
      <c r="K11" s="6" t="inlineStr">
        <is>
          <t>Zustand erhalten; bei der wiederkehrenden Prüfung und der Betreiberkontrolle erneut prüfen</t>
        </is>
      </c>
      <c r="L11" s="6" t="inlineStr"/>
      <c r="M11" s="6" t="inlineStr">
        <is>
          <t>Kein Risiko: keine Mangelregel trifft zu, alle Pflichtfragen beantwortet.</t>
        </is>
      </c>
      <c r="N11" s="6" t="inlineStr">
        <is>
          <t>TRBS 1115 Teil 1 4.5.2 Funktionsreduzierung; DEKRA Ausfüllhilfe Cybersicherheit 09/2024 Schritt 3</t>
        </is>
      </c>
      <c r="O11" s="5" t="n"/>
      <c r="P11" s="5" t="n"/>
    </row>
    <row r="12">
      <c r="A12" s="4" t="n">
        <v>11</v>
      </c>
      <c r="B12" s="4" t="inlineStr">
        <is>
          <t>CY-C01</t>
        </is>
      </c>
      <c r="C12" s="4" t="inlineStr">
        <is>
          <t>Manipulation oder Ausfall: Aufzugssteuerung</t>
        </is>
      </c>
      <c r="D12" s="4" t="inlineStr">
        <is>
          <t>C – Komponenten und Schnittstellen</t>
        </is>
      </c>
      <c r="E12" s="4" t="inlineStr">
        <is>
          <t>CY-C01-R7</t>
        </is>
      </c>
      <c r="F12" s="4" t="n">
        <v>300</v>
      </c>
      <c r="G12" s="4" t="inlineStr">
        <is>
          <t>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„Keine Schutzmaßnahmen festgelegt")</t>
        </is>
      </c>
      <c r="H12" s="4" t="inlineStr">
        <is>
          <t>Mittel</t>
        </is>
      </c>
      <c r="I12" s="4" t="inlineStr">
        <is>
          <t>abgeleitet</t>
        </is>
      </c>
      <c r="J12" s="7" t="inlineStr">
        <is>
          <t>M1</t>
        </is>
      </c>
      <c r="K12" s="4" t="inlineStr">
        <is>
          <t>Serviceschnittstellen der Komponente gegen unbefugte Nutzung sichern</t>
        </is>
      </c>
      <c r="L12" s="4" t="inlineStr">
        <is>
          <t>Zugang zu Schnittstellen vor Unbefugten schützen; nicht benötigte Schnittstellen deaktivieren; Parameteränderungen dokumentieren.</t>
        </is>
      </c>
      <c r="M12" s="4" t="inlineStr"/>
      <c r="N12" s="4" t="inlineStr">
        <is>
          <t>DIN EN 81-20 5.11; EK-ZÜS BA-017 Beispiel Steuerung; TRBS 1115 Teil 1 4.5.2; EK-ZÜS BA-017</t>
        </is>
      </c>
      <c r="O12" s="5" t="n"/>
      <c r="P12" s="5" t="n"/>
    </row>
    <row r="13">
      <c r="A13" s="6" t="n">
        <v>12</v>
      </c>
      <c r="B13" s="6" t="inlineStr">
        <is>
          <t>CY-C01</t>
        </is>
      </c>
      <c r="C13" s="6" t="inlineStr">
        <is>
          <t>Manipulation oder Ausfall: Aufzugssteuerung</t>
        </is>
      </c>
      <c r="D13" s="6" t="inlineStr">
        <is>
          <t>C – Komponenten und Schnittstellen</t>
        </is>
      </c>
      <c r="E13" s="6" t="inlineStr">
        <is>
          <t>CY-C01-R8</t>
        </is>
      </c>
      <c r="F13" s="6" t="n">
        <v>290</v>
      </c>
      <c r="G13" s="6" t="inlineStr">
        <is>
          <t>((3.1.2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13" s="6" t="inlineStr">
        <is>
          <t>Mittel</t>
        </is>
      </c>
      <c r="I13" s="6" t="inlineStr">
        <is>
          <t>abgeleitet</t>
        </is>
      </c>
      <c r="J13" s="7" t="inlineStr">
        <is>
          <t>M2</t>
        </is>
      </c>
      <c r="K13" s="6" t="inlineStr">
        <is>
          <t>Zugang beschränken; offene Maßnahmen priorisiert umsetzen</t>
        </is>
      </c>
      <c r="L13" s="6" t="inlineStr">
        <is>
          <t>Festgelegte Maßnahmen vollständig umsetzen und Wirksamkeit nachweisen</t>
        </is>
      </c>
      <c r="M13" s="6" t="inlineStr"/>
      <c r="N13" s="6" t="inlineStr">
        <is>
          <t>DIN EN 81-20 5.11; EK-ZÜS BA-017 Beispiel Steuerung; TRBS 1115 Teil 1 4.5.2; EK-ZÜS BA-017</t>
        </is>
      </c>
      <c r="O13" s="5" t="n"/>
      <c r="P13" s="5" t="n"/>
    </row>
    <row r="14">
      <c r="A14" s="4" t="n">
        <v>13</v>
      </c>
      <c r="B14" s="4" t="inlineStr">
        <is>
          <t>CY-C01</t>
        </is>
      </c>
      <c r="C14" s="4" t="inlineStr">
        <is>
          <t>Manipulation oder Ausfall: Aufzugssteuerung</t>
        </is>
      </c>
      <c r="D14" s="4" t="inlineStr">
        <is>
          <t>C – Komponenten und Schnittstellen</t>
        </is>
      </c>
      <c r="E14" s="4" t="inlineStr">
        <is>
          <t>CY-C01-R9</t>
        </is>
      </c>
      <c r="F14" s="4" t="n">
        <v>280</v>
      </c>
      <c r="G14" s="4" t="inlineStr">
        <is>
          <t>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aber nicht vollständig umgesetzt oder ohne Wirksamkeitsnachweis")</t>
        </is>
      </c>
      <c r="H14" s="4" t="inlineStr">
        <is>
          <t>Niedrig</t>
        </is>
      </c>
      <c r="I14" s="4" t="inlineStr">
        <is>
          <t>abgeleitet</t>
        </is>
      </c>
      <c r="J14" s="7" t="inlineStr">
        <is>
          <t>M3</t>
        </is>
      </c>
      <c r="K14" s="4" t="inlineStr">
        <is>
          <t>Offene Maßnahmen terminieren und Verantwortliche benennen</t>
        </is>
      </c>
      <c r="L14" s="4" t="inlineStr">
        <is>
          <t>Festgelegte Maßnahmen vollständig umsetzen und Wirksamkeit nachweisen</t>
        </is>
      </c>
      <c r="M14" s="4" t="inlineStr"/>
      <c r="N14" s="4" t="inlineStr">
        <is>
          <t>DIN EN 81-20 5.11; EK-ZÜS BA-017 Beispiel Steuerung; TRBS 1115 Teil 1 4.5.2; EK-ZÜS BA-017</t>
        </is>
      </c>
      <c r="O14" s="5" t="n"/>
      <c r="P14" s="5" t="n"/>
    </row>
    <row r="15">
      <c r="A15" s="6" t="n">
        <v>14</v>
      </c>
      <c r="B15" s="6" t="inlineStr">
        <is>
          <t>CY-C01</t>
        </is>
      </c>
      <c r="C15" s="6" t="inlineStr">
        <is>
          <t>Manipulation oder Ausfall: Aufzugssteuerung</t>
        </is>
      </c>
      <c r="D15" s="6" t="inlineStr">
        <is>
          <t>C – Komponenten und Schnittstellen</t>
        </is>
      </c>
      <c r="E15" s="6" t="inlineStr">
        <is>
          <t>CY-C01-R11</t>
        </is>
      </c>
      <c r="F15" s="6" t="n">
        <v>260</v>
      </c>
      <c r="G15" s="6" t="inlineStr">
        <is>
          <t>((3.1.2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15" s="6" t="inlineStr">
        <is>
          <t>Niedrig</t>
        </is>
      </c>
      <c r="I15" s="6" t="inlineStr">
        <is>
          <t>abgeleitet</t>
        </is>
      </c>
      <c r="J15" s="7" t="inlineStr">
        <is>
          <t>M4</t>
        </is>
      </c>
      <c r="K15" s="6" t="inlineStr">
        <is>
          <t>Physischen Zugang zur Steuerung bzw. zum Raum beschränken (siehe Gefährdungen Zugang)</t>
        </is>
      </c>
      <c r="L15" s="6" t="inlineStr">
        <is>
          <t>Zugangskontrolle (Hardware) dauerhaft herstellen</t>
        </is>
      </c>
      <c r="M15" s="6" t="inlineStr"/>
      <c r="N15" s="6" t="inlineStr">
        <is>
          <t>DIN EN 81-20 5.11; EK-ZÜS BA-017 Beispiel Steuerung; TRBS 1115 Teil 1 4.5.2; EK-ZÜS BA-017</t>
        </is>
      </c>
      <c r="O15" s="5" t="n"/>
      <c r="P15" s="5" t="n"/>
    </row>
    <row r="16">
      <c r="A16" s="4" t="n">
        <v>15</v>
      </c>
      <c r="B16" s="4" t="inlineStr">
        <is>
          <t>CY-C01</t>
        </is>
      </c>
      <c r="C16" s="4" t="inlineStr">
        <is>
          <t>Manipulation oder Ausfall: Aufzugssteuerung</t>
        </is>
      </c>
      <c r="D16" s="4" t="inlineStr">
        <is>
          <t>C – Komponenten und Schnittstellen</t>
        </is>
      </c>
      <c r="E16" s="4" t="inlineStr">
        <is>
          <t>CY-C01-R12</t>
        </is>
      </c>
      <c r="F16" s="4" t="n">
        <v>250</v>
      </c>
      <c r="G16" s="4" t="inlineStr">
        <is>
          <t>(3.1.2 Höchste vorhandene Schnittstellenkategorie der Komponente „Aufzugssteuerung" in [„Kabelgebunden, nur vor Ort (USB, RS232/485, CAN, Ethernet, Serviceanschluss, Speicherkarte)", „Benutzerschnittstelle (Bedienfeld, Eingabeterminal, Display mit Parametrierzugang)"] UND 3.1.3 Schutzmaßnahmen nach TRBS 1115-1 für „Aufzugssteuerung" = „Festgelegt, umgesetzt und Wirksamkeit nachgewiesen (TRBS 1115-1 Abschn. 5)")</t>
        </is>
      </c>
      <c r="H16" s="4" t="inlineStr">
        <is>
          <t>Kein Risiko</t>
        </is>
      </c>
      <c r="I16" s="4" t="inlineStr">
        <is>
          <t>hohe Sicherheit</t>
        </is>
      </c>
      <c r="J16" s="7" t="inlineStr">
        <is>
          <t>M5</t>
        </is>
      </c>
      <c r="K16" s="4" t="inlineStr">
        <is>
          <t>Zustand erhalten; Maßnahmen bei der wiederkehrenden Prüfung erneut nachweisen</t>
        </is>
      </c>
      <c r="L16" s="4" t="inlineStr"/>
      <c r="M16" s="4" t="inlineStr"/>
      <c r="N16" s="4" t="inlineStr">
        <is>
          <t>DIN EN 81-20 5.11; EK-ZÜS BA-017 Beispiel Steuerung; TRBS 1115 Teil 1 4.5.2; EK-ZÜS BA-017</t>
        </is>
      </c>
      <c r="O16" s="5" t="n"/>
      <c r="P16" s="5" t="n"/>
    </row>
    <row r="17">
      <c r="A17" s="6" t="n">
        <v>16</v>
      </c>
      <c r="B17" s="6" t="inlineStr">
        <is>
          <t>CY-C01</t>
        </is>
      </c>
      <c r="C17" s="6" t="inlineStr">
        <is>
          <t>Manipulation oder Ausfall: Aufzugssteuerung</t>
        </is>
      </c>
      <c r="D17" s="6" t="inlineStr">
        <is>
          <t>C – Komponenten und Schnittstellen</t>
        </is>
      </c>
      <c r="E17" s="6" t="inlineStr">
        <is>
          <t>CY-C01-R13</t>
        </is>
      </c>
      <c r="F17" s="6" t="n">
        <v>1</v>
      </c>
      <c r="G17" s="6" t="inlineStr">
        <is>
          <t>3.1.2 Höchste vorhandene Schnittstellenkategorie der Komponente „Aufzugssteuerung" beantwortet</t>
        </is>
      </c>
      <c r="H17" s="6" t="inlineStr">
        <is>
          <t>Kein Risiko</t>
        </is>
      </c>
      <c r="I17" s="6" t="inlineStr">
        <is>
          <t>hohe Sicherheit</t>
        </is>
      </c>
      <c r="J17" s="7" t="inlineStr">
        <is>
          <t>M6</t>
        </is>
      </c>
      <c r="K17" s="6" t="inlineStr">
        <is>
          <t>Zustand erhalten; bei der wiederkehrenden Prüfung und der Betreiberkontrolle erneut prüfen</t>
        </is>
      </c>
      <c r="L17" s="6" t="inlineStr"/>
      <c r="M17" s="6" t="inlineStr">
        <is>
          <t>Kein Risiko: keine Mangelregel trifft zu, alle Pflichtfragen beantwortet.</t>
        </is>
      </c>
      <c r="N17" s="6" t="inlineStr">
        <is>
          <t>DIN EN 81-20 5.11; EK-ZÜS BA-017 Beispiel Steuerung; TRBS 1115 Teil 1 4.5.2; EK-ZÜS BA-017</t>
        </is>
      </c>
      <c r="O17" s="5" t="n"/>
      <c r="P17" s="5" t="n"/>
    </row>
    <row r="18">
      <c r="A18" s="4" t="n">
        <v>17</v>
      </c>
      <c r="B18" s="4" t="inlineStr">
        <is>
          <t>CY-C02</t>
        </is>
      </c>
      <c r="C18" s="4" t="inlineStr">
        <is>
          <t>Manipulation oder Ausfall: PESSRAL (programmierbare Sicherheitsschaltung)</t>
        </is>
      </c>
      <c r="D18" s="4" t="inlineStr">
        <is>
          <t>C – Komponenten und Schnittstellen</t>
        </is>
      </c>
      <c r="E18" s="4" t="inlineStr">
        <is>
          <t>CY-C02-R5</t>
        </is>
      </c>
      <c r="F18" s="4" t="n">
        <v>300</v>
      </c>
      <c r="G18" s="4" t="inlineStr">
        <is>
          <t>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„Keine Schutzmaßnahmen festgelegt")</t>
        </is>
      </c>
      <c r="H18" s="4" t="inlineStr">
        <is>
          <t>Mittel</t>
        </is>
      </c>
      <c r="I18" s="4" t="inlineStr">
        <is>
          <t>abgeleitet</t>
        </is>
      </c>
      <c r="J18" s="7" t="inlineStr">
        <is>
          <t>M1</t>
        </is>
      </c>
      <c r="K18" s="4" t="inlineStr">
        <is>
          <t>Serviceschnittstellen der Komponente gegen unbefugte Nutzung sichern</t>
        </is>
      </c>
      <c r="L18" s="4" t="inlineStr">
        <is>
          <t>Serviceschnittstellen nur für Berechtigte; Parametrierung schützen; nach Eingriffen Sicherheitsfunktionen prüfen.</t>
        </is>
      </c>
      <c r="M18" s="4" t="inlineStr"/>
      <c r="N18" s="4" t="inlineStr">
        <is>
          <t>DIN EN 81-20 5.11.2.6; DIN EN 81-50 5.6; TRBS 1115 Teil 1 4.5.2; EK-ZÜS BA-017</t>
        </is>
      </c>
      <c r="O18" s="5" t="n"/>
      <c r="P18" s="5" t="n"/>
    </row>
    <row r="19">
      <c r="A19" s="6" t="n">
        <v>18</v>
      </c>
      <c r="B19" s="6" t="inlineStr">
        <is>
          <t>CY-C02</t>
        </is>
      </c>
      <c r="C19" s="6" t="inlineStr">
        <is>
          <t>Manipulation oder Ausfall: PESSRAL (programmierbare Sicherheitsschaltung)</t>
        </is>
      </c>
      <c r="D19" s="6" t="inlineStr">
        <is>
          <t>C – Komponenten und Schnittstellen</t>
        </is>
      </c>
      <c r="E19" s="6" t="inlineStr">
        <is>
          <t>CY-C02-R6</t>
        </is>
      </c>
      <c r="F19" s="6" t="n">
        <v>290</v>
      </c>
      <c r="G19" s="6" t="inlineStr">
        <is>
          <t>((3.2.2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19" s="6" t="inlineStr">
        <is>
          <t>Mittel</t>
        </is>
      </c>
      <c r="I19" s="6" t="inlineStr">
        <is>
          <t>abgeleitet</t>
        </is>
      </c>
      <c r="J19" s="7" t="inlineStr">
        <is>
          <t>M2</t>
        </is>
      </c>
      <c r="K19" s="6" t="inlineStr">
        <is>
          <t>Zugang beschränken; offene Maßnahmen priorisiert umsetzen</t>
        </is>
      </c>
      <c r="L19" s="6" t="inlineStr">
        <is>
          <t>Festgelegte Maßnahmen vollständig umsetzen und Wirksamkeit nachweisen</t>
        </is>
      </c>
      <c r="M19" s="6" t="inlineStr"/>
      <c r="N19" s="6" t="inlineStr">
        <is>
          <t>DIN EN 81-20 5.11.2.6; DIN EN 81-50 5.6; TRBS 1115 Teil 1 4.5.2; EK-ZÜS BA-017</t>
        </is>
      </c>
      <c r="O19" s="5" t="n"/>
      <c r="P19" s="5" t="n"/>
    </row>
    <row r="20">
      <c r="A20" s="4" t="n">
        <v>19</v>
      </c>
      <c r="B20" s="4" t="inlineStr">
        <is>
          <t>CY-C02</t>
        </is>
      </c>
      <c r="C20" s="4" t="inlineStr">
        <is>
          <t>Manipulation oder Ausfall: PESSRAL (programmierbare Sicherheitsschaltung)</t>
        </is>
      </c>
      <c r="D20" s="4" t="inlineStr">
        <is>
          <t>C – Komponenten und Schnittstellen</t>
        </is>
      </c>
      <c r="E20" s="4" t="inlineStr">
        <is>
          <t>CY-C02-R7</t>
        </is>
      </c>
      <c r="F20" s="4" t="n">
        <v>280</v>
      </c>
      <c r="G20" s="4" t="inlineStr">
        <is>
          <t>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aber nicht vollständig umgesetzt oder ohne Wirksamkeitsnachweis")</t>
        </is>
      </c>
      <c r="H20" s="4" t="inlineStr">
        <is>
          <t>Niedrig</t>
        </is>
      </c>
      <c r="I20" s="4" t="inlineStr">
        <is>
          <t>abgeleitet</t>
        </is>
      </c>
      <c r="J20" s="7" t="inlineStr">
        <is>
          <t>M3</t>
        </is>
      </c>
      <c r="K20" s="4" t="inlineStr">
        <is>
          <t>Offene Maßnahmen terminieren und Verantwortliche benennen</t>
        </is>
      </c>
      <c r="L20" s="4" t="inlineStr">
        <is>
          <t>Festgelegte Maßnahmen vollständig umsetzen und Wirksamkeit nachweisen</t>
        </is>
      </c>
      <c r="M20" s="4" t="inlineStr"/>
      <c r="N20" s="4" t="inlineStr">
        <is>
          <t>DIN EN 81-20 5.11.2.6; DIN EN 81-50 5.6; TRBS 1115 Teil 1 4.5.2; EK-ZÜS BA-017</t>
        </is>
      </c>
      <c r="O20" s="5" t="n"/>
      <c r="P20" s="5" t="n"/>
    </row>
    <row r="21">
      <c r="A21" s="6" t="n">
        <v>20</v>
      </c>
      <c r="B21" s="6" t="inlineStr">
        <is>
          <t>CY-C02</t>
        </is>
      </c>
      <c r="C21" s="6" t="inlineStr">
        <is>
          <t>Manipulation oder Ausfall: PESSRAL (programmierbare Sicherheitsschaltung)</t>
        </is>
      </c>
      <c r="D21" s="6" t="inlineStr">
        <is>
          <t>C – Komponenten und Schnittstellen</t>
        </is>
      </c>
      <c r="E21" s="6" t="inlineStr">
        <is>
          <t>CY-C02-R9</t>
        </is>
      </c>
      <c r="F21" s="6" t="n">
        <v>260</v>
      </c>
      <c r="G21" s="6" t="inlineStr">
        <is>
          <t>((3.2.2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21" s="6" t="inlineStr">
        <is>
          <t>Niedrig</t>
        </is>
      </c>
      <c r="I21" s="6" t="inlineStr">
        <is>
          <t>abgeleitet</t>
        </is>
      </c>
      <c r="J21" s="7" t="inlineStr">
        <is>
          <t>M4</t>
        </is>
      </c>
      <c r="K21" s="6" t="inlineStr">
        <is>
          <t>Physischen Zugang zur Steuerung bzw. zum Raum beschränken (siehe Gefährdungen Zugang)</t>
        </is>
      </c>
      <c r="L21" s="6" t="inlineStr">
        <is>
          <t>Zugangskontrolle (Hardware) dauerhaft herstellen</t>
        </is>
      </c>
      <c r="M21" s="6" t="inlineStr"/>
      <c r="N21" s="6" t="inlineStr">
        <is>
          <t>DIN EN 81-20 5.11.2.6; DIN EN 81-50 5.6; TRBS 1115 Teil 1 4.5.2; EK-ZÜS BA-017</t>
        </is>
      </c>
      <c r="O21" s="5" t="n"/>
      <c r="P21" s="5" t="n"/>
    </row>
    <row r="22">
      <c r="A22" s="4" t="n">
        <v>21</v>
      </c>
      <c r="B22" s="4" t="inlineStr">
        <is>
          <t>CY-C02</t>
        </is>
      </c>
      <c r="C22" s="4" t="inlineStr">
        <is>
          <t>Manipulation oder Ausfall: PESSRAL (programmierbare Sicherheitsschaltung)</t>
        </is>
      </c>
      <c r="D22" s="4" t="inlineStr">
        <is>
          <t>C – Komponenten und Schnittstellen</t>
        </is>
      </c>
      <c r="E22" s="4" t="inlineStr">
        <is>
          <t>CY-C02-R10</t>
        </is>
      </c>
      <c r="F22" s="4" t="n">
        <v>250</v>
      </c>
      <c r="G22" s="4" t="inlineStr">
        <is>
          <t>(3.2.2 Höchste vorhandene Schnittstellenkategorie der Komponente „PESSRAL (programmierbare Sicherheitsschaltung)" in [„Kabelgebunden, nur vor Ort (USB, RS232/485, CAN, Ethernet, Serviceanschluss, Speicherkarte)", „Benutzerschnittstelle (Bedienfeld, Eingabeterminal, Display mit Parametrierzugang)"] UND 3.2.3 Schutzmaßnahmen nach TRBS 1115-1 für „PESSRAL (programmierbare Sicherheitsschaltung)" = „Festgelegt, umgesetzt und Wirksamkeit nachgewiesen (TRBS 1115-1 Abschn. 5)")</t>
        </is>
      </c>
      <c r="H22" s="4" t="inlineStr">
        <is>
          <t>Kein Risiko</t>
        </is>
      </c>
      <c r="I22" s="4" t="inlineStr">
        <is>
          <t>hohe Sicherheit</t>
        </is>
      </c>
      <c r="J22" s="7" t="inlineStr">
        <is>
          <t>M5</t>
        </is>
      </c>
      <c r="K22" s="4" t="inlineStr">
        <is>
          <t>Zustand erhalten; Maßnahmen bei der wiederkehrenden Prüfung erneut nachweisen</t>
        </is>
      </c>
      <c r="L22" s="4" t="inlineStr"/>
      <c r="M22" s="4" t="inlineStr"/>
      <c r="N22" s="4" t="inlineStr">
        <is>
          <t>DIN EN 81-20 5.11.2.6; DIN EN 81-50 5.6; TRBS 1115 Teil 1 4.5.2; EK-ZÜS BA-017</t>
        </is>
      </c>
      <c r="O22" s="5" t="n"/>
      <c r="P22" s="5" t="n"/>
    </row>
    <row r="23">
      <c r="A23" s="6" t="n">
        <v>22</v>
      </c>
      <c r="B23" s="6" t="inlineStr">
        <is>
          <t>CY-C02</t>
        </is>
      </c>
      <c r="C23" s="6" t="inlineStr">
        <is>
          <t>Manipulation oder Ausfall: PESSRAL (programmierbare Sicherheitsschaltung)</t>
        </is>
      </c>
      <c r="D23" s="6" t="inlineStr">
        <is>
          <t>C – Komponenten und Schnittstellen</t>
        </is>
      </c>
      <c r="E23" s="6" t="inlineStr">
        <is>
          <t>CY-C02-R11</t>
        </is>
      </c>
      <c r="F23" s="6" t="n">
        <v>1</v>
      </c>
      <c r="G23" s="6" t="inlineStr">
        <is>
          <t>3.2.2 Höchste vorhandene Schnittstellenkategorie der Komponente „PESSRAL (programmierbare Sicherheitsschaltung)" beantwortet</t>
        </is>
      </c>
      <c r="H23" s="6" t="inlineStr">
        <is>
          <t>Kein Risiko</t>
        </is>
      </c>
      <c r="I23" s="6" t="inlineStr">
        <is>
          <t>hohe Sicherheit</t>
        </is>
      </c>
      <c r="J23" s="7" t="inlineStr">
        <is>
          <t>M6</t>
        </is>
      </c>
      <c r="K23" s="6" t="inlineStr">
        <is>
          <t>Zustand erhalten; bei der wiederkehrenden Prüfung und der Betreiberkontrolle erneut prüfen</t>
        </is>
      </c>
      <c r="L23" s="6" t="inlineStr"/>
      <c r="M23" s="6" t="inlineStr">
        <is>
          <t>Kein Risiko: keine Mangelregel trifft zu, alle Pflichtfragen beantwortet.</t>
        </is>
      </c>
      <c r="N23" s="6" t="inlineStr">
        <is>
          <t>DIN EN 81-20 5.11.2.6; DIN EN 81-50 5.6; TRBS 1115 Teil 1 4.5.2; EK-ZÜS BA-017</t>
        </is>
      </c>
      <c r="O23" s="5" t="n"/>
      <c r="P23" s="5" t="n"/>
    </row>
    <row r="24">
      <c r="A24" s="4" t="n">
        <v>23</v>
      </c>
      <c r="B24" s="4" t="inlineStr">
        <is>
          <t>CY-C03</t>
        </is>
      </c>
      <c r="C24" s="4" t="inlineStr">
        <is>
          <t>Manipulation oder Ausfall: Frequenzumrichter</t>
        </is>
      </c>
      <c r="D24" s="4" t="inlineStr">
        <is>
          <t>C – Komponenten und Schnittstellen</t>
        </is>
      </c>
      <c r="E24" s="4" t="inlineStr">
        <is>
          <t>CY-C03-R7</t>
        </is>
      </c>
      <c r="F24" s="4" t="n">
        <v>300</v>
      </c>
      <c r="G24" s="4" t="inlineStr">
        <is>
          <t>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„Keine Schutzmaßnahmen festgelegt")</t>
        </is>
      </c>
      <c r="H24" s="4" t="inlineStr">
        <is>
          <t>Mittel</t>
        </is>
      </c>
      <c r="I24" s="4" t="inlineStr">
        <is>
          <t>abgeleitet</t>
        </is>
      </c>
      <c r="J24" s="7" t="inlineStr">
        <is>
          <t>M1</t>
        </is>
      </c>
      <c r="K24" s="4" t="inlineStr">
        <is>
          <t>Serviceschnittstellen der Komponente gegen unbefugte Nutzung sichern</t>
        </is>
      </c>
      <c r="L24" s="4" t="inlineStr">
        <is>
          <t>Parameterzugriff schützen; zulässigen Parametersatz sichern; nach Änderungen Antrieb und Fahrverhalten prüfen.</t>
        </is>
      </c>
      <c r="M24" s="4" t="inlineStr"/>
      <c r="N24" s="4" t="inlineStr">
        <is>
          <t>DIN EN 81-20 5.9; TRBS 1115 Teil 1 4.5.2; EK-ZÜS BA-017</t>
        </is>
      </c>
      <c r="O24" s="5" t="n"/>
      <c r="P24" s="5" t="n"/>
    </row>
    <row r="25">
      <c r="A25" s="6" t="n">
        <v>24</v>
      </c>
      <c r="B25" s="6" t="inlineStr">
        <is>
          <t>CY-C03</t>
        </is>
      </c>
      <c r="C25" s="6" t="inlineStr">
        <is>
          <t>Manipulation oder Ausfall: Frequenzumrichter</t>
        </is>
      </c>
      <c r="D25" s="6" t="inlineStr">
        <is>
          <t>C – Komponenten und Schnittstellen</t>
        </is>
      </c>
      <c r="E25" s="6" t="inlineStr">
        <is>
          <t>CY-C03-R8</t>
        </is>
      </c>
      <c r="F25" s="6" t="n">
        <v>290</v>
      </c>
      <c r="G25" s="6" t="inlineStr">
        <is>
          <t>((3.3.2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25" s="6" t="inlineStr">
        <is>
          <t>Mittel</t>
        </is>
      </c>
      <c r="I25" s="6" t="inlineStr">
        <is>
          <t>abgeleitet</t>
        </is>
      </c>
      <c r="J25" s="7" t="inlineStr">
        <is>
          <t>M2</t>
        </is>
      </c>
      <c r="K25" s="6" t="inlineStr">
        <is>
          <t>Zugang beschränken; offene Maßnahmen priorisiert umsetzen</t>
        </is>
      </c>
      <c r="L25" s="6" t="inlineStr">
        <is>
          <t>Festgelegte Maßnahmen vollständig umsetzen und Wirksamkeit nachweisen</t>
        </is>
      </c>
      <c r="M25" s="6" t="inlineStr"/>
      <c r="N25" s="6" t="inlineStr">
        <is>
          <t>DIN EN 81-20 5.9; TRBS 1115 Teil 1 4.5.2; EK-ZÜS BA-017</t>
        </is>
      </c>
      <c r="O25" s="5" t="n"/>
      <c r="P25" s="5" t="n"/>
    </row>
    <row r="26">
      <c r="A26" s="4" t="n">
        <v>25</v>
      </c>
      <c r="B26" s="4" t="inlineStr">
        <is>
          <t>CY-C03</t>
        </is>
      </c>
      <c r="C26" s="4" t="inlineStr">
        <is>
          <t>Manipulation oder Ausfall: Frequenzumrichter</t>
        </is>
      </c>
      <c r="D26" s="4" t="inlineStr">
        <is>
          <t>C – Komponenten und Schnittstellen</t>
        </is>
      </c>
      <c r="E26" s="4" t="inlineStr">
        <is>
          <t>CY-C03-R9</t>
        </is>
      </c>
      <c r="F26" s="4" t="n">
        <v>280</v>
      </c>
      <c r="G26" s="4" t="inlineStr">
        <is>
          <t>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aber nicht vollständig umgesetzt oder ohne Wirksamkeitsnachweis")</t>
        </is>
      </c>
      <c r="H26" s="4" t="inlineStr">
        <is>
          <t>Niedrig</t>
        </is>
      </c>
      <c r="I26" s="4" t="inlineStr">
        <is>
          <t>abgeleitet</t>
        </is>
      </c>
      <c r="J26" s="7" t="inlineStr">
        <is>
          <t>M3</t>
        </is>
      </c>
      <c r="K26" s="4" t="inlineStr">
        <is>
          <t>Offene Maßnahmen terminieren und Verantwortliche benennen</t>
        </is>
      </c>
      <c r="L26" s="4" t="inlineStr">
        <is>
          <t>Festgelegte Maßnahmen vollständig umsetzen und Wirksamkeit nachweisen</t>
        </is>
      </c>
      <c r="M26" s="4" t="inlineStr"/>
      <c r="N26" s="4" t="inlineStr">
        <is>
          <t>DIN EN 81-20 5.9; TRBS 1115 Teil 1 4.5.2; EK-ZÜS BA-017</t>
        </is>
      </c>
      <c r="O26" s="5" t="n"/>
      <c r="P26" s="5" t="n"/>
    </row>
    <row r="27">
      <c r="A27" s="6" t="n">
        <v>26</v>
      </c>
      <c r="B27" s="6" t="inlineStr">
        <is>
          <t>CY-C03</t>
        </is>
      </c>
      <c r="C27" s="6" t="inlineStr">
        <is>
          <t>Manipulation oder Ausfall: Frequenzumrichter</t>
        </is>
      </c>
      <c r="D27" s="6" t="inlineStr">
        <is>
          <t>C – Komponenten und Schnittstellen</t>
        </is>
      </c>
      <c r="E27" s="6" t="inlineStr">
        <is>
          <t>CY-C03-R11</t>
        </is>
      </c>
      <c r="F27" s="6" t="n">
        <v>260</v>
      </c>
      <c r="G27" s="6" t="inlineStr">
        <is>
          <t>((3.3.2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27" s="6" t="inlineStr">
        <is>
          <t>Niedrig</t>
        </is>
      </c>
      <c r="I27" s="6" t="inlineStr">
        <is>
          <t>abgeleitet</t>
        </is>
      </c>
      <c r="J27" s="7" t="inlineStr">
        <is>
          <t>M4</t>
        </is>
      </c>
      <c r="K27" s="6" t="inlineStr">
        <is>
          <t>Physischen Zugang zur Steuerung bzw. zum Raum beschränken (siehe Gefährdungen Zugang)</t>
        </is>
      </c>
      <c r="L27" s="6" t="inlineStr">
        <is>
          <t>Zugangskontrolle (Hardware) dauerhaft herstellen</t>
        </is>
      </c>
      <c r="M27" s="6" t="inlineStr"/>
      <c r="N27" s="6" t="inlineStr">
        <is>
          <t>DIN EN 81-20 5.9; TRBS 1115 Teil 1 4.5.2; EK-ZÜS BA-017</t>
        </is>
      </c>
      <c r="O27" s="5" t="n"/>
      <c r="P27" s="5" t="n"/>
    </row>
    <row r="28">
      <c r="A28" s="4" t="n">
        <v>27</v>
      </c>
      <c r="B28" s="4" t="inlineStr">
        <is>
          <t>CY-C03</t>
        </is>
      </c>
      <c r="C28" s="4" t="inlineStr">
        <is>
          <t>Manipulation oder Ausfall: Frequenzumrichter</t>
        </is>
      </c>
      <c r="D28" s="4" t="inlineStr">
        <is>
          <t>C – Komponenten und Schnittstellen</t>
        </is>
      </c>
      <c r="E28" s="4" t="inlineStr">
        <is>
          <t>CY-C03-R12</t>
        </is>
      </c>
      <c r="F28" s="4" t="n">
        <v>250</v>
      </c>
      <c r="G28" s="4" t="inlineStr">
        <is>
          <t>(3.3.2 Höchste vorhandene Schnittstellenkategorie der Komponente „Frequenzumrichter" in [„Kabelgebunden, nur vor Ort (USB, RS232/485, CAN, Ethernet, Serviceanschluss, Speicherkarte)", „Benutzerschnittstelle (Bedienfeld, Eingabeterminal, Display mit Parametrierzugang)"] UND 3.3.3 Schutzmaßnahmen nach TRBS 1115-1 für „Frequenzumrichter" = „Festgelegt, umgesetzt und Wirksamkeit nachgewiesen (TRBS 1115-1 Abschn. 5)")</t>
        </is>
      </c>
      <c r="H28" s="4" t="inlineStr">
        <is>
          <t>Kein Risiko</t>
        </is>
      </c>
      <c r="I28" s="4" t="inlineStr">
        <is>
          <t>hohe Sicherheit</t>
        </is>
      </c>
      <c r="J28" s="7" t="inlineStr">
        <is>
          <t>M5</t>
        </is>
      </c>
      <c r="K28" s="4" t="inlineStr">
        <is>
          <t>Zustand erhalten; Maßnahmen bei der wiederkehrenden Prüfung erneut nachweisen</t>
        </is>
      </c>
      <c r="L28" s="4" t="inlineStr"/>
      <c r="M28" s="4" t="inlineStr"/>
      <c r="N28" s="4" t="inlineStr">
        <is>
          <t>DIN EN 81-20 5.9; TRBS 1115 Teil 1 4.5.2; EK-ZÜS BA-017</t>
        </is>
      </c>
      <c r="O28" s="5" t="n"/>
      <c r="P28" s="5" t="n"/>
    </row>
    <row r="29">
      <c r="A29" s="6" t="n">
        <v>28</v>
      </c>
      <c r="B29" s="6" t="inlineStr">
        <is>
          <t>CY-C03</t>
        </is>
      </c>
      <c r="C29" s="6" t="inlineStr">
        <is>
          <t>Manipulation oder Ausfall: Frequenzumrichter</t>
        </is>
      </c>
      <c r="D29" s="6" t="inlineStr">
        <is>
          <t>C – Komponenten und Schnittstellen</t>
        </is>
      </c>
      <c r="E29" s="6" t="inlineStr">
        <is>
          <t>CY-C03-R13</t>
        </is>
      </c>
      <c r="F29" s="6" t="n">
        <v>1</v>
      </c>
      <c r="G29" s="6" t="inlineStr">
        <is>
          <t>3.3.2 Höchste vorhandene Schnittstellenkategorie der Komponente „Frequenzumrichter" beantwortet</t>
        </is>
      </c>
      <c r="H29" s="6" t="inlineStr">
        <is>
          <t>Kein Risiko</t>
        </is>
      </c>
      <c r="I29" s="6" t="inlineStr">
        <is>
          <t>hohe Sicherheit</t>
        </is>
      </c>
      <c r="J29" s="7" t="inlineStr">
        <is>
          <t>M6</t>
        </is>
      </c>
      <c r="K29" s="6" t="inlineStr">
        <is>
          <t>Zustand erhalten; bei der wiederkehrenden Prüfung und der Betreiberkontrolle erneut prüfen</t>
        </is>
      </c>
      <c r="L29" s="6" t="inlineStr"/>
      <c r="M29" s="6" t="inlineStr">
        <is>
          <t>Kein Risiko: keine Mangelregel trifft zu, alle Pflichtfragen beantwortet.</t>
        </is>
      </c>
      <c r="N29" s="6" t="inlineStr">
        <is>
          <t>DIN EN 81-20 5.9; TRBS 1115 Teil 1 4.5.2; EK-ZÜS BA-017</t>
        </is>
      </c>
      <c r="O29" s="5" t="n"/>
      <c r="P29" s="5" t="n"/>
    </row>
    <row r="30">
      <c r="A30" s="4" t="n">
        <v>29</v>
      </c>
      <c r="B30" s="4" t="inlineStr">
        <is>
          <t>CY-C04</t>
        </is>
      </c>
      <c r="C30" s="4" t="inlineStr">
        <is>
          <t>Manipulation oder Ausfall: Notrufsystem (Zwei-Wege-Kommunikation)</t>
        </is>
      </c>
      <c r="D30" s="4" t="inlineStr">
        <is>
          <t>C – Komponenten und Schnittstellen</t>
        </is>
      </c>
      <c r="E30" s="4" t="inlineStr">
        <is>
          <t>CY-C04-R7</t>
        </is>
      </c>
      <c r="F30" s="4" t="n">
        <v>300</v>
      </c>
      <c r="G30" s="4" t="inlineStr">
        <is>
          <t>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„Keine Schutzmaßnahmen festgelegt")</t>
        </is>
      </c>
      <c r="H30" s="4" t="inlineStr">
        <is>
          <t>Mittel</t>
        </is>
      </c>
      <c r="I30" s="4" t="inlineStr">
        <is>
          <t>abgeleitet</t>
        </is>
      </c>
      <c r="J30" s="7" t="inlineStr">
        <is>
          <t>M1</t>
        </is>
      </c>
      <c r="K30" s="4" t="inlineStr">
        <is>
          <t>Serviceschnittstellen der Komponente gegen unbefugte Nutzung sichern</t>
        </is>
      </c>
      <c r="L30" s="4" t="inlineStr">
        <is>
          <t>Zugriff auf Schnittstellen verhindern/begrenzen; Werkszugangsdaten ändern; Notrufverbindung regelmäßig prüfen.</t>
        </is>
      </c>
      <c r="M30" s="4" t="inlineStr"/>
      <c r="N30" s="4" t="inlineStr">
        <is>
          <t>DIN EN 81-28 4.2; EK-ZÜS BA-017 Beispiel Notruf; TRBS 1115 Teil 1 4.5.2; EK-ZÜS BA-017</t>
        </is>
      </c>
      <c r="O30" s="5" t="n"/>
      <c r="P30" s="5" t="n"/>
    </row>
    <row r="31">
      <c r="A31" s="6" t="n">
        <v>30</v>
      </c>
      <c r="B31" s="6" t="inlineStr">
        <is>
          <t>CY-C04</t>
        </is>
      </c>
      <c r="C31" s="6" t="inlineStr">
        <is>
          <t>Manipulation oder Ausfall: Notrufsystem (Zwei-Wege-Kommunikation)</t>
        </is>
      </c>
      <c r="D31" s="6" t="inlineStr">
        <is>
          <t>C – Komponenten und Schnittstellen</t>
        </is>
      </c>
      <c r="E31" s="6" t="inlineStr">
        <is>
          <t>CY-C04-R8</t>
        </is>
      </c>
      <c r="F31" s="6" t="n">
        <v>290</v>
      </c>
      <c r="G31" s="6" t="inlineStr">
        <is>
          <t>((3.4.2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31" s="6" t="inlineStr">
        <is>
          <t>Mittel</t>
        </is>
      </c>
      <c r="I31" s="6" t="inlineStr">
        <is>
          <t>abgeleitet</t>
        </is>
      </c>
      <c r="J31" s="7" t="inlineStr">
        <is>
          <t>M2</t>
        </is>
      </c>
      <c r="K31" s="6" t="inlineStr">
        <is>
          <t>Zugang beschränken; offene Maßnahmen priorisiert umsetzen</t>
        </is>
      </c>
      <c r="L31" s="6" t="inlineStr">
        <is>
          <t>Festgelegte Maßnahmen vollständig umsetzen und Wirksamkeit nachweisen</t>
        </is>
      </c>
      <c r="M31" s="6" t="inlineStr"/>
      <c r="N31" s="6" t="inlineStr">
        <is>
          <t>DIN EN 81-28 4.2; EK-ZÜS BA-017 Beispiel Notruf; TRBS 1115 Teil 1 4.5.2; EK-ZÜS BA-017</t>
        </is>
      </c>
      <c r="O31" s="5" t="n"/>
      <c r="P31" s="5" t="n"/>
    </row>
    <row r="32">
      <c r="A32" s="4" t="n">
        <v>31</v>
      </c>
      <c r="B32" s="4" t="inlineStr">
        <is>
          <t>CY-C04</t>
        </is>
      </c>
      <c r="C32" s="4" t="inlineStr">
        <is>
          <t>Manipulation oder Ausfall: Notrufsystem (Zwei-Wege-Kommunikation)</t>
        </is>
      </c>
      <c r="D32" s="4" t="inlineStr">
        <is>
          <t>C – Komponenten und Schnittstellen</t>
        </is>
      </c>
      <c r="E32" s="4" t="inlineStr">
        <is>
          <t>CY-C04-R9</t>
        </is>
      </c>
      <c r="F32" s="4" t="n">
        <v>280</v>
      </c>
      <c r="G32" s="4" t="inlineStr">
        <is>
          <t>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aber nicht vollständig umgesetzt oder ohne Wirksamkeitsnachweis")</t>
        </is>
      </c>
      <c r="H32" s="4" t="inlineStr">
        <is>
          <t>Niedrig</t>
        </is>
      </c>
      <c r="I32" s="4" t="inlineStr">
        <is>
          <t>abgeleitet</t>
        </is>
      </c>
      <c r="J32" s="7" t="inlineStr">
        <is>
          <t>M3</t>
        </is>
      </c>
      <c r="K32" s="4" t="inlineStr">
        <is>
          <t>Offene Maßnahmen terminieren und Verantwortliche benennen</t>
        </is>
      </c>
      <c r="L32" s="4" t="inlineStr">
        <is>
          <t>Festgelegte Maßnahmen vollständig umsetzen und Wirksamkeit nachweisen</t>
        </is>
      </c>
      <c r="M32" s="4" t="inlineStr"/>
      <c r="N32" s="4" t="inlineStr">
        <is>
          <t>DIN EN 81-28 4.2; EK-ZÜS BA-017 Beispiel Notruf; TRBS 1115 Teil 1 4.5.2; EK-ZÜS BA-017</t>
        </is>
      </c>
      <c r="O32" s="5" t="n"/>
      <c r="P32" s="5" t="n"/>
    </row>
    <row r="33">
      <c r="A33" s="6" t="n">
        <v>32</v>
      </c>
      <c r="B33" s="6" t="inlineStr">
        <is>
          <t>CY-C04</t>
        </is>
      </c>
      <c r="C33" s="6" t="inlineStr">
        <is>
          <t>Manipulation oder Ausfall: Notrufsystem (Zwei-Wege-Kommunikation)</t>
        </is>
      </c>
      <c r="D33" s="6" t="inlineStr">
        <is>
          <t>C – Komponenten und Schnittstellen</t>
        </is>
      </c>
      <c r="E33" s="6" t="inlineStr">
        <is>
          <t>CY-C04-R11</t>
        </is>
      </c>
      <c r="F33" s="6" t="n">
        <v>260</v>
      </c>
      <c r="G33" s="6" t="inlineStr">
        <is>
          <t>((3.4.2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33" s="6" t="inlineStr">
        <is>
          <t>Niedrig</t>
        </is>
      </c>
      <c r="I33" s="6" t="inlineStr">
        <is>
          <t>abgeleitet</t>
        </is>
      </c>
      <c r="J33" s="7" t="inlineStr">
        <is>
          <t>M4</t>
        </is>
      </c>
      <c r="K33" s="6" t="inlineStr">
        <is>
          <t>Physischen Zugang zur Steuerung bzw. zum Raum beschränken (siehe Gefährdungen Zugang)</t>
        </is>
      </c>
      <c r="L33" s="6" t="inlineStr">
        <is>
          <t>Zugangskontrolle (Hardware) dauerhaft herstellen</t>
        </is>
      </c>
      <c r="M33" s="6" t="inlineStr"/>
      <c r="N33" s="6" t="inlineStr">
        <is>
          <t>DIN EN 81-28 4.2; EK-ZÜS BA-017 Beispiel Notruf; TRBS 1115 Teil 1 4.5.2; EK-ZÜS BA-017</t>
        </is>
      </c>
      <c r="O33" s="5" t="n"/>
      <c r="P33" s="5" t="n"/>
    </row>
    <row r="34">
      <c r="A34" s="4" t="n">
        <v>33</v>
      </c>
      <c r="B34" s="4" t="inlineStr">
        <is>
          <t>CY-C04</t>
        </is>
      </c>
      <c r="C34" s="4" t="inlineStr">
        <is>
          <t>Manipulation oder Ausfall: Notrufsystem (Zwei-Wege-Kommunikation)</t>
        </is>
      </c>
      <c r="D34" s="4" t="inlineStr">
        <is>
          <t>C – Komponenten und Schnittstellen</t>
        </is>
      </c>
      <c r="E34" s="4" t="inlineStr">
        <is>
          <t>CY-C04-R12</t>
        </is>
      </c>
      <c r="F34" s="4" t="n">
        <v>250</v>
      </c>
      <c r="G34" s="4" t="inlineStr">
        <is>
          <t>(3.4.2 Höchste vorhandene Schnittstellenkategorie der Komponente „Notrufsystem (Zwei-Wege-Kommunikation)" in [„Kabelgebunden, nur vor Ort (USB, RS232/485, CAN, Ethernet, Serviceanschluss, Speicherkarte)", „Benutzerschnittstelle (Bedienfeld, Eingabeterminal, Display mit Parametrierzugang)"] UND 3.4.3 Schutzmaßnahmen nach TRBS 1115-1 für „Notrufsystem (Zwei-Wege-Kommunikation)" = „Festgelegt, umgesetzt und Wirksamkeit nachgewiesen (TRBS 1115-1 Abschn. 5)")</t>
        </is>
      </c>
      <c r="H34" s="4" t="inlineStr">
        <is>
          <t>Kein Risiko</t>
        </is>
      </c>
      <c r="I34" s="4" t="inlineStr">
        <is>
          <t>hohe Sicherheit</t>
        </is>
      </c>
      <c r="J34" s="7" t="inlineStr">
        <is>
          <t>M5</t>
        </is>
      </c>
      <c r="K34" s="4" t="inlineStr">
        <is>
          <t>Zustand erhalten; Maßnahmen bei der wiederkehrenden Prüfung erneut nachweisen</t>
        </is>
      </c>
      <c r="L34" s="4" t="inlineStr"/>
      <c r="M34" s="4" t="inlineStr"/>
      <c r="N34" s="4" t="inlineStr">
        <is>
          <t>DIN EN 81-28 4.2; EK-ZÜS BA-017 Beispiel Notruf; TRBS 1115 Teil 1 4.5.2; EK-ZÜS BA-017</t>
        </is>
      </c>
      <c r="O34" s="5" t="n"/>
      <c r="P34" s="5" t="n"/>
    </row>
    <row r="35">
      <c r="A35" s="6" t="n">
        <v>34</v>
      </c>
      <c r="B35" s="6" t="inlineStr">
        <is>
          <t>CY-C04</t>
        </is>
      </c>
      <c r="C35" s="6" t="inlineStr">
        <is>
          <t>Manipulation oder Ausfall: Notrufsystem (Zwei-Wege-Kommunikation)</t>
        </is>
      </c>
      <c r="D35" s="6" t="inlineStr">
        <is>
          <t>C – Komponenten und Schnittstellen</t>
        </is>
      </c>
      <c r="E35" s="6" t="inlineStr">
        <is>
          <t>CY-C04-R13</t>
        </is>
      </c>
      <c r="F35" s="6" t="n">
        <v>1</v>
      </c>
      <c r="G35" s="6" t="inlineStr">
        <is>
          <t>3.4.2 Höchste vorhandene Schnittstellenkategorie der Komponente „Notrufsystem (Zwei-Wege-Kommunikation)" beantwortet</t>
        </is>
      </c>
      <c r="H35" s="6" t="inlineStr">
        <is>
          <t>Kein Risiko</t>
        </is>
      </c>
      <c r="I35" s="6" t="inlineStr">
        <is>
          <t>hohe Sicherheit</t>
        </is>
      </c>
      <c r="J35" s="7" t="inlineStr">
        <is>
          <t>M6</t>
        </is>
      </c>
      <c r="K35" s="6" t="inlineStr">
        <is>
          <t>Zustand erhalten; bei der wiederkehrenden Prüfung und der Betreiberkontrolle erneut prüfen</t>
        </is>
      </c>
      <c r="L35" s="6" t="inlineStr"/>
      <c r="M35" s="6" t="inlineStr">
        <is>
          <t>Kein Risiko: keine Mangelregel trifft zu, alle Pflichtfragen beantwortet.</t>
        </is>
      </c>
      <c r="N35" s="6" t="inlineStr">
        <is>
          <t>DIN EN 81-28 4.2; EK-ZÜS BA-017 Beispiel Notruf; TRBS 1115 Teil 1 4.5.2; EK-ZÜS BA-017</t>
        </is>
      </c>
      <c r="O35" s="5" t="n"/>
      <c r="P35" s="5" t="n"/>
    </row>
    <row r="36">
      <c r="A36" s="4" t="n">
        <v>35</v>
      </c>
      <c r="B36" s="4" t="inlineStr">
        <is>
          <t>CY-C05</t>
        </is>
      </c>
      <c r="C36" s="4" t="inlineStr">
        <is>
          <t>Manipulation oder Ausfall: Schachtkopierung / Positionierung</t>
        </is>
      </c>
      <c r="D36" s="4" t="inlineStr">
        <is>
          <t>C – Komponenten und Schnittstellen</t>
        </is>
      </c>
      <c r="E36" s="4" t="inlineStr">
        <is>
          <t>CY-C05-R7</t>
        </is>
      </c>
      <c r="F36" s="4" t="n">
        <v>300</v>
      </c>
      <c r="G36" s="4" t="inlineStr">
        <is>
          <t>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„Keine Schutzmaßnahmen festgelegt")</t>
        </is>
      </c>
      <c r="H36" s="4" t="inlineStr">
        <is>
          <t>Mittel</t>
        </is>
      </c>
      <c r="I36" s="4" t="inlineStr">
        <is>
          <t>abgeleitet</t>
        </is>
      </c>
      <c r="J36" s="7" t="inlineStr">
        <is>
          <t>M1</t>
        </is>
      </c>
      <c r="K36" s="4" t="inlineStr">
        <is>
          <t>Serviceschnittstellen der Komponente gegen unbefugte Nutzung sichern</t>
        </is>
      </c>
      <c r="L36" s="4" t="inlineStr">
        <is>
          <t>Schnittstellen auf das Notwendige beschränken; unbefugte Änderung der Positions-/Schachtinformation verhindern.</t>
        </is>
      </c>
      <c r="M36" s="4" t="inlineStr"/>
      <c r="N36" s="4" t="inlineStr">
        <is>
          <t>DIN EN 81-20 5.12.1; TRBS 1115 Teil 1 4.5.2; EK-ZÜS BA-017</t>
        </is>
      </c>
      <c r="O36" s="5" t="n"/>
      <c r="P36" s="5" t="n"/>
    </row>
    <row r="37">
      <c r="A37" s="6" t="n">
        <v>36</v>
      </c>
      <c r="B37" s="6" t="inlineStr">
        <is>
          <t>CY-C05</t>
        </is>
      </c>
      <c r="C37" s="6" t="inlineStr">
        <is>
          <t>Manipulation oder Ausfall: Schachtkopierung / Positionierung</t>
        </is>
      </c>
      <c r="D37" s="6" t="inlineStr">
        <is>
          <t>C – Komponenten und Schnittstellen</t>
        </is>
      </c>
      <c r="E37" s="6" t="inlineStr">
        <is>
          <t>CY-C05-R8</t>
        </is>
      </c>
      <c r="F37" s="6" t="n">
        <v>290</v>
      </c>
      <c r="G37" s="6" t="inlineStr">
        <is>
          <t>((3.5.2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37" s="6" t="inlineStr">
        <is>
          <t>Mittel</t>
        </is>
      </c>
      <c r="I37" s="6" t="inlineStr">
        <is>
          <t>abgeleitet</t>
        </is>
      </c>
      <c r="J37" s="7" t="inlineStr">
        <is>
          <t>M2</t>
        </is>
      </c>
      <c r="K37" s="6" t="inlineStr">
        <is>
          <t>Zugang beschränken; offene Maßnahmen priorisiert umsetzen</t>
        </is>
      </c>
      <c r="L37" s="6" t="inlineStr">
        <is>
          <t>Festgelegte Maßnahmen vollständig umsetzen und Wirksamkeit nachweisen</t>
        </is>
      </c>
      <c r="M37" s="6" t="inlineStr"/>
      <c r="N37" s="6" t="inlineStr">
        <is>
          <t>DIN EN 81-20 5.12.1; TRBS 1115 Teil 1 4.5.2; EK-ZÜS BA-017</t>
        </is>
      </c>
      <c r="O37" s="5" t="n"/>
      <c r="P37" s="5" t="n"/>
    </row>
    <row r="38">
      <c r="A38" s="4" t="n">
        <v>37</v>
      </c>
      <c r="B38" s="4" t="inlineStr">
        <is>
          <t>CY-C05</t>
        </is>
      </c>
      <c r="C38" s="4" t="inlineStr">
        <is>
          <t>Manipulation oder Ausfall: Schachtkopierung / Positionierung</t>
        </is>
      </c>
      <c r="D38" s="4" t="inlineStr">
        <is>
          <t>C – Komponenten und Schnittstellen</t>
        </is>
      </c>
      <c r="E38" s="4" t="inlineStr">
        <is>
          <t>CY-C05-R9</t>
        </is>
      </c>
      <c r="F38" s="4" t="n">
        <v>280</v>
      </c>
      <c r="G38" s="4" t="inlineStr">
        <is>
          <t>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aber nicht vollständig umgesetzt oder ohne Wirksamkeitsnachweis")</t>
        </is>
      </c>
      <c r="H38" s="4" t="inlineStr">
        <is>
          <t>Niedrig</t>
        </is>
      </c>
      <c r="I38" s="4" t="inlineStr">
        <is>
          <t>abgeleitet</t>
        </is>
      </c>
      <c r="J38" s="7" t="inlineStr">
        <is>
          <t>M3</t>
        </is>
      </c>
      <c r="K38" s="4" t="inlineStr">
        <is>
          <t>Offene Maßnahmen terminieren und Verantwortliche benennen</t>
        </is>
      </c>
      <c r="L38" s="4" t="inlineStr">
        <is>
          <t>Festgelegte Maßnahmen vollständig umsetzen und Wirksamkeit nachweisen</t>
        </is>
      </c>
      <c r="M38" s="4" t="inlineStr"/>
      <c r="N38" s="4" t="inlineStr">
        <is>
          <t>DIN EN 81-20 5.12.1; TRBS 1115 Teil 1 4.5.2; EK-ZÜS BA-017</t>
        </is>
      </c>
      <c r="O38" s="5" t="n"/>
      <c r="P38" s="5" t="n"/>
    </row>
    <row r="39">
      <c r="A39" s="6" t="n">
        <v>38</v>
      </c>
      <c r="B39" s="6" t="inlineStr">
        <is>
          <t>CY-C05</t>
        </is>
      </c>
      <c r="C39" s="6" t="inlineStr">
        <is>
          <t>Manipulation oder Ausfall: Schachtkopierung / Positionierung</t>
        </is>
      </c>
      <c r="D39" s="6" t="inlineStr">
        <is>
          <t>C – Komponenten und Schnittstellen</t>
        </is>
      </c>
      <c r="E39" s="6" t="inlineStr">
        <is>
          <t>CY-C05-R11</t>
        </is>
      </c>
      <c r="F39" s="6" t="n">
        <v>260</v>
      </c>
      <c r="G39" s="6" t="inlineStr">
        <is>
          <t>((3.5.2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39" s="6" t="inlineStr">
        <is>
          <t>Niedrig</t>
        </is>
      </c>
      <c r="I39" s="6" t="inlineStr">
        <is>
          <t>abgeleitet</t>
        </is>
      </c>
      <c r="J39" s="7" t="inlineStr">
        <is>
          <t>M4</t>
        </is>
      </c>
      <c r="K39" s="6" t="inlineStr">
        <is>
          <t>Physischen Zugang zur Steuerung bzw. zum Raum beschränken (siehe Gefährdungen Zugang)</t>
        </is>
      </c>
      <c r="L39" s="6" t="inlineStr">
        <is>
          <t>Zugangskontrolle (Hardware) dauerhaft herstellen</t>
        </is>
      </c>
      <c r="M39" s="6" t="inlineStr"/>
      <c r="N39" s="6" t="inlineStr">
        <is>
          <t>DIN EN 81-20 5.12.1; TRBS 1115 Teil 1 4.5.2; EK-ZÜS BA-017</t>
        </is>
      </c>
      <c r="O39" s="5" t="n"/>
      <c r="P39" s="5" t="n"/>
    </row>
    <row r="40">
      <c r="A40" s="4" t="n">
        <v>39</v>
      </c>
      <c r="B40" s="4" t="inlineStr">
        <is>
          <t>CY-C05</t>
        </is>
      </c>
      <c r="C40" s="4" t="inlineStr">
        <is>
          <t>Manipulation oder Ausfall: Schachtkopierung / Positionierung</t>
        </is>
      </c>
      <c r="D40" s="4" t="inlineStr">
        <is>
          <t>C – Komponenten und Schnittstellen</t>
        </is>
      </c>
      <c r="E40" s="4" t="inlineStr">
        <is>
          <t>CY-C05-R12</t>
        </is>
      </c>
      <c r="F40" s="4" t="n">
        <v>250</v>
      </c>
      <c r="G40" s="4" t="inlineStr">
        <is>
          <t>(3.5.2 Höchste vorhandene Schnittstellenkategorie der Komponente „Schachtkopierung / Positionierung" in [„Kabelgebunden, nur vor Ort (USB, RS232/485, CAN, Ethernet, Serviceanschluss, Speicherkarte)", „Benutzerschnittstelle (Bedienfeld, Eingabeterminal, Display mit Parametrierzugang)"] UND 3.5.3 Schutzmaßnahmen nach TRBS 1115-1 für „Schachtkopierung / Positionierung" = „Festgelegt, umgesetzt und Wirksamkeit nachgewiesen (TRBS 1115-1 Abschn. 5)")</t>
        </is>
      </c>
      <c r="H40" s="4" t="inlineStr">
        <is>
          <t>Kein Risiko</t>
        </is>
      </c>
      <c r="I40" s="4" t="inlineStr">
        <is>
          <t>hohe Sicherheit</t>
        </is>
      </c>
      <c r="J40" s="7" t="inlineStr">
        <is>
          <t>M5</t>
        </is>
      </c>
      <c r="K40" s="4" t="inlineStr">
        <is>
          <t>Zustand erhalten; Maßnahmen bei der wiederkehrenden Prüfung erneut nachweisen</t>
        </is>
      </c>
      <c r="L40" s="4" t="inlineStr"/>
      <c r="M40" s="4" t="inlineStr"/>
      <c r="N40" s="4" t="inlineStr">
        <is>
          <t>DIN EN 81-20 5.12.1; TRBS 1115 Teil 1 4.5.2; EK-ZÜS BA-017</t>
        </is>
      </c>
      <c r="O40" s="5" t="n"/>
      <c r="P40" s="5" t="n"/>
    </row>
    <row r="41">
      <c r="A41" s="6" t="n">
        <v>40</v>
      </c>
      <c r="B41" s="6" t="inlineStr">
        <is>
          <t>CY-C05</t>
        </is>
      </c>
      <c r="C41" s="6" t="inlineStr">
        <is>
          <t>Manipulation oder Ausfall: Schachtkopierung / Positionierung</t>
        </is>
      </c>
      <c r="D41" s="6" t="inlineStr">
        <is>
          <t>C – Komponenten und Schnittstellen</t>
        </is>
      </c>
      <c r="E41" s="6" t="inlineStr">
        <is>
          <t>CY-C05-R13</t>
        </is>
      </c>
      <c r="F41" s="6" t="n">
        <v>1</v>
      </c>
      <c r="G41" s="6" t="inlineStr">
        <is>
          <t>3.5.2 Höchste vorhandene Schnittstellenkategorie der Komponente „Schachtkopierung / Positionierung" beantwortet</t>
        </is>
      </c>
      <c r="H41" s="6" t="inlineStr">
        <is>
          <t>Kein Risiko</t>
        </is>
      </c>
      <c r="I41" s="6" t="inlineStr">
        <is>
          <t>hohe Sicherheit</t>
        </is>
      </c>
      <c r="J41" s="7" t="inlineStr">
        <is>
          <t>M6</t>
        </is>
      </c>
      <c r="K41" s="6" t="inlineStr">
        <is>
          <t>Zustand erhalten; bei der wiederkehrenden Prüfung und der Betreiberkontrolle erneut prüfen</t>
        </is>
      </c>
      <c r="L41" s="6" t="inlineStr"/>
      <c r="M41" s="6" t="inlineStr">
        <is>
          <t>Kein Risiko: keine Mangelregel trifft zu, alle Pflichtfragen beantwortet.</t>
        </is>
      </c>
      <c r="N41" s="6" t="inlineStr">
        <is>
          <t>DIN EN 81-20 5.12.1; TRBS 1115 Teil 1 4.5.2; EK-ZÜS BA-017</t>
        </is>
      </c>
      <c r="O41" s="5" t="n"/>
      <c r="P41" s="5" t="n"/>
    </row>
    <row r="42">
      <c r="A42" s="4" t="n">
        <v>41</v>
      </c>
      <c r="B42" s="4" t="inlineStr">
        <is>
          <t>CY-C06</t>
        </is>
      </c>
      <c r="C42" s="4" t="inlineStr">
        <is>
          <t>Manipulation oder Ausfall: Türsteuerung</t>
        </is>
      </c>
      <c r="D42" s="4" t="inlineStr">
        <is>
          <t>C – Komponenten und Schnittstellen</t>
        </is>
      </c>
      <c r="E42" s="4" t="inlineStr">
        <is>
          <t>CY-C06-R7</t>
        </is>
      </c>
      <c r="F42" s="4" t="n">
        <v>300</v>
      </c>
      <c r="G42" s="4" t="inlineStr">
        <is>
          <t>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„Keine Schutzmaßnahmen festgelegt")</t>
        </is>
      </c>
      <c r="H42" s="4" t="inlineStr">
        <is>
          <t>Mittel</t>
        </is>
      </c>
      <c r="I42" s="4" t="inlineStr">
        <is>
          <t>abgeleitet</t>
        </is>
      </c>
      <c r="J42" s="7" t="inlineStr">
        <is>
          <t>M1</t>
        </is>
      </c>
      <c r="K42" s="4" t="inlineStr">
        <is>
          <t>Serviceschnittstellen der Komponente gegen unbefugte Nutzung sichern</t>
        </is>
      </c>
      <c r="L42" s="4" t="inlineStr">
        <is>
          <t>Serviceschnittstellen nur für Berechtigte; Parameter sichern; nach Eingriffen Türfunktionen und Schutzeinrichtungen prüfen.</t>
        </is>
      </c>
      <c r="M42" s="4" t="inlineStr"/>
      <c r="N42" s="4" t="inlineStr">
        <is>
          <t>DIN EN 81-20 5.3.6; TRBS 1115 Teil 1 4.5.2; EK-ZÜS BA-017</t>
        </is>
      </c>
      <c r="O42" s="5" t="n"/>
      <c r="P42" s="5" t="n"/>
    </row>
    <row r="43">
      <c r="A43" s="6" t="n">
        <v>42</v>
      </c>
      <c r="B43" s="6" t="inlineStr">
        <is>
          <t>CY-C06</t>
        </is>
      </c>
      <c r="C43" s="6" t="inlineStr">
        <is>
          <t>Manipulation oder Ausfall: Türsteuerung</t>
        </is>
      </c>
      <c r="D43" s="6" t="inlineStr">
        <is>
          <t>C – Komponenten und Schnittstellen</t>
        </is>
      </c>
      <c r="E43" s="6" t="inlineStr">
        <is>
          <t>CY-C06-R8</t>
        </is>
      </c>
      <c r="F43" s="6" t="n">
        <v>290</v>
      </c>
      <c r="G43" s="6" t="inlineStr">
        <is>
          <t>((3.6.2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43" s="6" t="inlineStr">
        <is>
          <t>Mittel</t>
        </is>
      </c>
      <c r="I43" s="6" t="inlineStr">
        <is>
          <t>abgeleitet</t>
        </is>
      </c>
      <c r="J43" s="7" t="inlineStr">
        <is>
          <t>M2</t>
        </is>
      </c>
      <c r="K43" s="6" t="inlineStr">
        <is>
          <t>Zugang beschränken; offene Maßnahmen priorisiert umsetzen</t>
        </is>
      </c>
      <c r="L43" s="6" t="inlineStr">
        <is>
          <t>Festgelegte Maßnahmen vollständig umsetzen und Wirksamkeit nachweisen</t>
        </is>
      </c>
      <c r="M43" s="6" t="inlineStr"/>
      <c r="N43" s="6" t="inlineStr">
        <is>
          <t>DIN EN 81-20 5.3.6; TRBS 1115 Teil 1 4.5.2; EK-ZÜS BA-017</t>
        </is>
      </c>
      <c r="O43" s="5" t="n"/>
      <c r="P43" s="5" t="n"/>
    </row>
    <row r="44">
      <c r="A44" s="4" t="n">
        <v>43</v>
      </c>
      <c r="B44" s="4" t="inlineStr">
        <is>
          <t>CY-C06</t>
        </is>
      </c>
      <c r="C44" s="4" t="inlineStr">
        <is>
          <t>Manipulation oder Ausfall: Türsteuerung</t>
        </is>
      </c>
      <c r="D44" s="4" t="inlineStr">
        <is>
          <t>C – Komponenten und Schnittstellen</t>
        </is>
      </c>
      <c r="E44" s="4" t="inlineStr">
        <is>
          <t>CY-C06-R9</t>
        </is>
      </c>
      <c r="F44" s="4" t="n">
        <v>280</v>
      </c>
      <c r="G44" s="4" t="inlineStr">
        <is>
          <t>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aber nicht vollständig umgesetzt oder ohne Wirksamkeitsnachweis")</t>
        </is>
      </c>
      <c r="H44" s="4" t="inlineStr">
        <is>
          <t>Niedrig</t>
        </is>
      </c>
      <c r="I44" s="4" t="inlineStr">
        <is>
          <t>abgeleitet</t>
        </is>
      </c>
      <c r="J44" s="7" t="inlineStr">
        <is>
          <t>M3</t>
        </is>
      </c>
      <c r="K44" s="4" t="inlineStr">
        <is>
          <t>Offene Maßnahmen terminieren und Verantwortliche benennen</t>
        </is>
      </c>
      <c r="L44" s="4" t="inlineStr">
        <is>
          <t>Festgelegte Maßnahmen vollständig umsetzen und Wirksamkeit nachweisen</t>
        </is>
      </c>
      <c r="M44" s="4" t="inlineStr"/>
      <c r="N44" s="4" t="inlineStr">
        <is>
          <t>DIN EN 81-20 5.3.6; TRBS 1115 Teil 1 4.5.2; EK-ZÜS BA-017</t>
        </is>
      </c>
      <c r="O44" s="5" t="n"/>
      <c r="P44" s="5" t="n"/>
    </row>
    <row r="45">
      <c r="A45" s="6" t="n">
        <v>44</v>
      </c>
      <c r="B45" s="6" t="inlineStr">
        <is>
          <t>CY-C06</t>
        </is>
      </c>
      <c r="C45" s="6" t="inlineStr">
        <is>
          <t>Manipulation oder Ausfall: Türsteuerung</t>
        </is>
      </c>
      <c r="D45" s="6" t="inlineStr">
        <is>
          <t>C – Komponenten und Schnittstellen</t>
        </is>
      </c>
      <c r="E45" s="6" t="inlineStr">
        <is>
          <t>CY-C06-R11</t>
        </is>
      </c>
      <c r="F45" s="6" t="n">
        <v>260</v>
      </c>
      <c r="G45" s="6" t="inlineStr">
        <is>
          <t>((3.6.2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45" s="6" t="inlineStr">
        <is>
          <t>Niedrig</t>
        </is>
      </c>
      <c r="I45" s="6" t="inlineStr">
        <is>
          <t>abgeleitet</t>
        </is>
      </c>
      <c r="J45" s="7" t="inlineStr">
        <is>
          <t>M4</t>
        </is>
      </c>
      <c r="K45" s="6" t="inlineStr">
        <is>
          <t>Physischen Zugang zur Steuerung bzw. zum Raum beschränken (siehe Gefährdungen Zugang)</t>
        </is>
      </c>
      <c r="L45" s="6" t="inlineStr">
        <is>
          <t>Zugangskontrolle (Hardware) dauerhaft herstellen</t>
        </is>
      </c>
      <c r="M45" s="6" t="inlineStr"/>
      <c r="N45" s="6" t="inlineStr">
        <is>
          <t>DIN EN 81-20 5.3.6; TRBS 1115 Teil 1 4.5.2; EK-ZÜS BA-017</t>
        </is>
      </c>
      <c r="O45" s="5" t="n"/>
      <c r="P45" s="5" t="n"/>
    </row>
    <row r="46">
      <c r="A46" s="4" t="n">
        <v>45</v>
      </c>
      <c r="B46" s="4" t="inlineStr">
        <is>
          <t>CY-C06</t>
        </is>
      </c>
      <c r="C46" s="4" t="inlineStr">
        <is>
          <t>Manipulation oder Ausfall: Türsteuerung</t>
        </is>
      </c>
      <c r="D46" s="4" t="inlineStr">
        <is>
          <t>C – Komponenten und Schnittstellen</t>
        </is>
      </c>
      <c r="E46" s="4" t="inlineStr">
        <is>
          <t>CY-C06-R12</t>
        </is>
      </c>
      <c r="F46" s="4" t="n">
        <v>250</v>
      </c>
      <c r="G46" s="4" t="inlineStr">
        <is>
          <t>(3.6.2 Höchste vorhandene Schnittstellenkategorie der Komponente „Türsteuerung" in [„Kabelgebunden, nur vor Ort (USB, RS232/485, CAN, Ethernet, Serviceanschluss, Speicherkarte)", „Benutzerschnittstelle (Bedienfeld, Eingabeterminal, Display mit Parametrierzugang)"] UND 3.6.3 Schutzmaßnahmen nach TRBS 1115-1 für „Türsteuerung" = „Festgelegt, umgesetzt und Wirksamkeit nachgewiesen (TRBS 1115-1 Abschn. 5)")</t>
        </is>
      </c>
      <c r="H46" s="4" t="inlineStr">
        <is>
          <t>Kein Risiko</t>
        </is>
      </c>
      <c r="I46" s="4" t="inlineStr">
        <is>
          <t>hohe Sicherheit</t>
        </is>
      </c>
      <c r="J46" s="7" t="inlineStr">
        <is>
          <t>M5</t>
        </is>
      </c>
      <c r="K46" s="4" t="inlineStr">
        <is>
          <t>Zustand erhalten; Maßnahmen bei der wiederkehrenden Prüfung erneut nachweisen</t>
        </is>
      </c>
      <c r="L46" s="4" t="inlineStr"/>
      <c r="M46" s="4" t="inlineStr"/>
      <c r="N46" s="4" t="inlineStr">
        <is>
          <t>DIN EN 81-20 5.3.6; TRBS 1115 Teil 1 4.5.2; EK-ZÜS BA-017</t>
        </is>
      </c>
      <c r="O46" s="5" t="n"/>
      <c r="P46" s="5" t="n"/>
    </row>
    <row r="47">
      <c r="A47" s="6" t="n">
        <v>46</v>
      </c>
      <c r="B47" s="6" t="inlineStr">
        <is>
          <t>CY-C06</t>
        </is>
      </c>
      <c r="C47" s="6" t="inlineStr">
        <is>
          <t>Manipulation oder Ausfall: Türsteuerung</t>
        </is>
      </c>
      <c r="D47" s="6" t="inlineStr">
        <is>
          <t>C – Komponenten und Schnittstellen</t>
        </is>
      </c>
      <c r="E47" s="6" t="inlineStr">
        <is>
          <t>CY-C06-R13</t>
        </is>
      </c>
      <c r="F47" s="6" t="n">
        <v>1</v>
      </c>
      <c r="G47" s="6" t="inlineStr">
        <is>
          <t>3.6.2 Höchste vorhandene Schnittstellenkategorie der Komponente „Türsteuerung" beantwortet</t>
        </is>
      </c>
      <c r="H47" s="6" t="inlineStr">
        <is>
          <t>Kein Risiko</t>
        </is>
      </c>
      <c r="I47" s="6" t="inlineStr">
        <is>
          <t>hohe Sicherheit</t>
        </is>
      </c>
      <c r="J47" s="7" t="inlineStr">
        <is>
          <t>M6</t>
        </is>
      </c>
      <c r="K47" s="6" t="inlineStr">
        <is>
          <t>Zustand erhalten; bei der wiederkehrenden Prüfung und der Betreiberkontrolle erneut prüfen</t>
        </is>
      </c>
      <c r="L47" s="6" t="inlineStr"/>
      <c r="M47" s="6" t="inlineStr">
        <is>
          <t>Kein Risiko: keine Mangelregel trifft zu, alle Pflichtfragen beantwortet.</t>
        </is>
      </c>
      <c r="N47" s="6" t="inlineStr">
        <is>
          <t>DIN EN 81-20 5.3.6; TRBS 1115 Teil 1 4.5.2; EK-ZÜS BA-017</t>
        </is>
      </c>
      <c r="O47" s="5" t="n"/>
      <c r="P47" s="5" t="n"/>
    </row>
    <row r="48">
      <c r="A48" s="4" t="n">
        <v>47</v>
      </c>
      <c r="B48" s="4" t="inlineStr">
        <is>
          <t>CY-C07</t>
        </is>
      </c>
      <c r="C48" s="4" t="inlineStr">
        <is>
          <t>Manipulation oder Ausfall: UCM-Erkennung</t>
        </is>
      </c>
      <c r="D48" s="4" t="inlineStr">
        <is>
          <t>C – Komponenten und Schnittstellen</t>
        </is>
      </c>
      <c r="E48" s="4" t="inlineStr">
        <is>
          <t>CY-C07-R7</t>
        </is>
      </c>
      <c r="F48" s="4" t="n">
        <v>300</v>
      </c>
      <c r="G48" s="4" t="inlineStr">
        <is>
          <t>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„Keine Schutzmaßnahmen festgelegt")</t>
        </is>
      </c>
      <c r="H48" s="4" t="inlineStr">
        <is>
          <t>Mittel</t>
        </is>
      </c>
      <c r="I48" s="4" t="inlineStr">
        <is>
          <t>abgeleitet</t>
        </is>
      </c>
      <c r="J48" s="7" t="inlineStr">
        <is>
          <t>M1</t>
        </is>
      </c>
      <c r="K48" s="4" t="inlineStr">
        <is>
          <t>Serviceschnittstellen der Komponente gegen unbefugte Nutzung sichern</t>
        </is>
      </c>
      <c r="L48" s="4" t="inlineStr">
        <is>
          <t>Zugang zu Schnittstellen vor Unbefugten schützen; Funktionsumfang auf das Erforderliche reduzieren.</t>
        </is>
      </c>
      <c r="M48" s="4" t="inlineStr"/>
      <c r="N48" s="4" t="inlineStr">
        <is>
          <t>DIN EN 81-20 5.6.7; TRBS 1115 Teil 1 4.5.2; EK-ZÜS BA-017</t>
        </is>
      </c>
      <c r="O48" s="5" t="n"/>
      <c r="P48" s="5" t="n"/>
    </row>
    <row r="49">
      <c r="A49" s="6" t="n">
        <v>48</v>
      </c>
      <c r="B49" s="6" t="inlineStr">
        <is>
          <t>CY-C07</t>
        </is>
      </c>
      <c r="C49" s="6" t="inlineStr">
        <is>
          <t>Manipulation oder Ausfall: UCM-Erkennung</t>
        </is>
      </c>
      <c r="D49" s="6" t="inlineStr">
        <is>
          <t>C – Komponenten und Schnittstellen</t>
        </is>
      </c>
      <c r="E49" s="6" t="inlineStr">
        <is>
          <t>CY-C07-R8</t>
        </is>
      </c>
      <c r="F49" s="6" t="n">
        <v>290</v>
      </c>
      <c r="G49" s="6" t="inlineStr">
        <is>
          <t>((3.7.2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49" s="6" t="inlineStr">
        <is>
          <t>Mittel</t>
        </is>
      </c>
      <c r="I49" s="6" t="inlineStr">
        <is>
          <t>abgeleitet</t>
        </is>
      </c>
      <c r="J49" s="7" t="inlineStr">
        <is>
          <t>M2</t>
        </is>
      </c>
      <c r="K49" s="6" t="inlineStr">
        <is>
          <t>Zugang beschränken; offene Maßnahmen priorisiert umsetzen</t>
        </is>
      </c>
      <c r="L49" s="6" t="inlineStr">
        <is>
          <t>Festgelegte Maßnahmen vollständig umsetzen und Wirksamkeit nachweisen</t>
        </is>
      </c>
      <c r="M49" s="6" t="inlineStr"/>
      <c r="N49" s="6" t="inlineStr">
        <is>
          <t>DIN EN 81-20 5.6.7; TRBS 1115 Teil 1 4.5.2; EK-ZÜS BA-017</t>
        </is>
      </c>
      <c r="O49" s="5" t="n"/>
      <c r="P49" s="5" t="n"/>
    </row>
    <row r="50">
      <c r="A50" s="4" t="n">
        <v>49</v>
      </c>
      <c r="B50" s="4" t="inlineStr">
        <is>
          <t>CY-C07</t>
        </is>
      </c>
      <c r="C50" s="4" t="inlineStr">
        <is>
          <t>Manipulation oder Ausfall: UCM-Erkennung</t>
        </is>
      </c>
      <c r="D50" s="4" t="inlineStr">
        <is>
          <t>C – Komponenten und Schnittstellen</t>
        </is>
      </c>
      <c r="E50" s="4" t="inlineStr">
        <is>
          <t>CY-C07-R9</t>
        </is>
      </c>
      <c r="F50" s="4" t="n">
        <v>280</v>
      </c>
      <c r="G50" s="4" t="inlineStr">
        <is>
          <t>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aber nicht vollständig umgesetzt oder ohne Wirksamkeitsnachweis")</t>
        </is>
      </c>
      <c r="H50" s="4" t="inlineStr">
        <is>
          <t>Niedrig</t>
        </is>
      </c>
      <c r="I50" s="4" t="inlineStr">
        <is>
          <t>abgeleitet</t>
        </is>
      </c>
      <c r="J50" s="7" t="inlineStr">
        <is>
          <t>M3</t>
        </is>
      </c>
      <c r="K50" s="4" t="inlineStr">
        <is>
          <t>Offene Maßnahmen terminieren und Verantwortliche benennen</t>
        </is>
      </c>
      <c r="L50" s="4" t="inlineStr">
        <is>
          <t>Festgelegte Maßnahmen vollständig umsetzen und Wirksamkeit nachweisen</t>
        </is>
      </c>
      <c r="M50" s="4" t="inlineStr"/>
      <c r="N50" s="4" t="inlineStr">
        <is>
          <t>DIN EN 81-20 5.6.7; TRBS 1115 Teil 1 4.5.2; EK-ZÜS BA-017</t>
        </is>
      </c>
      <c r="O50" s="5" t="n"/>
      <c r="P50" s="5" t="n"/>
    </row>
    <row r="51">
      <c r="A51" s="6" t="n">
        <v>50</v>
      </c>
      <c r="B51" s="6" t="inlineStr">
        <is>
          <t>CY-C07</t>
        </is>
      </c>
      <c r="C51" s="6" t="inlineStr">
        <is>
          <t>Manipulation oder Ausfall: UCM-Erkennung</t>
        </is>
      </c>
      <c r="D51" s="6" t="inlineStr">
        <is>
          <t>C – Komponenten und Schnittstellen</t>
        </is>
      </c>
      <c r="E51" s="6" t="inlineStr">
        <is>
          <t>CY-C07-R11</t>
        </is>
      </c>
      <c r="F51" s="6" t="n">
        <v>260</v>
      </c>
      <c r="G51" s="6" t="inlineStr">
        <is>
          <t>((3.7.2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51" s="6" t="inlineStr">
        <is>
          <t>Niedrig</t>
        </is>
      </c>
      <c r="I51" s="6" t="inlineStr">
        <is>
          <t>abgeleitet</t>
        </is>
      </c>
      <c r="J51" s="7" t="inlineStr">
        <is>
          <t>M4</t>
        </is>
      </c>
      <c r="K51" s="6" t="inlineStr">
        <is>
          <t>Physischen Zugang zur Steuerung bzw. zum Raum beschränken (siehe Gefährdungen Zugang)</t>
        </is>
      </c>
      <c r="L51" s="6" t="inlineStr">
        <is>
          <t>Zugangskontrolle (Hardware) dauerhaft herstellen</t>
        </is>
      </c>
      <c r="M51" s="6" t="inlineStr"/>
      <c r="N51" s="6" t="inlineStr">
        <is>
          <t>DIN EN 81-20 5.6.7; TRBS 1115 Teil 1 4.5.2; EK-ZÜS BA-017</t>
        </is>
      </c>
      <c r="O51" s="5" t="n"/>
      <c r="P51" s="5" t="n"/>
    </row>
    <row r="52">
      <c r="A52" s="4" t="n">
        <v>51</v>
      </c>
      <c r="B52" s="4" t="inlineStr">
        <is>
          <t>CY-C07</t>
        </is>
      </c>
      <c r="C52" s="4" t="inlineStr">
        <is>
          <t>Manipulation oder Ausfall: UCM-Erkennung</t>
        </is>
      </c>
      <c r="D52" s="4" t="inlineStr">
        <is>
          <t>C – Komponenten und Schnittstellen</t>
        </is>
      </c>
      <c r="E52" s="4" t="inlineStr">
        <is>
          <t>CY-C07-R12</t>
        </is>
      </c>
      <c r="F52" s="4" t="n">
        <v>250</v>
      </c>
      <c r="G52" s="4" t="inlineStr">
        <is>
          <t>(3.7.2 Höchste vorhandene Schnittstellenkategorie der Komponente „UCM-Erkennung" in [„Kabelgebunden, nur vor Ort (USB, RS232/485, CAN, Ethernet, Serviceanschluss, Speicherkarte)", „Benutzerschnittstelle (Bedienfeld, Eingabeterminal, Display mit Parametrierzugang)"] UND 3.7.3 Schutzmaßnahmen nach TRBS 1115-1 für „UCM-Erkennung" = „Festgelegt, umgesetzt und Wirksamkeit nachgewiesen (TRBS 1115-1 Abschn. 5)")</t>
        </is>
      </c>
      <c r="H52" s="4" t="inlineStr">
        <is>
          <t>Kein Risiko</t>
        </is>
      </c>
      <c r="I52" s="4" t="inlineStr">
        <is>
          <t>hohe Sicherheit</t>
        </is>
      </c>
      <c r="J52" s="7" t="inlineStr">
        <is>
          <t>M5</t>
        </is>
      </c>
      <c r="K52" s="4" t="inlineStr">
        <is>
          <t>Zustand erhalten; Maßnahmen bei der wiederkehrenden Prüfung erneut nachweisen</t>
        </is>
      </c>
      <c r="L52" s="4" t="inlineStr"/>
      <c r="M52" s="4" t="inlineStr"/>
      <c r="N52" s="4" t="inlineStr">
        <is>
          <t>DIN EN 81-20 5.6.7; TRBS 1115 Teil 1 4.5.2; EK-ZÜS BA-017</t>
        </is>
      </c>
      <c r="O52" s="5" t="n"/>
      <c r="P52" s="5" t="n"/>
    </row>
    <row r="53">
      <c r="A53" s="6" t="n">
        <v>52</v>
      </c>
      <c r="B53" s="6" t="inlineStr">
        <is>
          <t>CY-C07</t>
        </is>
      </c>
      <c r="C53" s="6" t="inlineStr">
        <is>
          <t>Manipulation oder Ausfall: UCM-Erkennung</t>
        </is>
      </c>
      <c r="D53" s="6" t="inlineStr">
        <is>
          <t>C – Komponenten und Schnittstellen</t>
        </is>
      </c>
      <c r="E53" s="6" t="inlineStr">
        <is>
          <t>CY-C07-R13</t>
        </is>
      </c>
      <c r="F53" s="6" t="n">
        <v>1</v>
      </c>
      <c r="G53" s="6" t="inlineStr">
        <is>
          <t>3.7.2 Höchste vorhandene Schnittstellenkategorie der Komponente „UCM-Erkennung" beantwortet</t>
        </is>
      </c>
      <c r="H53" s="6" t="inlineStr">
        <is>
          <t>Kein Risiko</t>
        </is>
      </c>
      <c r="I53" s="6" t="inlineStr">
        <is>
          <t>hohe Sicherheit</t>
        </is>
      </c>
      <c r="J53" s="7" t="inlineStr">
        <is>
          <t>M6</t>
        </is>
      </c>
      <c r="K53" s="6" t="inlineStr">
        <is>
          <t>Zustand erhalten; bei der wiederkehrenden Prüfung und der Betreiberkontrolle erneut prüfen</t>
        </is>
      </c>
      <c r="L53" s="6" t="inlineStr"/>
      <c r="M53" s="6" t="inlineStr">
        <is>
          <t>Kein Risiko: keine Mangelregel trifft zu, alle Pflichtfragen beantwortet.</t>
        </is>
      </c>
      <c r="N53" s="6" t="inlineStr">
        <is>
          <t>DIN EN 81-20 5.6.7; TRBS 1115 Teil 1 4.5.2; EK-ZÜS BA-017</t>
        </is>
      </c>
      <c r="O53" s="5" t="n"/>
      <c r="P53" s="5" t="n"/>
    </row>
    <row r="54">
      <c r="A54" s="4" t="n">
        <v>53</v>
      </c>
      <c r="B54" s="4" t="inlineStr">
        <is>
          <t>CY-C08</t>
        </is>
      </c>
      <c r="C54" s="4" t="inlineStr">
        <is>
          <t>Manipulation oder Ausfall: SAFÜ (Schutz gegen Übergeschwindigkeit)</t>
        </is>
      </c>
      <c r="D54" s="4" t="inlineStr">
        <is>
          <t>C – Komponenten und Schnittstellen</t>
        </is>
      </c>
      <c r="E54" s="4" t="inlineStr">
        <is>
          <t>CY-C08-R7</t>
        </is>
      </c>
      <c r="F54" s="4" t="n">
        <v>300</v>
      </c>
      <c r="G54" s="4" t="inlineStr">
        <is>
          <t>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„Keine Schutzmaßnahmen festgelegt")</t>
        </is>
      </c>
      <c r="H54" s="4" t="inlineStr">
        <is>
          <t>Mittel</t>
        </is>
      </c>
      <c r="I54" s="4" t="inlineStr">
        <is>
          <t>abgeleitet</t>
        </is>
      </c>
      <c r="J54" s="7" t="inlineStr">
        <is>
          <t>M1</t>
        </is>
      </c>
      <c r="K54" s="4" t="inlineStr">
        <is>
          <t>Serviceschnittstellen der Komponente gegen unbefugte Nutzung sichern</t>
        </is>
      </c>
      <c r="L54" s="4" t="inlineStr">
        <is>
          <t>Zugang zu Schnittstellen vor Unbefugten schützen; Parametrierung gegen unbefugte Änderung sichern.</t>
        </is>
      </c>
      <c r="M54" s="4" t="inlineStr"/>
      <c r="N54" s="4" t="inlineStr">
        <is>
          <t>DIN EN 81-20 5.6.2; TRBS 1115 Teil 1 4.5.2; EK-ZÜS BA-017</t>
        </is>
      </c>
      <c r="O54" s="5" t="n"/>
      <c r="P54" s="5" t="n"/>
    </row>
    <row r="55">
      <c r="A55" s="6" t="n">
        <v>54</v>
      </c>
      <c r="B55" s="6" t="inlineStr">
        <is>
          <t>CY-C08</t>
        </is>
      </c>
      <c r="C55" s="6" t="inlineStr">
        <is>
          <t>Manipulation oder Ausfall: SAFÜ (Schutz gegen Übergeschwindigkeit)</t>
        </is>
      </c>
      <c r="D55" s="6" t="inlineStr">
        <is>
          <t>C – Komponenten und Schnittstellen</t>
        </is>
      </c>
      <c r="E55" s="6" t="inlineStr">
        <is>
          <t>CY-C08-R8</t>
        </is>
      </c>
      <c r="F55" s="6" t="n">
        <v>290</v>
      </c>
      <c r="G55" s="6" t="inlineStr">
        <is>
          <t>((3.8.2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55" s="6" t="inlineStr">
        <is>
          <t>Mittel</t>
        </is>
      </c>
      <c r="I55" s="6" t="inlineStr">
        <is>
          <t>abgeleitet</t>
        </is>
      </c>
      <c r="J55" s="7" t="inlineStr">
        <is>
          <t>M2</t>
        </is>
      </c>
      <c r="K55" s="6" t="inlineStr">
        <is>
          <t>Zugang beschränken; offene Maßnahmen priorisiert umsetzen</t>
        </is>
      </c>
      <c r="L55" s="6" t="inlineStr">
        <is>
          <t>Festgelegte Maßnahmen vollständig umsetzen und Wirksamkeit nachweisen</t>
        </is>
      </c>
      <c r="M55" s="6" t="inlineStr"/>
      <c r="N55" s="6" t="inlineStr">
        <is>
          <t>DIN EN 81-20 5.6.2; TRBS 1115 Teil 1 4.5.2; EK-ZÜS BA-017</t>
        </is>
      </c>
      <c r="O55" s="5" t="n"/>
      <c r="P55" s="5" t="n"/>
    </row>
    <row r="56">
      <c r="A56" s="4" t="n">
        <v>55</v>
      </c>
      <c r="B56" s="4" t="inlineStr">
        <is>
          <t>CY-C08</t>
        </is>
      </c>
      <c r="C56" s="4" t="inlineStr">
        <is>
          <t>Manipulation oder Ausfall: SAFÜ (Schutz gegen Übergeschwindigkeit)</t>
        </is>
      </c>
      <c r="D56" s="4" t="inlineStr">
        <is>
          <t>C – Komponenten und Schnittstellen</t>
        </is>
      </c>
      <c r="E56" s="4" t="inlineStr">
        <is>
          <t>CY-C08-R9</t>
        </is>
      </c>
      <c r="F56" s="4" t="n">
        <v>280</v>
      </c>
      <c r="G56" s="4" t="inlineStr">
        <is>
          <t>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aber nicht vollständig umgesetzt oder ohne Wirksamkeitsnachweis")</t>
        </is>
      </c>
      <c r="H56" s="4" t="inlineStr">
        <is>
          <t>Niedrig</t>
        </is>
      </c>
      <c r="I56" s="4" t="inlineStr">
        <is>
          <t>abgeleitet</t>
        </is>
      </c>
      <c r="J56" s="7" t="inlineStr">
        <is>
          <t>M3</t>
        </is>
      </c>
      <c r="K56" s="4" t="inlineStr">
        <is>
          <t>Offene Maßnahmen terminieren und Verantwortliche benennen</t>
        </is>
      </c>
      <c r="L56" s="4" t="inlineStr">
        <is>
          <t>Festgelegte Maßnahmen vollständig umsetzen und Wirksamkeit nachweisen</t>
        </is>
      </c>
      <c r="M56" s="4" t="inlineStr"/>
      <c r="N56" s="4" t="inlineStr">
        <is>
          <t>DIN EN 81-20 5.6.2; TRBS 1115 Teil 1 4.5.2; EK-ZÜS BA-017</t>
        </is>
      </c>
      <c r="O56" s="5" t="n"/>
      <c r="P56" s="5" t="n"/>
    </row>
    <row r="57">
      <c r="A57" s="6" t="n">
        <v>56</v>
      </c>
      <c r="B57" s="6" t="inlineStr">
        <is>
          <t>CY-C08</t>
        </is>
      </c>
      <c r="C57" s="6" t="inlineStr">
        <is>
          <t>Manipulation oder Ausfall: SAFÜ (Schutz gegen Übergeschwindigkeit)</t>
        </is>
      </c>
      <c r="D57" s="6" t="inlineStr">
        <is>
          <t>C – Komponenten und Schnittstellen</t>
        </is>
      </c>
      <c r="E57" s="6" t="inlineStr">
        <is>
          <t>CY-C08-R11</t>
        </is>
      </c>
      <c r="F57" s="6" t="n">
        <v>260</v>
      </c>
      <c r="G57" s="6" t="inlineStr">
        <is>
          <t>((3.8.2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57" s="6" t="inlineStr">
        <is>
          <t>Niedrig</t>
        </is>
      </c>
      <c r="I57" s="6" t="inlineStr">
        <is>
          <t>abgeleitet</t>
        </is>
      </c>
      <c r="J57" s="7" t="inlineStr">
        <is>
          <t>M4</t>
        </is>
      </c>
      <c r="K57" s="6" t="inlineStr">
        <is>
          <t>Physischen Zugang zur Steuerung bzw. zum Raum beschränken (siehe Gefährdungen Zugang)</t>
        </is>
      </c>
      <c r="L57" s="6" t="inlineStr">
        <is>
          <t>Zugangskontrolle (Hardware) dauerhaft herstellen</t>
        </is>
      </c>
      <c r="M57" s="6" t="inlineStr"/>
      <c r="N57" s="6" t="inlineStr">
        <is>
          <t>DIN EN 81-20 5.6.2; TRBS 1115 Teil 1 4.5.2; EK-ZÜS BA-017</t>
        </is>
      </c>
      <c r="O57" s="5" t="n"/>
      <c r="P57" s="5" t="n"/>
    </row>
    <row r="58">
      <c r="A58" s="4" t="n">
        <v>57</v>
      </c>
      <c r="B58" s="4" t="inlineStr">
        <is>
          <t>CY-C08</t>
        </is>
      </c>
      <c r="C58" s="4" t="inlineStr">
        <is>
          <t>Manipulation oder Ausfall: SAFÜ (Schutz gegen Übergeschwindigkeit)</t>
        </is>
      </c>
      <c r="D58" s="4" t="inlineStr">
        <is>
          <t>C – Komponenten und Schnittstellen</t>
        </is>
      </c>
      <c r="E58" s="4" t="inlineStr">
        <is>
          <t>CY-C08-R12</t>
        </is>
      </c>
      <c r="F58" s="4" t="n">
        <v>250</v>
      </c>
      <c r="G58" s="4" t="inlineStr">
        <is>
          <t>(3.8.2 Höchste vorhandene Schnittstellenkategorie der Komponente „SAFÜ (Schutz gegen Übergeschwindigkeit)" in [„Kabelgebunden, nur vor Ort (USB, RS232/485, CAN, Ethernet, Serviceanschluss, Speicherkarte)", „Benutzerschnittstelle (Bedienfeld, Eingabeterminal, Display mit Parametrierzugang)"] UND 3.8.3 Schutzmaßnahmen nach TRBS 1115-1 für „SAFÜ (Schutz gegen Übergeschwindigkeit)" = „Festgelegt, umgesetzt und Wirksamkeit nachgewiesen (TRBS 1115-1 Abschn. 5)")</t>
        </is>
      </c>
      <c r="H58" s="4" t="inlineStr">
        <is>
          <t>Kein Risiko</t>
        </is>
      </c>
      <c r="I58" s="4" t="inlineStr">
        <is>
          <t>hohe Sicherheit</t>
        </is>
      </c>
      <c r="J58" s="7" t="inlineStr">
        <is>
          <t>M5</t>
        </is>
      </c>
      <c r="K58" s="4" t="inlineStr">
        <is>
          <t>Zustand erhalten; Maßnahmen bei der wiederkehrenden Prüfung erneut nachweisen</t>
        </is>
      </c>
      <c r="L58" s="4" t="inlineStr"/>
      <c r="M58" s="4" t="inlineStr"/>
      <c r="N58" s="4" t="inlineStr">
        <is>
          <t>DIN EN 81-20 5.6.2; TRBS 1115 Teil 1 4.5.2; EK-ZÜS BA-017</t>
        </is>
      </c>
      <c r="O58" s="5" t="n"/>
      <c r="P58" s="5" t="n"/>
    </row>
    <row r="59">
      <c r="A59" s="6" t="n">
        <v>58</v>
      </c>
      <c r="B59" s="6" t="inlineStr">
        <is>
          <t>CY-C08</t>
        </is>
      </c>
      <c r="C59" s="6" t="inlineStr">
        <is>
          <t>Manipulation oder Ausfall: SAFÜ (Schutz gegen Übergeschwindigkeit)</t>
        </is>
      </c>
      <c r="D59" s="6" t="inlineStr">
        <is>
          <t>C – Komponenten und Schnittstellen</t>
        </is>
      </c>
      <c r="E59" s="6" t="inlineStr">
        <is>
          <t>CY-C08-R13</t>
        </is>
      </c>
      <c r="F59" s="6" t="n">
        <v>1</v>
      </c>
      <c r="G59" s="6" t="inlineStr">
        <is>
          <t>3.8.2 Höchste vorhandene Schnittstellenkategorie der Komponente „SAFÜ (Schutz gegen Übergeschwindigkeit)" beantwortet</t>
        </is>
      </c>
      <c r="H59" s="6" t="inlineStr">
        <is>
          <t>Kein Risiko</t>
        </is>
      </c>
      <c r="I59" s="6" t="inlineStr">
        <is>
          <t>hohe Sicherheit</t>
        </is>
      </c>
      <c r="J59" s="7" t="inlineStr">
        <is>
          <t>M6</t>
        </is>
      </c>
      <c r="K59" s="6" t="inlineStr">
        <is>
          <t>Zustand erhalten; bei der wiederkehrenden Prüfung und der Betreiberkontrolle erneut prüfen</t>
        </is>
      </c>
      <c r="L59" s="6" t="inlineStr"/>
      <c r="M59" s="6" t="inlineStr">
        <is>
          <t>Kein Risiko: keine Mangelregel trifft zu, alle Pflichtfragen beantwortet.</t>
        </is>
      </c>
      <c r="N59" s="6" t="inlineStr">
        <is>
          <t>DIN EN 81-20 5.6.2; TRBS 1115 Teil 1 4.5.2; EK-ZÜS BA-017</t>
        </is>
      </c>
      <c r="O59" s="5" t="n"/>
      <c r="P59" s="5" t="n"/>
    </row>
    <row r="60">
      <c r="A60" s="4" t="n">
        <v>59</v>
      </c>
      <c r="B60" s="4" t="inlineStr">
        <is>
          <t>CY-C09</t>
        </is>
      </c>
      <c r="C60" s="4" t="inlineStr">
        <is>
          <t>Manipulation oder Ausfall: Tragmittelüberwachung</t>
        </is>
      </c>
      <c r="D60" s="4" t="inlineStr">
        <is>
          <t>C – Komponenten und Schnittstellen</t>
        </is>
      </c>
      <c r="E60" s="4" t="inlineStr">
        <is>
          <t>CY-C09-R7</t>
        </is>
      </c>
      <c r="F60" s="4" t="n">
        <v>300</v>
      </c>
      <c r="G60" s="4" t="inlineStr">
        <is>
          <t>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„Keine Schutzmaßnahmen festgelegt")</t>
        </is>
      </c>
      <c r="H60" s="4" t="inlineStr">
        <is>
          <t>Mittel</t>
        </is>
      </c>
      <c r="I60" s="4" t="inlineStr">
        <is>
          <t>abgeleitet</t>
        </is>
      </c>
      <c r="J60" s="7" t="inlineStr">
        <is>
          <t>M1</t>
        </is>
      </c>
      <c r="K60" s="4" t="inlineStr">
        <is>
          <t>Serviceschnittstellen der Komponente gegen unbefugte Nutzung sichern</t>
        </is>
      </c>
      <c r="L60" s="4" t="inlineStr">
        <is>
          <t>Schnittstellen schützen; Wirksamkeit der Überwachung regelmäßig prüfen.</t>
        </is>
      </c>
      <c r="M60" s="4" t="inlineStr"/>
      <c r="N60" s="4" t="inlineStr">
        <is>
          <t>DIN EN 81-20 5.5.5; TRBS 1115 Teil 1 4.5.2; EK-ZÜS BA-017</t>
        </is>
      </c>
      <c r="O60" s="5" t="n"/>
      <c r="P60" s="5" t="n"/>
    </row>
    <row r="61">
      <c r="A61" s="6" t="n">
        <v>60</v>
      </c>
      <c r="B61" s="6" t="inlineStr">
        <is>
          <t>CY-C09</t>
        </is>
      </c>
      <c r="C61" s="6" t="inlineStr">
        <is>
          <t>Manipulation oder Ausfall: Tragmittelüberwachung</t>
        </is>
      </c>
      <c r="D61" s="6" t="inlineStr">
        <is>
          <t>C – Komponenten und Schnittstellen</t>
        </is>
      </c>
      <c r="E61" s="6" t="inlineStr">
        <is>
          <t>CY-C09-R8</t>
        </is>
      </c>
      <c r="F61" s="6" t="n">
        <v>290</v>
      </c>
      <c r="G61" s="6" t="inlineStr">
        <is>
          <t>((3.9.2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61" s="6" t="inlineStr">
        <is>
          <t>Mittel</t>
        </is>
      </c>
      <c r="I61" s="6" t="inlineStr">
        <is>
          <t>abgeleitet</t>
        </is>
      </c>
      <c r="J61" s="7" t="inlineStr">
        <is>
          <t>M2</t>
        </is>
      </c>
      <c r="K61" s="6" t="inlineStr">
        <is>
          <t>Zugang beschränken; offene Maßnahmen priorisiert umsetzen</t>
        </is>
      </c>
      <c r="L61" s="6" t="inlineStr">
        <is>
          <t>Festgelegte Maßnahmen vollständig umsetzen und Wirksamkeit nachweisen</t>
        </is>
      </c>
      <c r="M61" s="6" t="inlineStr"/>
      <c r="N61" s="6" t="inlineStr">
        <is>
          <t>DIN EN 81-20 5.5.5; TRBS 1115 Teil 1 4.5.2; EK-ZÜS BA-017</t>
        </is>
      </c>
      <c r="O61" s="5" t="n"/>
      <c r="P61" s="5" t="n"/>
    </row>
    <row r="62">
      <c r="A62" s="4" t="n">
        <v>61</v>
      </c>
      <c r="B62" s="4" t="inlineStr">
        <is>
          <t>CY-C09</t>
        </is>
      </c>
      <c r="C62" s="4" t="inlineStr">
        <is>
          <t>Manipulation oder Ausfall: Tragmittelüberwachung</t>
        </is>
      </c>
      <c r="D62" s="4" t="inlineStr">
        <is>
          <t>C – Komponenten und Schnittstellen</t>
        </is>
      </c>
      <c r="E62" s="4" t="inlineStr">
        <is>
          <t>CY-C09-R9</t>
        </is>
      </c>
      <c r="F62" s="4" t="n">
        <v>280</v>
      </c>
      <c r="G62" s="4" t="inlineStr">
        <is>
          <t>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aber nicht vollständig umgesetzt oder ohne Wirksamkeitsnachweis")</t>
        </is>
      </c>
      <c r="H62" s="4" t="inlineStr">
        <is>
          <t>Niedrig</t>
        </is>
      </c>
      <c r="I62" s="4" t="inlineStr">
        <is>
          <t>abgeleitet</t>
        </is>
      </c>
      <c r="J62" s="7" t="inlineStr">
        <is>
          <t>M3</t>
        </is>
      </c>
      <c r="K62" s="4" t="inlineStr">
        <is>
          <t>Offene Maßnahmen terminieren und Verantwortliche benennen</t>
        </is>
      </c>
      <c r="L62" s="4" t="inlineStr">
        <is>
          <t>Festgelegte Maßnahmen vollständig umsetzen und Wirksamkeit nachweisen</t>
        </is>
      </c>
      <c r="M62" s="4" t="inlineStr"/>
      <c r="N62" s="4" t="inlineStr">
        <is>
          <t>DIN EN 81-20 5.5.5; TRBS 1115 Teil 1 4.5.2; EK-ZÜS BA-017</t>
        </is>
      </c>
      <c r="O62" s="5" t="n"/>
      <c r="P62" s="5" t="n"/>
    </row>
    <row r="63">
      <c r="A63" s="6" t="n">
        <v>62</v>
      </c>
      <c r="B63" s="6" t="inlineStr">
        <is>
          <t>CY-C09</t>
        </is>
      </c>
      <c r="C63" s="6" t="inlineStr">
        <is>
          <t>Manipulation oder Ausfall: Tragmittelüberwachung</t>
        </is>
      </c>
      <c r="D63" s="6" t="inlineStr">
        <is>
          <t>C – Komponenten und Schnittstellen</t>
        </is>
      </c>
      <c r="E63" s="6" t="inlineStr">
        <is>
          <t>CY-C09-R11</t>
        </is>
      </c>
      <c r="F63" s="6" t="n">
        <v>260</v>
      </c>
      <c r="G63" s="6" t="inlineStr">
        <is>
          <t>((3.9.2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63" s="6" t="inlineStr">
        <is>
          <t>Niedrig</t>
        </is>
      </c>
      <c r="I63" s="6" t="inlineStr">
        <is>
          <t>abgeleitet</t>
        </is>
      </c>
      <c r="J63" s="7" t="inlineStr">
        <is>
          <t>M4</t>
        </is>
      </c>
      <c r="K63" s="6" t="inlineStr">
        <is>
          <t>Physischen Zugang zur Steuerung bzw. zum Raum beschränken (siehe Gefährdungen Zugang)</t>
        </is>
      </c>
      <c r="L63" s="6" t="inlineStr">
        <is>
          <t>Zugangskontrolle (Hardware) dauerhaft herstellen</t>
        </is>
      </c>
      <c r="M63" s="6" t="inlineStr"/>
      <c r="N63" s="6" t="inlineStr">
        <is>
          <t>DIN EN 81-20 5.5.5; TRBS 1115 Teil 1 4.5.2; EK-ZÜS BA-017</t>
        </is>
      </c>
      <c r="O63" s="5" t="n"/>
      <c r="P63" s="5" t="n"/>
    </row>
    <row r="64">
      <c r="A64" s="4" t="n">
        <v>63</v>
      </c>
      <c r="B64" s="4" t="inlineStr">
        <is>
          <t>CY-C09</t>
        </is>
      </c>
      <c r="C64" s="4" t="inlineStr">
        <is>
          <t>Manipulation oder Ausfall: Tragmittelüberwachung</t>
        </is>
      </c>
      <c r="D64" s="4" t="inlineStr">
        <is>
          <t>C – Komponenten und Schnittstellen</t>
        </is>
      </c>
      <c r="E64" s="4" t="inlineStr">
        <is>
          <t>CY-C09-R12</t>
        </is>
      </c>
      <c r="F64" s="4" t="n">
        <v>250</v>
      </c>
      <c r="G64" s="4" t="inlineStr">
        <is>
          <t>(3.9.2 Höchste vorhandene Schnittstellenkategorie der Komponente „Tragmittelüberwachung" in [„Kabelgebunden, nur vor Ort (USB, RS232/485, CAN, Ethernet, Serviceanschluss, Speicherkarte)", „Benutzerschnittstelle (Bedienfeld, Eingabeterminal, Display mit Parametrierzugang)"] UND 3.9.3 Schutzmaßnahmen nach TRBS 1115-1 für „Tragmittelüberwachung" = „Festgelegt, umgesetzt und Wirksamkeit nachgewiesen (TRBS 1115-1 Abschn. 5)")</t>
        </is>
      </c>
      <c r="H64" s="4" t="inlineStr">
        <is>
          <t>Kein Risiko</t>
        </is>
      </c>
      <c r="I64" s="4" t="inlineStr">
        <is>
          <t>hohe Sicherheit</t>
        </is>
      </c>
      <c r="J64" s="7" t="inlineStr">
        <is>
          <t>M5</t>
        </is>
      </c>
      <c r="K64" s="4" t="inlineStr">
        <is>
          <t>Zustand erhalten; Maßnahmen bei der wiederkehrenden Prüfung erneut nachweisen</t>
        </is>
      </c>
      <c r="L64" s="4" t="inlineStr"/>
      <c r="M64" s="4" t="inlineStr"/>
      <c r="N64" s="4" t="inlineStr">
        <is>
          <t>DIN EN 81-20 5.5.5; TRBS 1115 Teil 1 4.5.2; EK-ZÜS BA-017</t>
        </is>
      </c>
      <c r="O64" s="5" t="n"/>
      <c r="P64" s="5" t="n"/>
    </row>
    <row r="65">
      <c r="A65" s="6" t="n">
        <v>64</v>
      </c>
      <c r="B65" s="6" t="inlineStr">
        <is>
          <t>CY-C09</t>
        </is>
      </c>
      <c r="C65" s="6" t="inlineStr">
        <is>
          <t>Manipulation oder Ausfall: Tragmittelüberwachung</t>
        </is>
      </c>
      <c r="D65" s="6" t="inlineStr">
        <is>
          <t>C – Komponenten und Schnittstellen</t>
        </is>
      </c>
      <c r="E65" s="6" t="inlineStr">
        <is>
          <t>CY-C09-R13</t>
        </is>
      </c>
      <c r="F65" s="6" t="n">
        <v>1</v>
      </c>
      <c r="G65" s="6" t="inlineStr">
        <is>
          <t>3.9.2 Höchste vorhandene Schnittstellenkategorie der Komponente „Tragmittelüberwachung" beantwortet</t>
        </is>
      </c>
      <c r="H65" s="6" t="inlineStr">
        <is>
          <t>Kein Risiko</t>
        </is>
      </c>
      <c r="I65" s="6" t="inlineStr">
        <is>
          <t>hohe Sicherheit</t>
        </is>
      </c>
      <c r="J65" s="7" t="inlineStr">
        <is>
          <t>M6</t>
        </is>
      </c>
      <c r="K65" s="6" t="inlineStr">
        <is>
          <t>Zustand erhalten; bei der wiederkehrenden Prüfung und der Betreiberkontrolle erneut prüfen</t>
        </is>
      </c>
      <c r="L65" s="6" t="inlineStr"/>
      <c r="M65" s="6" t="inlineStr">
        <is>
          <t>Kein Risiko: keine Mangelregel trifft zu, alle Pflichtfragen beantwortet.</t>
        </is>
      </c>
      <c r="N65" s="6" t="inlineStr">
        <is>
          <t>DIN EN 81-20 5.5.5; TRBS 1115 Teil 1 4.5.2; EK-ZÜS BA-017</t>
        </is>
      </c>
      <c r="O65" s="5" t="n"/>
      <c r="P65" s="5" t="n"/>
    </row>
    <row r="66">
      <c r="A66" s="4" t="n">
        <v>65</v>
      </c>
      <c r="B66" s="4" t="inlineStr">
        <is>
          <t>CY-C10</t>
        </is>
      </c>
      <c r="C66" s="4" t="inlineStr">
        <is>
          <t>Manipulation oder Ausfall: Hydraulischer Steuerblock</t>
        </is>
      </c>
      <c r="D66" s="4" t="inlineStr">
        <is>
          <t>C – Komponenten und Schnittstellen</t>
        </is>
      </c>
      <c r="E66" s="4" t="inlineStr">
        <is>
          <t>CY-C10-R7</t>
        </is>
      </c>
      <c r="F66" s="4" t="n">
        <v>300</v>
      </c>
      <c r="G66" s="4" t="inlineStr">
        <is>
          <t>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„Keine Schutzmaßnahmen festgelegt")</t>
        </is>
      </c>
      <c r="H66" s="4" t="inlineStr">
        <is>
          <t>Mittel</t>
        </is>
      </c>
      <c r="I66" s="4" t="inlineStr">
        <is>
          <t>abgeleitet</t>
        </is>
      </c>
      <c r="J66" s="7" t="inlineStr">
        <is>
          <t>M1</t>
        </is>
      </c>
      <c r="K66" s="4" t="inlineStr">
        <is>
          <t>Serviceschnittstellen der Komponente gegen unbefugte Nutzung sichern</t>
        </is>
      </c>
      <c r="L66" s="4" t="inlineStr">
        <is>
          <t>Zugang zu Schnittstellen vor Unbefugten schützen; Parametrierung sichern und nach Änderungen prüfen.</t>
        </is>
      </c>
      <c r="M66" s="4" t="inlineStr"/>
      <c r="N66" s="4" t="inlineStr">
        <is>
          <t>DIN EN 81-20 5.9.3; TRBS 1115 Teil 1 4.5.2; EK-ZÜS BA-017</t>
        </is>
      </c>
      <c r="O66" s="5" t="n"/>
      <c r="P66" s="5" t="n"/>
    </row>
    <row r="67">
      <c r="A67" s="6" t="n">
        <v>66</v>
      </c>
      <c r="B67" s="6" t="inlineStr">
        <is>
          <t>CY-C10</t>
        </is>
      </c>
      <c r="C67" s="6" t="inlineStr">
        <is>
          <t>Manipulation oder Ausfall: Hydraulischer Steuerblock</t>
        </is>
      </c>
      <c r="D67" s="6" t="inlineStr">
        <is>
          <t>C – Komponenten und Schnittstellen</t>
        </is>
      </c>
      <c r="E67" s="6" t="inlineStr">
        <is>
          <t>CY-C10-R8</t>
        </is>
      </c>
      <c r="F67" s="6" t="n">
        <v>290</v>
      </c>
      <c r="G67" s="6" t="inlineStr">
        <is>
          <t>((3.10.2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aber nicht vollständig umgesetzt oder ohne Wirksamkeitsnachweis")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67" s="6" t="inlineStr">
        <is>
          <t>Mittel</t>
        </is>
      </c>
      <c r="I67" s="6" t="inlineStr">
        <is>
          <t>abgeleitet</t>
        </is>
      </c>
      <c r="J67" s="7" t="inlineStr">
        <is>
          <t>M2</t>
        </is>
      </c>
      <c r="K67" s="6" t="inlineStr">
        <is>
          <t>Zugang beschränken; offene Maßnahmen priorisiert umsetzen</t>
        </is>
      </c>
      <c r="L67" s="6" t="inlineStr">
        <is>
          <t>Festgelegte Maßnahmen vollständig umsetzen und Wirksamkeit nachweisen</t>
        </is>
      </c>
      <c r="M67" s="6" t="inlineStr"/>
      <c r="N67" s="6" t="inlineStr">
        <is>
          <t>DIN EN 81-20 5.9.3; TRBS 1115 Teil 1 4.5.2; EK-ZÜS BA-017</t>
        </is>
      </c>
      <c r="O67" s="5" t="n"/>
      <c r="P67" s="5" t="n"/>
    </row>
    <row r="68">
      <c r="A68" s="4" t="n">
        <v>67</v>
      </c>
      <c r="B68" s="4" t="inlineStr">
        <is>
          <t>CY-C10</t>
        </is>
      </c>
      <c r="C68" s="4" t="inlineStr">
        <is>
          <t>Manipulation oder Ausfall: Hydraulischer Steuerblock</t>
        </is>
      </c>
      <c r="D68" s="4" t="inlineStr">
        <is>
          <t>C – Komponenten und Schnittstellen</t>
        </is>
      </c>
      <c r="E68" s="4" t="inlineStr">
        <is>
          <t>CY-C10-R9</t>
        </is>
      </c>
      <c r="F68" s="4" t="n">
        <v>280</v>
      </c>
      <c r="G68" s="4" t="inlineStr">
        <is>
          <t>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aber nicht vollständig umgesetzt oder ohne Wirksamkeitsnachweis")</t>
        </is>
      </c>
      <c r="H68" s="4" t="inlineStr">
        <is>
          <t>Niedrig</t>
        </is>
      </c>
      <c r="I68" s="4" t="inlineStr">
        <is>
          <t>abgeleitet</t>
        </is>
      </c>
      <c r="J68" s="7" t="inlineStr">
        <is>
          <t>M3</t>
        </is>
      </c>
      <c r="K68" s="4" t="inlineStr">
        <is>
          <t>Offene Maßnahmen terminieren und Verantwortliche benennen</t>
        </is>
      </c>
      <c r="L68" s="4" t="inlineStr">
        <is>
          <t>Festgelegte Maßnahmen vollständig umsetzen und Wirksamkeit nachweisen</t>
        </is>
      </c>
      <c r="M68" s="4" t="inlineStr"/>
      <c r="N68" s="4" t="inlineStr">
        <is>
          <t>DIN EN 81-20 5.9.3; TRBS 1115 Teil 1 4.5.2; EK-ZÜS BA-017</t>
        </is>
      </c>
      <c r="O68" s="5" t="n"/>
      <c r="P68" s="5" t="n"/>
    </row>
    <row r="69">
      <c r="A69" s="6" t="n">
        <v>68</v>
      </c>
      <c r="B69" s="6" t="inlineStr">
        <is>
          <t>CY-C10</t>
        </is>
      </c>
      <c r="C69" s="6" t="inlineStr">
        <is>
          <t>Manipulation oder Ausfall: Hydraulischer Steuerblock</t>
        </is>
      </c>
      <c r="D69" s="6" t="inlineStr">
        <is>
          <t>C – Komponenten und Schnittstellen</t>
        </is>
      </c>
      <c r="E69" s="6" t="inlineStr">
        <is>
          <t>CY-C10-R11</t>
        </is>
      </c>
      <c r="F69" s="6" t="n">
        <v>260</v>
      </c>
      <c r="G69" s="6" t="inlineStr">
        <is>
          <t>((3.10.2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umgesetzt und Wirksamkeit nachgewiesen (TRBS 1115-1 Abschn. 5)") UND (2.1 Ist die Aufzugssteuerung (Steuerschrank, Bedien-/Serviceeinheit) für Unbefugte frei zugänglich? = Ja ODER 2.2 Ist der Triebwerks-/Maschinenraum für Unbefugte frei zugänglich? = Ja ODER 2.3 Ist der Aufzugsschacht für Unbefugte frei zugänglich (Grubenzugang, Schachttür ohne Notentriegelungsschutz, offene Wartungsklappe)? = Ja))</t>
        </is>
      </c>
      <c r="H69" s="6" t="inlineStr">
        <is>
          <t>Niedrig</t>
        </is>
      </c>
      <c r="I69" s="6" t="inlineStr">
        <is>
          <t>abgeleitet</t>
        </is>
      </c>
      <c r="J69" s="7" t="inlineStr">
        <is>
          <t>M4</t>
        </is>
      </c>
      <c r="K69" s="6" t="inlineStr">
        <is>
          <t>Physischen Zugang zur Steuerung bzw. zum Raum beschränken (siehe Gefährdungen Zugang)</t>
        </is>
      </c>
      <c r="L69" s="6" t="inlineStr">
        <is>
          <t>Zugangskontrolle (Hardware) dauerhaft herstellen</t>
        </is>
      </c>
      <c r="M69" s="6" t="inlineStr"/>
      <c r="N69" s="6" t="inlineStr">
        <is>
          <t>DIN EN 81-20 5.9.3; TRBS 1115 Teil 1 4.5.2; EK-ZÜS BA-017</t>
        </is>
      </c>
      <c r="O69" s="5" t="n"/>
      <c r="P69" s="5" t="n"/>
    </row>
    <row r="70">
      <c r="A70" s="4" t="n">
        <v>69</v>
      </c>
      <c r="B70" s="4" t="inlineStr">
        <is>
          <t>CY-C10</t>
        </is>
      </c>
      <c r="C70" s="4" t="inlineStr">
        <is>
          <t>Manipulation oder Ausfall: Hydraulischer Steuerblock</t>
        </is>
      </c>
      <c r="D70" s="4" t="inlineStr">
        <is>
          <t>C – Komponenten und Schnittstellen</t>
        </is>
      </c>
      <c r="E70" s="4" t="inlineStr">
        <is>
          <t>CY-C10-R12</t>
        </is>
      </c>
      <c r="F70" s="4" t="n">
        <v>250</v>
      </c>
      <c r="G70" s="4" t="inlineStr">
        <is>
          <t>(3.10.2 Höchste vorhandene Schnittstellenkategorie der Komponente „Hydraulischer Steuerblock" in [„Kabelgebunden, nur vor Ort (USB, RS232/485, CAN, Ethernet, Serviceanschluss, Speicherkarte)", „Benutzerschnittstelle (Bedienfeld, Eingabeterminal, Display mit Parametrierzugang)"] UND 3.10.3 Schutzmaßnahmen nach TRBS 1115-1 für „Hydraulischer Steuerblock" = „Festgelegt, umgesetzt und Wirksamkeit nachgewiesen (TRBS 1115-1 Abschn. 5)")</t>
        </is>
      </c>
      <c r="H70" s="4" t="inlineStr">
        <is>
          <t>Kein Risiko</t>
        </is>
      </c>
      <c r="I70" s="4" t="inlineStr">
        <is>
          <t>hohe Sicherheit</t>
        </is>
      </c>
      <c r="J70" s="7" t="inlineStr">
        <is>
          <t>M5</t>
        </is>
      </c>
      <c r="K70" s="4" t="inlineStr">
        <is>
          <t>Zustand erhalten; Maßnahmen bei der wiederkehrenden Prüfung erneut nachweisen</t>
        </is>
      </c>
      <c r="L70" s="4" t="inlineStr"/>
      <c r="M70" s="4" t="inlineStr"/>
      <c r="N70" s="4" t="inlineStr">
        <is>
          <t>DIN EN 81-20 5.9.3; TRBS 1115 Teil 1 4.5.2; EK-ZÜS BA-017</t>
        </is>
      </c>
      <c r="O70" s="5" t="n"/>
      <c r="P70" s="5" t="n"/>
    </row>
    <row r="71">
      <c r="A71" s="6" t="n">
        <v>70</v>
      </c>
      <c r="B71" s="6" t="inlineStr">
        <is>
          <t>CY-C10</t>
        </is>
      </c>
      <c r="C71" s="6" t="inlineStr">
        <is>
          <t>Manipulation oder Ausfall: Hydraulischer Steuerblock</t>
        </is>
      </c>
      <c r="D71" s="6" t="inlineStr">
        <is>
          <t>C – Komponenten und Schnittstellen</t>
        </is>
      </c>
      <c r="E71" s="6" t="inlineStr">
        <is>
          <t>CY-C10-R13</t>
        </is>
      </c>
      <c r="F71" s="6" t="n">
        <v>1</v>
      </c>
      <c r="G71" s="6" t="inlineStr">
        <is>
          <t>3.10.2 Höchste vorhandene Schnittstellenkategorie der Komponente „Hydraulischer Steuerblock" beantwortet</t>
        </is>
      </c>
      <c r="H71" s="6" t="inlineStr">
        <is>
          <t>Kein Risiko</t>
        </is>
      </c>
      <c r="I71" s="6" t="inlineStr">
        <is>
          <t>hohe Sicherheit</t>
        </is>
      </c>
      <c r="J71" s="7" t="inlineStr">
        <is>
          <t>M6</t>
        </is>
      </c>
      <c r="K71" s="6" t="inlineStr">
        <is>
          <t>Zustand erhalten; bei der wiederkehrenden Prüfung und der Betreiberkontrolle erneut prüfen</t>
        </is>
      </c>
      <c r="L71" s="6" t="inlineStr"/>
      <c r="M71" s="6" t="inlineStr">
        <is>
          <t>Kein Risiko: keine Mangelregel trifft zu, alle Pflichtfragen beantwortet.</t>
        </is>
      </c>
      <c r="N71" s="6" t="inlineStr">
        <is>
          <t>DIN EN 81-20 5.9.3; TRBS 1115 Teil 1 4.5.2; EK-ZÜS BA-017</t>
        </is>
      </c>
      <c r="O71" s="5" t="n"/>
      <c r="P71" s="5" t="n"/>
    </row>
    <row r="72">
      <c r="A72" s="4" t="n">
        <v>71</v>
      </c>
      <c r="B72" s="4" t="inlineStr">
        <is>
          <t>CY-C11</t>
        </is>
      </c>
      <c r="C72" s="4" t="inlineStr">
        <is>
          <t>Unbefugter Zugriff über die Fernüberwachung</t>
        </is>
      </c>
      <c r="D72" s="4" t="inlineStr">
        <is>
          <t>C – Komponenten und Schnittstellen</t>
        </is>
      </c>
      <c r="E72" s="4" t="inlineStr">
        <is>
          <t>CY-C11-R3</t>
        </is>
      </c>
      <c r="F72" s="4" t="n">
        <v>300</v>
      </c>
      <c r="G72" s="4" t="inlineStr">
        <is>
          <t>(4.1 Ist das Aufzugsnetz vom Gebäude-/Büronetz und vom Internet getrennt (eigenes Segment, Firewall, keine direkte Erreichbarkeit der Steuerung von außen)? = Ja UND 3.11.2 Ist die Fernüberwachung ausschließlich lesend (kein Schreib-, Steuer- oder Parametrierzugriff über diesen Kanal)? = Nein UND 4.3 Ist der Fernzugriff individuell authentifiziert (personenbezogene Zugänge, Zwei-Faktor oder gleichwertig) und verschlüsselt? = Nein)</t>
        </is>
      </c>
      <c r="H72" s="4" t="inlineStr">
        <is>
          <t>Mittel</t>
        </is>
      </c>
      <c r="I72" s="4" t="inlineStr">
        <is>
          <t>abgeleitet</t>
        </is>
      </c>
      <c r="J72" s="4" t="inlineStr"/>
      <c r="K72" s="4" t="inlineStr">
        <is>
          <t>Schreibzugriffe über die Fernüberwachung bis zur individuellen Authentifizierung sperren</t>
        </is>
      </c>
      <c r="L72" s="4" t="inlineStr">
        <is>
          <t>Individuelle, verschlüsselte Authentifizierung für den Kanal einführen</t>
        </is>
      </c>
      <c r="M72" s="4" t="inlineStr"/>
      <c r="N72" s="4" t="inlineStr">
        <is>
          <t>TRBS 1115 Teil 1 4.5.2 Segmentierung, Überwachung; DEKRA Ausfüllhilfe Cybersicherheit 09/2024 Schritt 3</t>
        </is>
      </c>
      <c r="O72" s="5" t="n"/>
      <c r="P72" s="5" t="n"/>
    </row>
    <row r="73">
      <c r="A73" s="6" t="n">
        <v>72</v>
      </c>
      <c r="B73" s="6" t="inlineStr">
        <is>
          <t>CY-C11</t>
        </is>
      </c>
      <c r="C73" s="6" t="inlineStr">
        <is>
          <t>Unbefugter Zugriff über die Fernüberwachung</t>
        </is>
      </c>
      <c r="D73" s="6" t="inlineStr">
        <is>
          <t>C – Komponenten und Schnittstellen</t>
        </is>
      </c>
      <c r="E73" s="6" t="inlineStr">
        <is>
          <t>CY-C11-R4</t>
        </is>
      </c>
      <c r="F73" s="6" t="n">
        <v>250</v>
      </c>
      <c r="G73" s="6" t="inlineStr">
        <is>
          <t>(4.1 Ist das Aufzugsnetz vom Gebäude-/Büronetz und vom Internet getrennt (eigenes Segment, Firewall, keine direkte Erreichbarkeit der Steuerung von außen)? = Ja UND 3.11.2 Ist die Fernüberwachung ausschließlich lesend (kein Schreib-, Steuer- oder Parametrierzugriff über diesen Kanal)? = Nein UND 4.3 Ist der Fernzugriff individuell authentifiziert (personenbezogene Zugänge, Zwei-Faktor oder gleichwertig) und verschlüsselt? = Ja UND 4.4 Werden Zugriffe auf die Anlage (vor Ort über Servicegeräte und per Fernzugriff) protokolliert und die Protokolle ausgewertet? = Nein)</t>
        </is>
      </c>
      <c r="H73" s="6" t="inlineStr">
        <is>
          <t>Niedrig</t>
        </is>
      </c>
      <c r="I73" s="6" t="inlineStr">
        <is>
          <t>abgeleitet</t>
        </is>
      </c>
      <c r="J73" s="6" t="inlineStr"/>
      <c r="K73" s="6" t="inlineStr">
        <is>
          <t>Zugriffsprotokollierung aktivieren</t>
        </is>
      </c>
      <c r="L73" s="6" t="inlineStr">
        <is>
          <t>Protokolle regelmäßig auswerten (Überwachung nach TRBS 1115-1)</t>
        </is>
      </c>
      <c r="M73" s="6" t="inlineStr"/>
      <c r="N73" s="6" t="inlineStr">
        <is>
          <t>TRBS 1115 Teil 1 4.5.2 Segmentierung, Überwachung; DEKRA Ausfüllhilfe Cybersicherheit 09/2024 Schritt 3</t>
        </is>
      </c>
      <c r="O73" s="5" t="n"/>
      <c r="P73" s="5" t="n"/>
    </row>
    <row r="74">
      <c r="A74" s="4" t="n">
        <v>73</v>
      </c>
      <c r="B74" s="4" t="inlineStr">
        <is>
          <t>CY-C11</t>
        </is>
      </c>
      <c r="C74" s="4" t="inlineStr">
        <is>
          <t>Unbefugter Zugriff über die Fernüberwachung</t>
        </is>
      </c>
      <c r="D74" s="4" t="inlineStr">
        <is>
          <t>C – Komponenten und Schnittstellen</t>
        </is>
      </c>
      <c r="E74" s="4" t="inlineStr">
        <is>
          <t>CY-C11-R5</t>
        </is>
      </c>
      <c r="F74" s="4" t="n">
        <v>1</v>
      </c>
      <c r="G74" s="4" t="inlineStr">
        <is>
          <t>4.4 Werden Zugriffe auf die Anlage (vor Ort über Servicegeräte und per Fernzugriff) protokolliert und die Protokolle ausgewertet? beantwortet</t>
        </is>
      </c>
      <c r="H74" s="4" t="inlineStr">
        <is>
          <t>Kein Risiko</t>
        </is>
      </c>
      <c r="I74" s="4" t="inlineStr">
        <is>
          <t>hohe Sicherheit</t>
        </is>
      </c>
      <c r="J74" s="4" t="inlineStr"/>
      <c r="K74" s="4" t="inlineStr">
        <is>
          <t>Zustand erhalten; bei der wiederkehrenden Prüfung und der Betreiberkontrolle erneut prüfen</t>
        </is>
      </c>
      <c r="L74" s="4" t="inlineStr"/>
      <c r="M74" s="4" t="inlineStr">
        <is>
          <t>Kein Risiko: keine Mangelregel trifft zu, alle Pflichtfragen beantwortet.</t>
        </is>
      </c>
      <c r="N74" s="4" t="inlineStr">
        <is>
          <t>TRBS 1115 Teil 1 4.5.2 Segmentierung, Überwachung; DEKRA Ausfüllhilfe Cybersicherheit 09/2024 Schritt 3</t>
        </is>
      </c>
      <c r="O74" s="5" t="n"/>
      <c r="P74" s="5" t="n"/>
    </row>
    <row r="75">
      <c r="A75" s="6" t="n">
        <v>74</v>
      </c>
      <c r="B75" s="6" t="inlineStr">
        <is>
          <t>CY-C12</t>
        </is>
      </c>
      <c r="C75" s="6" t="inlineStr">
        <is>
          <t>Unbefugter Fernzugriff über Remote-Service / Fernwartung</t>
        </is>
      </c>
      <c r="D75" s="6" t="inlineStr">
        <is>
          <t>C – Komponenten und Schnittstellen</t>
        </is>
      </c>
      <c r="E75" s="6" t="inlineStr">
        <is>
          <t>CY-C12-R4</t>
        </is>
      </c>
      <c r="F75" s="6" t="n">
        <v>290</v>
      </c>
      <c r="G75" s="6" t="inlineStr">
        <is>
          <t>4.3 Ist der Fernzugriff individuell authentifiziert (personenbezogene Zugänge, Zwei-Faktor oder gleichwertig) und verschlüsselt? = Nein</t>
        </is>
      </c>
      <c r="H75" s="6" t="inlineStr">
        <is>
          <t>Mittel</t>
        </is>
      </c>
      <c r="I75" s="6" t="inlineStr">
        <is>
          <t>abgeleitet</t>
        </is>
      </c>
      <c r="J75" s="6" t="inlineStr"/>
      <c r="K75" s="6" t="inlineStr">
        <is>
          <t>Gemeinsam genutzte oder unverschlüsselte Fernzugänge sperren</t>
        </is>
      </c>
      <c r="L75" s="6" t="inlineStr">
        <is>
          <t>Individuelle, verschlüsselte Authentifizierung (Zwei-Faktor oder gleichwertig) einführen</t>
        </is>
      </c>
      <c r="M75" s="6" t="inlineStr"/>
      <c r="N75" s="6" t="inlineStr">
        <is>
          <t>TRBS 1115 Teil 1 4.5.2 Zugangskontrolle, Segmentierung, Überwachung; DEKRA Ausfüllhilfe Cybersicherheit 09/2024 Schritt 3; EK-ZÜS BA-017</t>
        </is>
      </c>
      <c r="O75" s="5" t="n"/>
      <c r="P75" s="5" t="n"/>
    </row>
    <row r="76">
      <c r="A76" s="4" t="n">
        <v>75</v>
      </c>
      <c r="B76" s="4" t="inlineStr">
        <is>
          <t>CY-C12</t>
        </is>
      </c>
      <c r="C76" s="4" t="inlineStr">
        <is>
          <t>Unbefugter Fernzugriff über Remote-Service / Fernwartung</t>
        </is>
      </c>
      <c r="D76" s="4" t="inlineStr">
        <is>
          <t>C – Komponenten und Schnittstellen</t>
        </is>
      </c>
      <c r="E76" s="4" t="inlineStr">
        <is>
          <t>CY-C12-R5</t>
        </is>
      </c>
      <c r="F76" s="4" t="n">
        <v>280</v>
      </c>
      <c r="G76" s="4" t="inlineStr">
        <is>
          <t>4.1 Ist das Aufzugsnetz vom Gebäude-/Büronetz und vom Internet getrennt (eigenes Segment, Firewall, keine direkte Erreichbarkeit der Steuerung von außen)? = Nein</t>
        </is>
      </c>
      <c r="H76" s="4" t="inlineStr">
        <is>
          <t>Mittel</t>
        </is>
      </c>
      <c r="I76" s="4" t="inlineStr">
        <is>
          <t>abgeleitet</t>
        </is>
      </c>
      <c r="J76" s="4" t="inlineStr"/>
      <c r="K76" s="4" t="inlineStr">
        <is>
          <t>Direkte Erreichbarkeit der Steuerung aus Fremdnetzen unterbinden</t>
        </is>
      </c>
      <c r="L76" s="4" t="inlineStr">
        <is>
          <t>Aufzugsnetz vom Gebäude-/Büronetz und Internet trennen (Segmentierung)</t>
        </is>
      </c>
      <c r="M76" s="4" t="inlineStr"/>
      <c r="N76" s="4" t="inlineStr">
        <is>
          <t>TRBS 1115 Teil 1 4.5.2 Zugangskontrolle, Segmentierung, Überwachung; DEKRA Ausfüllhilfe Cybersicherheit 09/2024 Schritt 3; EK-ZÜS BA-017</t>
        </is>
      </c>
      <c r="O76" s="5" t="n"/>
      <c r="P76" s="5" t="n"/>
    </row>
    <row r="77">
      <c r="A77" s="6" t="n">
        <v>76</v>
      </c>
      <c r="B77" s="6" t="inlineStr">
        <is>
          <t>CY-C12</t>
        </is>
      </c>
      <c r="C77" s="6" t="inlineStr">
        <is>
          <t>Unbefugter Fernzugriff über Remote-Service / Fernwartung</t>
        </is>
      </c>
      <c r="D77" s="6" t="inlineStr">
        <is>
          <t>C – Komponenten und Schnittstellen</t>
        </is>
      </c>
      <c r="E77" s="6" t="inlineStr">
        <is>
          <t>CY-C12-R6</t>
        </is>
      </c>
      <c r="F77" s="6" t="n">
        <v>250</v>
      </c>
      <c r="G77" s="6" t="inlineStr">
        <is>
          <t>4.4 Werden Zugriffe auf die Anlage (vor Ort über Servicegeräte und per Fernzugriff) protokolliert und die Protokolle ausgewertet? = Nein</t>
        </is>
      </c>
      <c r="H77" s="6" t="inlineStr">
        <is>
          <t>Niedrig</t>
        </is>
      </c>
      <c r="I77" s="6" t="inlineStr">
        <is>
          <t>abgeleitet</t>
        </is>
      </c>
      <c r="J77" s="6" t="inlineStr"/>
      <c r="K77" s="6" t="inlineStr">
        <is>
          <t>Protokollierung der Fernzugriffe aktivieren</t>
        </is>
      </c>
      <c r="L77" s="6" t="inlineStr">
        <is>
          <t>Protokolle regelmäßig auswerten (Überwachung nach TRBS 1115-1)</t>
        </is>
      </c>
      <c r="M77" s="6" t="inlineStr"/>
      <c r="N77" s="6" t="inlineStr">
        <is>
          <t>TRBS 1115 Teil 1 4.5.2 Zugangskontrolle, Segmentierung, Überwachung; DEKRA Ausfüllhilfe Cybersicherheit 09/2024 Schritt 3; EK-ZÜS BA-017</t>
        </is>
      </c>
      <c r="O77" s="5" t="n"/>
      <c r="P77" s="5" t="n"/>
    </row>
    <row r="78">
      <c r="A78" s="4" t="n">
        <v>77</v>
      </c>
      <c r="B78" s="4" t="inlineStr">
        <is>
          <t>CY-C12</t>
        </is>
      </c>
      <c r="C78" s="4" t="inlineStr">
        <is>
          <t>Unbefugter Fernzugriff über Remote-Service / Fernwartung</t>
        </is>
      </c>
      <c r="D78" s="4" t="inlineStr">
        <is>
          <t>C – Komponenten und Schnittstellen</t>
        </is>
      </c>
      <c r="E78" s="4" t="inlineStr">
        <is>
          <t>CY-C12-R7</t>
        </is>
      </c>
      <c r="F78" s="4" t="n">
        <v>1</v>
      </c>
      <c r="G78" s="4" t="inlineStr">
        <is>
          <t>4.4 Werden Zugriffe auf die Anlage (vor Ort über Servicegeräte und per Fernzugriff) protokolliert und die Protokolle ausgewertet? beantwortet</t>
        </is>
      </c>
      <c r="H78" s="4" t="inlineStr">
        <is>
          <t>Kein Risiko</t>
        </is>
      </c>
      <c r="I78" s="4" t="inlineStr">
        <is>
          <t>hohe Sicherheit</t>
        </is>
      </c>
      <c r="J78" s="4" t="inlineStr"/>
      <c r="K78" s="4" t="inlineStr">
        <is>
          <t>Zustand erhalten; bei der wiederkehrenden Prüfung und der Betreiberkontrolle erneut prüfen</t>
        </is>
      </c>
      <c r="L78" s="4" t="inlineStr"/>
      <c r="M78" s="4" t="inlineStr">
        <is>
          <t>Kein Risiko: keine Mangelregel trifft zu, alle Pflichtfragen beantwortet.</t>
        </is>
      </c>
      <c r="N78" s="4" t="inlineStr">
        <is>
          <t>TRBS 1115 Teil 1 4.5.2 Zugangskontrolle, Segmentierung, Überwachung; DEKRA Ausfüllhilfe Cybersicherheit 09/2024 Schritt 3; EK-ZÜS BA-017</t>
        </is>
      </c>
      <c r="O78" s="5" t="n"/>
      <c r="P78" s="5" t="n"/>
    </row>
    <row r="79">
      <c r="A79" s="6" t="n">
        <v>78</v>
      </c>
      <c r="B79" s="6" t="inlineStr">
        <is>
          <t>CY-C13</t>
        </is>
      </c>
      <c r="C79" s="6" t="inlineStr">
        <is>
          <t>Ungesichertes Gateway / Router / Modem als Einstieg in das Aufzugsnetz</t>
        </is>
      </c>
      <c r="D79" s="6" t="inlineStr">
        <is>
          <t>C – Komponenten und Schnittstellen</t>
        </is>
      </c>
      <c r="E79" s="6" t="inlineStr">
        <is>
          <t>CY-C13-R2</t>
        </is>
      </c>
      <c r="F79" s="6" t="n">
        <v>300</v>
      </c>
      <c r="G79" s="6" t="inlineStr">
        <is>
          <t>3.13.2 Ist das Gateway mit Firewall/Netztrennung zur Aufzugssteuerung konfiguriert und sind nur benötigte Ports und Dienste freigegeben? = Nein</t>
        </is>
      </c>
      <c r="H79" s="6" t="inlineStr">
        <is>
          <t>Mittel</t>
        </is>
      </c>
      <c r="I79" s="6" t="inlineStr">
        <is>
          <t>abgeleitet</t>
        </is>
      </c>
      <c r="J79" s="6" t="inlineStr"/>
      <c r="K79" s="6" t="inlineStr">
        <is>
          <t>Nicht benötigte Ports und Dienste am Gateway schließen</t>
        </is>
      </c>
      <c r="L79" s="6" t="inlineStr">
        <is>
          <t>Firewall/Netztrennung zwischen Gateway und Aufzugssteuerung einrichten</t>
        </is>
      </c>
      <c r="M79" s="6" t="inlineStr"/>
      <c r="N79" s="6" t="inlineStr">
        <is>
          <t>TRBS 1115 Teil 1 4.5.2 Segmentierung, Härtung; DEKRA Ausfüllhilfe Cybersicherheit 09/2024 Schritt 3</t>
        </is>
      </c>
      <c r="O79" s="5" t="n"/>
      <c r="P79" s="5" t="n"/>
    </row>
    <row r="80">
      <c r="A80" s="4" t="n">
        <v>79</v>
      </c>
      <c r="B80" s="4" t="inlineStr">
        <is>
          <t>CY-C13</t>
        </is>
      </c>
      <c r="C80" s="4" t="inlineStr">
        <is>
          <t>Ungesichertes Gateway / Router / Modem als Einstieg in das Aufzugsnetz</t>
        </is>
      </c>
      <c r="D80" s="4" t="inlineStr">
        <is>
          <t>C – Komponenten und Schnittstellen</t>
        </is>
      </c>
      <c r="E80" s="4" t="inlineStr">
        <is>
          <t>CY-C13-R3</t>
        </is>
      </c>
      <c r="F80" s="4" t="n">
        <v>290</v>
      </c>
      <c r="G80" s="4" t="inlineStr">
        <is>
          <t>3.13.3 Sind die Werkszugangsdaten des Gateways/Routers geändert und ist die Administration nur für Berechtigte erreichbar? = Nein</t>
        </is>
      </c>
      <c r="H80" s="4" t="inlineStr">
        <is>
          <t>Mittel</t>
        </is>
      </c>
      <c r="I80" s="4" t="inlineStr">
        <is>
          <t>abgeleitet</t>
        </is>
      </c>
      <c r="J80" s="4" t="inlineStr"/>
      <c r="K80" s="4" t="inlineStr">
        <is>
          <t>Werkszugangsdaten des Gateways ändern; Administration nur aus dem Aufzugsnetz zulassen</t>
        </is>
      </c>
      <c r="L80" s="4" t="inlineStr">
        <is>
          <t>Zugangskontrolle (Software) für Netzkomponenten festlegen</t>
        </is>
      </c>
      <c r="M80" s="4" t="inlineStr"/>
      <c r="N80" s="4" t="inlineStr">
        <is>
          <t>TRBS 1115 Teil 1 4.5.2 Segmentierung, Härtung; DEKRA Ausfüllhilfe Cybersicherheit 09/2024 Schritt 3</t>
        </is>
      </c>
      <c r="O80" s="5" t="n"/>
      <c r="P80" s="5" t="n"/>
    </row>
    <row r="81">
      <c r="A81" s="6" t="n">
        <v>80</v>
      </c>
      <c r="B81" s="6" t="inlineStr">
        <is>
          <t>CY-C13</t>
        </is>
      </c>
      <c r="C81" s="6" t="inlineStr">
        <is>
          <t>Ungesichertes Gateway / Router / Modem als Einstieg in das Aufzugsnetz</t>
        </is>
      </c>
      <c r="D81" s="6" t="inlineStr">
        <is>
          <t>C – Komponenten und Schnittstellen</t>
        </is>
      </c>
      <c r="E81" s="6" t="inlineStr">
        <is>
          <t>CY-C13-R4</t>
        </is>
      </c>
      <c r="F81" s="6" t="n">
        <v>250</v>
      </c>
      <c r="G81" s="6" t="inlineStr">
        <is>
          <t>3.13.4 Ist die Firmware des Gateways aktuell und ein Update-Verfahren geregelt? = Nein</t>
        </is>
      </c>
      <c r="H81" s="6" t="inlineStr">
        <is>
          <t>Niedrig</t>
        </is>
      </c>
      <c r="I81" s="6" t="inlineStr">
        <is>
          <t>abgeleitet</t>
        </is>
      </c>
      <c r="J81" s="6" t="inlineStr"/>
      <c r="K81" s="6" t="inlineStr">
        <is>
          <t>Firmwarestand prüfen und Herstellerhinweise einholen</t>
        </is>
      </c>
      <c r="L81" s="6" t="inlineStr">
        <is>
          <t>Update-Verfahren für Netzkomponenten festlegen</t>
        </is>
      </c>
      <c r="M81" s="6" t="inlineStr"/>
      <c r="N81" s="6" t="inlineStr">
        <is>
          <t>TRBS 1115 Teil 1 4.5.2 Segmentierung, Härtung; DEKRA Ausfüllhilfe Cybersicherheit 09/2024 Schritt 3</t>
        </is>
      </c>
      <c r="O81" s="5" t="n"/>
      <c r="P81" s="5" t="n"/>
    </row>
    <row r="82">
      <c r="A82" s="4" t="n">
        <v>81</v>
      </c>
      <c r="B82" s="4" t="inlineStr">
        <is>
          <t>CY-C13</t>
        </is>
      </c>
      <c r="C82" s="4" t="inlineStr">
        <is>
          <t>Ungesichertes Gateway / Router / Modem als Einstieg in das Aufzugsnetz</t>
        </is>
      </c>
      <c r="D82" s="4" t="inlineStr">
        <is>
          <t>C – Komponenten und Schnittstellen</t>
        </is>
      </c>
      <c r="E82" s="4" t="inlineStr">
        <is>
          <t>CY-C13-R5</t>
        </is>
      </c>
      <c r="F82" s="4" t="n">
        <v>1</v>
      </c>
      <c r="G82" s="4" t="inlineStr">
        <is>
          <t>3.13.2 Ist das Gateway mit Firewall/Netztrennung zur Aufzugssteuerung konfiguriert und sind nur benötigte Ports und Dienste freigegeben? beantwortet</t>
        </is>
      </c>
      <c r="H82" s="4" t="inlineStr">
        <is>
          <t>Kein Risiko</t>
        </is>
      </c>
      <c r="I82" s="4" t="inlineStr">
        <is>
          <t>hohe Sicherheit</t>
        </is>
      </c>
      <c r="J82" s="4" t="inlineStr"/>
      <c r="K82" s="4" t="inlineStr">
        <is>
          <t>Zustand erhalten; bei der wiederkehrenden Prüfung und der Betreiberkontrolle erneut prüfen</t>
        </is>
      </c>
      <c r="L82" s="4" t="inlineStr"/>
      <c r="M82" s="4" t="inlineStr">
        <is>
          <t>Kein Risiko: keine Mangelregel trifft zu, alle Pflichtfragen beantwortet.</t>
        </is>
      </c>
      <c r="N82" s="4" t="inlineStr">
        <is>
          <t>TRBS 1115 Teil 1 4.5.2 Segmentierung, Härtung; DEKRA Ausfüllhilfe Cybersicherheit 09/2024 Schritt 3</t>
        </is>
      </c>
      <c r="O82" s="5" t="n"/>
      <c r="P82" s="5" t="n"/>
    </row>
    <row r="83">
      <c r="A83" s="6" t="n">
        <v>82</v>
      </c>
      <c r="B83" s="6" t="inlineStr">
        <is>
          <t>CY-C14</t>
        </is>
      </c>
      <c r="C83" s="6" t="inlineStr">
        <is>
          <t>Manipulierbare Gebäudeschnittstelle (Brandfallsteuerung, Entrauchung, Gebäudeleittechnik)</t>
        </is>
      </c>
      <c r="D83" s="6" t="inlineStr">
        <is>
          <t>C – Komponenten und Schnittstellen</t>
        </is>
      </c>
      <c r="E83" s="6" t="inlineStr">
        <is>
          <t>CY-C14-R2</t>
        </is>
      </c>
      <c r="F83" s="6" t="n">
        <v>300</v>
      </c>
      <c r="G83" s="6" t="inlineStr">
        <is>
          <t>3.14.2 Nimmt der Aufzug bei Ausfall oder Manipulation des bauseitigen Signals (z. B. Brandfallsteuerung) einen sicheren Zustand ein (Brandfallfahrt in die Evakuierungshaltestelle, kein Weiterbetrieb)? = Nein</t>
        </is>
      </c>
      <c r="H83" s="6" t="inlineStr">
        <is>
          <t>Mittel</t>
        </is>
      </c>
      <c r="I83" s="6" t="inlineStr">
        <is>
          <t>abgeleitet</t>
        </is>
      </c>
      <c r="J83" s="6" t="inlineStr"/>
      <c r="K83" s="6" t="inlineStr">
        <is>
          <t>Verhalten bei Signalausfall/Manipulation mit Hersteller klären</t>
        </is>
      </c>
      <c r="L83" s="6" t="inlineStr">
        <is>
          <t>Sicheren Zustand bei Signalausfall (Brandfallfahrt, Sperrung) konfigurieren und prüfen</t>
        </is>
      </c>
      <c r="M83" s="6" t="inlineStr"/>
      <c r="N83" s="6" t="inlineStr">
        <is>
          <t>TRBS 1115 Teil 1 4.5.2 Rückwirkungsfreiheit; DIN EN 81-73 5.2; EK-ZÜS B-002 rev. 5 Anhang 2 Nr. 9</t>
        </is>
      </c>
      <c r="O83" s="5" t="n"/>
      <c r="P83" s="5" t="n"/>
    </row>
    <row r="84">
      <c r="A84" s="4" t="n">
        <v>83</v>
      </c>
      <c r="B84" s="4" t="inlineStr">
        <is>
          <t>CY-C14</t>
        </is>
      </c>
      <c r="C84" s="4" t="inlineStr">
        <is>
          <t>Manipulierbare Gebäudeschnittstelle (Brandfallsteuerung, Entrauchung, Gebäudeleittechnik)</t>
        </is>
      </c>
      <c r="D84" s="4" t="inlineStr">
        <is>
          <t>C – Komponenten und Schnittstellen</t>
        </is>
      </c>
      <c r="E84" s="4" t="inlineStr">
        <is>
          <t>CY-C14-R3</t>
        </is>
      </c>
      <c r="F84" s="4" t="n">
        <v>1</v>
      </c>
      <c r="G84" s="4" t="inlineStr">
        <is>
          <t>3.14.1 Ist die Schnittstelle zu den bauseitigen Systemen rückwirkungsfrei (definierte Signale/potenzialfreie Kontakte; bauseitige Signale können Sicherheitsfunktionen des Aufzugs nicht außer Kraft setzen)? beantwortet</t>
        </is>
      </c>
      <c r="H84" s="4" t="inlineStr">
        <is>
          <t>Kein Risiko</t>
        </is>
      </c>
      <c r="I84" s="4" t="inlineStr">
        <is>
          <t>hohe Sicherheit</t>
        </is>
      </c>
      <c r="J84" s="4" t="inlineStr"/>
      <c r="K84" s="4" t="inlineStr">
        <is>
          <t>Zustand erhalten; bei der wiederkehrenden Prüfung und der Betreiberkontrolle erneut prüfen</t>
        </is>
      </c>
      <c r="L84" s="4" t="inlineStr"/>
      <c r="M84" s="4" t="inlineStr">
        <is>
          <t>Kein Risiko: keine Mangelregel trifft zu, alle Pflichtfragen beantwortet.</t>
        </is>
      </c>
      <c r="N84" s="4" t="inlineStr">
        <is>
          <t>TRBS 1115 Teil 1 4.5.2 Rückwirkungsfreiheit; DIN EN 81-73 5.2; EK-ZÜS B-002 rev. 5 Anhang 2 Nr. 9</t>
        </is>
      </c>
      <c r="O84" s="5" t="n"/>
      <c r="P84" s="5" t="n"/>
    </row>
    <row r="85">
      <c r="A85" s="6" t="n">
        <v>84</v>
      </c>
      <c r="B85" s="6" t="inlineStr">
        <is>
          <t>CY-O01</t>
        </is>
      </c>
      <c r="C85" s="6" t="inlineStr">
        <is>
          <t>Fehlende Verantwortlichkeit und Fachkunde für die Cybersicherheit</t>
        </is>
      </c>
      <c r="D85" s="6" t="inlineStr">
        <is>
          <t>O – Organisation, Notfall und Nachweise</t>
        </is>
      </c>
      <c r="E85" s="6" t="inlineStr">
        <is>
          <t>CY-O01-R1</t>
        </is>
      </c>
      <c r="F85" s="6" t="n">
        <v>300</v>
      </c>
      <c r="G85" s="6" t="inlineStr">
        <is>
          <t>(5.1 Ist eine verantwortliche Person des Betreibers für die Cybersicherheit der Anlage benannt und die Zuständigkeit der Wartungsfirma vertraglich geregelt? = Nein UND 5.2 Wurden die Cyber-Schutzmaßnahmen durch fachkundige Personen festgelegt (TRBS 1115-1 Abschnitt 3.3.2)? = Nein)</t>
        </is>
      </c>
      <c r="H85" s="6" t="inlineStr">
        <is>
          <t>Hoch</t>
        </is>
      </c>
      <c r="I85" s="6" t="inlineStr">
        <is>
          <t>abgeleitet</t>
        </is>
      </c>
      <c r="J85" s="6" t="inlineStr"/>
      <c r="K85" s="6" t="inlineStr">
        <is>
          <t>Verantwortliche Person benennen; fachkundige Festlegung der Maßnahmen veranlassen (Hersteller, Wartungsfirma oder externer Sachverständiger)</t>
        </is>
      </c>
      <c r="L85" s="6" t="inlineStr">
        <is>
          <t>Zuständigkeiten Betreiber/Wartungsfirma/Hersteller vertraglich regeln</t>
        </is>
      </c>
      <c r="M85" s="6" t="inlineStr"/>
      <c r="N85" s="6" t="inlineStr">
        <is>
          <t>TRBS 1115 Teil 1 3.3.2; EK-ZÜS B-002 rev. 5 Anhang 2 Nr. 4; BetrSichV § 3 Abs. 3</t>
        </is>
      </c>
      <c r="O85" s="5" t="n"/>
      <c r="P85" s="5" t="n"/>
    </row>
    <row r="86">
      <c r="A86" s="4" t="n">
        <v>85</v>
      </c>
      <c r="B86" s="4" t="inlineStr">
        <is>
          <t>CY-O01</t>
        </is>
      </c>
      <c r="C86" s="4" t="inlineStr">
        <is>
          <t>Fehlende Verantwortlichkeit und Fachkunde für die Cybersicherheit</t>
        </is>
      </c>
      <c r="D86" s="4" t="inlineStr">
        <is>
          <t>O – Organisation, Notfall und Nachweise</t>
        </is>
      </c>
      <c r="E86" s="4" t="inlineStr">
        <is>
          <t>CY-O01-R2</t>
        </is>
      </c>
      <c r="F86" s="4" t="n">
        <v>250</v>
      </c>
      <c r="G86" s="4" t="inlineStr">
        <is>
          <t>5.2 Wurden die Cyber-Schutzmaßnahmen durch fachkundige Personen festgelegt (TRBS 1115-1 Abschnitt 3.3.2)? = Nein</t>
        </is>
      </c>
      <c r="H86" s="4" t="inlineStr">
        <is>
          <t>Mittel</t>
        </is>
      </c>
      <c r="I86" s="4" t="inlineStr">
        <is>
          <t>abgeleitet</t>
        </is>
      </c>
      <c r="J86" s="4" t="inlineStr"/>
      <c r="K86" s="4" t="inlineStr">
        <is>
          <t>Festgelegte Maßnahmen durch eine fachkundige Person prüfen lassen</t>
        </is>
      </c>
      <c r="L86" s="4" t="inlineStr">
        <is>
          <t>Fachkunde nach TRBS 1115-1 3.3.2 sicherstellen (Beauftragung, Schulung)</t>
        </is>
      </c>
      <c r="M86" s="4" t="inlineStr"/>
      <c r="N86" s="4" t="inlineStr">
        <is>
          <t>TRBS 1115 Teil 1 3.3.2; EK-ZÜS B-002 rev. 5 Anhang 2 Nr. 4; BetrSichV § 3 Abs. 3</t>
        </is>
      </c>
      <c r="O86" s="5" t="n"/>
      <c r="P86" s="5" t="n"/>
    </row>
    <row r="87">
      <c r="A87" s="6" t="n">
        <v>86</v>
      </c>
      <c r="B87" s="6" t="inlineStr">
        <is>
          <t>CY-O01</t>
        </is>
      </c>
      <c r="C87" s="6" t="inlineStr">
        <is>
          <t>Fehlende Verantwortlichkeit und Fachkunde für die Cybersicherheit</t>
        </is>
      </c>
      <c r="D87" s="6" t="inlineStr">
        <is>
          <t>O – Organisation, Notfall und Nachweise</t>
        </is>
      </c>
      <c r="E87" s="6" t="inlineStr">
        <is>
          <t>CY-O01-R3</t>
        </is>
      </c>
      <c r="F87" s="6" t="n">
        <v>240</v>
      </c>
      <c r="G87" s="6" t="inlineStr">
        <is>
          <t>5.1 Ist eine verantwortliche Person des Betreibers für die Cybersicherheit der Anlage benannt und die Zuständigkeit der Wartungsfirma vertraglich geregelt? = Nein</t>
        </is>
      </c>
      <c r="H87" s="6" t="inlineStr">
        <is>
          <t>Mittel</t>
        </is>
      </c>
      <c r="I87" s="6" t="inlineStr">
        <is>
          <t>abgeleitet</t>
        </is>
      </c>
      <c r="J87" s="6" t="inlineStr"/>
      <c r="K87" s="6" t="inlineStr">
        <is>
          <t>Verantwortliche Person des Betreibers benennen</t>
        </is>
      </c>
      <c r="L87" s="6" t="inlineStr">
        <is>
          <t>Zuständigkeit der Wartungsfirma für Cybersicherheit vertraglich regeln</t>
        </is>
      </c>
      <c r="M87" s="6" t="inlineStr"/>
      <c r="N87" s="6" t="inlineStr">
        <is>
          <t>TRBS 1115 Teil 1 3.3.2; EK-ZÜS B-002 rev. 5 Anhang 2 Nr. 4; BetrSichV § 3 Abs. 3</t>
        </is>
      </c>
      <c r="O87" s="5" t="n"/>
      <c r="P87" s="5" t="n"/>
    </row>
    <row r="88">
      <c r="A88" s="4" t="n">
        <v>87</v>
      </c>
      <c r="B88" s="4" t="inlineStr">
        <is>
          <t>CY-O01</t>
        </is>
      </c>
      <c r="C88" s="4" t="inlineStr">
        <is>
          <t>Fehlende Verantwortlichkeit und Fachkunde für die Cybersicherheit</t>
        </is>
      </c>
      <c r="D88" s="4" t="inlineStr">
        <is>
          <t>O – Organisation, Notfall und Nachweise</t>
        </is>
      </c>
      <c r="E88" s="4" t="inlineStr">
        <is>
          <t>CY-O01-R4</t>
        </is>
      </c>
      <c r="F88" s="4" t="n">
        <v>1</v>
      </c>
      <c r="G88" s="4" t="inlineStr">
        <is>
          <t>5.1 Ist eine verantwortliche Person des Betreibers für die Cybersicherheit der Anlage benannt und die Zuständigkeit der Wartungsfirma vertraglich geregelt? beantwortet</t>
        </is>
      </c>
      <c r="H88" s="4" t="inlineStr">
        <is>
          <t>Kein Risiko</t>
        </is>
      </c>
      <c r="I88" s="4" t="inlineStr">
        <is>
          <t>hohe Sicherheit</t>
        </is>
      </c>
      <c r="J88" s="4" t="inlineStr"/>
      <c r="K88" s="4" t="inlineStr">
        <is>
          <t>Zustand erhalten; bei der wiederkehrenden Prüfung und der Betreiberkontrolle erneut prüfen</t>
        </is>
      </c>
      <c r="L88" s="4" t="inlineStr"/>
      <c r="M88" s="4" t="inlineStr">
        <is>
          <t>Kein Risiko: keine Mangelregel trifft zu, alle Pflichtfragen beantwortet.</t>
        </is>
      </c>
      <c r="N88" s="4" t="inlineStr">
        <is>
          <t>TRBS 1115 Teil 1 3.3.2; EK-ZÜS B-002 rev. 5 Anhang 2 Nr. 4; BetrSichV § 3 Abs. 3</t>
        </is>
      </c>
      <c r="O88" s="5" t="n"/>
      <c r="P88" s="5" t="n"/>
    </row>
    <row r="89">
      <c r="A89" s="6" t="n">
        <v>88</v>
      </c>
      <c r="B89" s="6" t="inlineStr">
        <is>
          <t>CY-O02</t>
        </is>
      </c>
      <c r="C89" s="6" t="inlineStr">
        <is>
          <t>Herstellervorgaben zur Cybersicherheit nicht berücksichtigt</t>
        </is>
      </c>
      <c r="D89" s="6" t="inlineStr">
        <is>
          <t>O – Organisation, Notfall und Nachweise</t>
        </is>
      </c>
      <c r="E89" s="6" t="inlineStr">
        <is>
          <t>CY-O02-R3</t>
        </is>
      </c>
      <c r="F89" s="6" t="n">
        <v>1</v>
      </c>
      <c r="G89" s="6" t="inlineStr">
        <is>
          <t>1.7 Vorgaben des Herstellers zur Cybersicherheit beantwortet</t>
        </is>
      </c>
      <c r="H89" s="6" t="inlineStr">
        <is>
          <t>Kein Risiko</t>
        </is>
      </c>
      <c r="I89" s="6" t="inlineStr">
        <is>
          <t>hohe Sicherheit</t>
        </is>
      </c>
      <c r="J89" s="6" t="inlineStr"/>
      <c r="K89" s="6" t="inlineStr">
        <is>
          <t>Zustand erhalten; bei der wiederkehrenden Prüfung und der Betreiberkontrolle erneut prüfen</t>
        </is>
      </c>
      <c r="L89" s="6" t="inlineStr"/>
      <c r="M89" s="6" t="inlineStr">
        <is>
          <t>Kein Risiko: keine Mangelregel trifft zu, alle Pflichtfragen beantwortet.</t>
        </is>
      </c>
      <c r="N89" s="6" t="inlineStr">
        <is>
          <t>EK-ZÜS B-002 rev. 5 Anhang 2 Nr. 7; TRBS 1115 Teil 1 3.3</t>
        </is>
      </c>
      <c r="O89" s="5" t="n"/>
      <c r="P89" s="5" t="n"/>
    </row>
    <row r="90">
      <c r="A90" s="4" t="n">
        <v>89</v>
      </c>
      <c r="B90" s="4" t="inlineStr">
        <is>
          <t>CY-O03</t>
        </is>
      </c>
      <c r="C90" s="4" t="inlineStr">
        <is>
          <t>Fehlendes Notfallmanagement für Cybervorfälle</t>
        </is>
      </c>
      <c r="D90" s="4" t="inlineStr">
        <is>
          <t>O – Organisation, Notfall und Nachweise</t>
        </is>
      </c>
      <c r="E90" s="4" t="inlineStr">
        <is>
          <t>CY-O03-R3</t>
        </is>
      </c>
      <c r="F90" s="4" t="n">
        <v>1</v>
      </c>
      <c r="G90" s="4" t="inlineStr">
        <is>
          <t>5.3 Ist ein Notfallmanagement für Cybervorfälle festgelegt (Erkennen, Anlage in sicheren Zustand bringen/außer Betrieb nehmen, Meldung, Wiederinbetriebnahme erst nach Prüfung)? beantwortet</t>
        </is>
      </c>
      <c r="H90" s="4" t="inlineStr">
        <is>
          <t>Kein Risiko</t>
        </is>
      </c>
      <c r="I90" s="4" t="inlineStr">
        <is>
          <t>hohe Sicherheit</t>
        </is>
      </c>
      <c r="J90" s="4" t="inlineStr"/>
      <c r="K90" s="4" t="inlineStr">
        <is>
          <t>Zustand erhalten; bei der wiederkehrenden Prüfung und der Betreiberkontrolle erneut prüfen</t>
        </is>
      </c>
      <c r="L90" s="4" t="inlineStr"/>
      <c r="M90" s="4" t="inlineStr">
        <is>
          <t>Kein Risiko: keine Mangelregel trifft zu, alle Pflichtfragen beantwortet.</t>
        </is>
      </c>
      <c r="N90" s="4" t="inlineStr">
        <is>
          <t>TRBS 1115 Teil 1 4.5.2 Notfallmanagement; DEKRA Ausfüllhilfe Cybersicherheit 09/2024 Schritt 3</t>
        </is>
      </c>
      <c r="O90" s="5" t="n"/>
      <c r="P90" s="5" t="n"/>
    </row>
    <row r="91">
      <c r="A91" s="6" t="n">
        <v>90</v>
      </c>
      <c r="B91" s="6" t="inlineStr">
        <is>
          <t>CY-O04</t>
        </is>
      </c>
      <c r="C91" s="6" t="inlineStr">
        <is>
          <t>Fehlende Unterweisung zur Cybersicherheit</t>
        </is>
      </c>
      <c r="D91" s="6" t="inlineStr">
        <is>
          <t>O – Organisation, Notfall und Nachweise</t>
        </is>
      </c>
      <c r="E91" s="6" t="inlineStr">
        <is>
          <t>CY-O04-R2</t>
        </is>
      </c>
      <c r="F91" s="6" t="n">
        <v>1</v>
      </c>
      <c r="G91" s="6" t="inlineStr">
        <is>
          <t>5.4 Sind die Beschäftigten (beauftragte Person, Betreiberpersonal) zur Cybersicherheit der Anlage unterwiesen? beantwortet</t>
        </is>
      </c>
      <c r="H91" s="6" t="inlineStr">
        <is>
          <t>Kein Risiko</t>
        </is>
      </c>
      <c r="I91" s="6" t="inlineStr">
        <is>
          <t>hohe Sicherheit</t>
        </is>
      </c>
      <c r="J91" s="6" t="inlineStr"/>
      <c r="K91" s="6" t="inlineStr">
        <is>
          <t>Zustand erhalten; bei der wiederkehrenden Prüfung und der Betreiberkontrolle erneut prüfen</t>
        </is>
      </c>
      <c r="L91" s="6" t="inlineStr"/>
      <c r="M91" s="6" t="inlineStr">
        <is>
          <t>Kein Risiko: keine Mangelregel trifft zu, alle Pflichtfragen beantwortet.</t>
        </is>
      </c>
      <c r="N91" s="6" t="inlineStr">
        <is>
          <t>BetrSichV § 12; EK-ZÜS B-002 rev. 5 Anhang 2 Nr. 11</t>
        </is>
      </c>
      <c r="O91" s="5" t="n"/>
      <c r="P91" s="5" t="n"/>
    </row>
    <row r="92">
      <c r="A92" s="4" t="n">
        <v>91</v>
      </c>
      <c r="B92" s="4" t="inlineStr">
        <is>
          <t>CY-O05</t>
        </is>
      </c>
      <c r="C92" s="4" t="inlineStr">
        <is>
          <t>Fehlende Prüforganisation und Nachweise der Wirksamkeit</t>
        </is>
      </c>
      <c r="D92" s="4" t="inlineStr">
        <is>
          <t>O – Organisation, Notfall und Nachweise</t>
        </is>
      </c>
      <c r="E92" s="4" t="inlineStr">
        <is>
          <t>CY-O05-R2</t>
        </is>
      </c>
      <c r="F92" s="4" t="n">
        <v>260</v>
      </c>
      <c r="G92" s="4" t="inlineStr">
        <is>
          <t>5.6 Liegt ein Nachweis der Wirksamkeit der Cyber-Schutzmaßnahmen vor (TRBS 1115-1 Abschnitt 5)? = Nein</t>
        </is>
      </c>
      <c r="H92" s="4" t="inlineStr">
        <is>
          <t>Mittel</t>
        </is>
      </c>
      <c r="I92" s="4" t="inlineStr">
        <is>
          <t>abgeleitet</t>
        </is>
      </c>
      <c r="J92" s="4" t="inlineStr"/>
      <c r="K92" s="4" t="inlineStr">
        <is>
          <t>Wirksamkeitsnachweis der Maßnahmen nachholen</t>
        </is>
      </c>
      <c r="L92" s="4" t="inlineStr">
        <is>
          <t>Wirksamkeitsnachweis nach TRBS 1115-1 Abschnitt 5 dokumentieren</t>
        </is>
      </c>
      <c r="M92" s="4" t="inlineStr"/>
      <c r="N92" s="4" t="inlineStr">
        <is>
          <t>TRBS 1115 Teil 1 5, 8.2; EK-ZÜS B-002 rev. 5 Anhang 2 Nr. 8, 12, 13</t>
        </is>
      </c>
      <c r="O92" s="5" t="n"/>
      <c r="P92" s="5" t="n"/>
    </row>
    <row r="93">
      <c r="A93" s="6" t="n">
        <v>92</v>
      </c>
      <c r="B93" s="6" t="inlineStr">
        <is>
          <t>CY-O05</t>
        </is>
      </c>
      <c r="C93" s="6" t="inlineStr">
        <is>
          <t>Fehlende Prüforganisation und Nachweise der Wirksamkeit</t>
        </is>
      </c>
      <c r="D93" s="6" t="inlineStr">
        <is>
          <t>O – Organisation, Notfall und Nachweise</t>
        </is>
      </c>
      <c r="E93" s="6" t="inlineStr">
        <is>
          <t>CY-O05-R3</t>
        </is>
      </c>
      <c r="F93" s="6" t="n">
        <v>250</v>
      </c>
      <c r="G93" s="6" t="inlineStr">
        <is>
          <t>5.7 Liegt eine Bestätigung der Funktionsfähigkeit der Cyber-Schutzmaßnahmen vor (TRBS 1115-1 Abschnitt 8.2)? = Nein</t>
        </is>
      </c>
      <c r="H93" s="6" t="inlineStr">
        <is>
          <t>Mittel</t>
        </is>
      </c>
      <c r="I93" s="6" t="inlineStr">
        <is>
          <t>abgeleitet</t>
        </is>
      </c>
      <c r="J93" s="6" t="inlineStr"/>
      <c r="K93" s="6" t="inlineStr">
        <is>
          <t>Funktionsfähigkeit der Maßnahmen bestätigen lassen</t>
        </is>
      </c>
      <c r="L93" s="6" t="inlineStr">
        <is>
          <t>Funktionsbestätigung nach TRBS 1115-1 Abschnitt 8.2 dokumentieren</t>
        </is>
      </c>
      <c r="M93" s="6" t="inlineStr"/>
      <c r="N93" s="6" t="inlineStr">
        <is>
          <t>TRBS 1115 Teil 1 5, 8.2; EK-ZÜS B-002 rev. 5 Anhang 2 Nr. 8, 12, 13</t>
        </is>
      </c>
      <c r="O93" s="5" t="n"/>
      <c r="P93" s="5" t="n"/>
    </row>
    <row r="94">
      <c r="A94" s="4" t="n">
        <v>93</v>
      </c>
      <c r="B94" s="4" t="inlineStr">
        <is>
          <t>CY-O05</t>
        </is>
      </c>
      <c r="C94" s="4" t="inlineStr">
        <is>
          <t>Fehlende Prüforganisation und Nachweise der Wirksamkeit</t>
        </is>
      </c>
      <c r="D94" s="4" t="inlineStr">
        <is>
          <t>O – Organisation, Notfall und Nachweise</t>
        </is>
      </c>
      <c r="E94" s="4" t="inlineStr">
        <is>
          <t>CY-O05-R4</t>
        </is>
      </c>
      <c r="F94" s="4" t="n">
        <v>240</v>
      </c>
      <c r="G94" s="4" t="inlineStr">
        <is>
          <t>5.5 Sind Art, Umfang und Fristen der Überprüfung und Kontrolle der Cyber-Schutzmaßnahmen schriftlich festgelegt? = Nein</t>
        </is>
      </c>
      <c r="H94" s="4" t="inlineStr">
        <is>
          <t>Mittel</t>
        </is>
      </c>
      <c r="I94" s="4" t="inlineStr">
        <is>
          <t>abgeleitet</t>
        </is>
      </c>
      <c r="J94" s="4" t="inlineStr"/>
      <c r="K94" s="4" t="inlineStr">
        <is>
          <t>Prüfumfang und -fristen für die Cyber-Maßnahmen festlegen</t>
        </is>
      </c>
      <c r="L94" s="4" t="inlineStr">
        <is>
          <t>Prüforganisation schriftlich festlegen und in den Wartungsvertrag aufnehmen</t>
        </is>
      </c>
      <c r="M94" s="4" t="inlineStr"/>
      <c r="N94" s="4" t="inlineStr">
        <is>
          <t>TRBS 1115 Teil 1 5, 8.2; EK-ZÜS B-002 rev. 5 Anhang 2 Nr. 8, 12, 13</t>
        </is>
      </c>
      <c r="O94" s="5" t="n"/>
      <c r="P94" s="5" t="n"/>
    </row>
    <row r="95">
      <c r="A95" s="6" t="n">
        <v>94</v>
      </c>
      <c r="B95" s="6" t="inlineStr">
        <is>
          <t>CY-O05</t>
        </is>
      </c>
      <c r="C95" s="6" t="inlineStr">
        <is>
          <t>Fehlende Prüforganisation und Nachweise der Wirksamkeit</t>
        </is>
      </c>
      <c r="D95" s="6" t="inlineStr">
        <is>
          <t>O – Organisation, Notfall und Nachweise</t>
        </is>
      </c>
      <c r="E95" s="6" t="inlineStr">
        <is>
          <t>CY-O05-R5</t>
        </is>
      </c>
      <c r="F95" s="6" t="n">
        <v>1</v>
      </c>
      <c r="G95" s="6" t="inlineStr">
        <is>
          <t>5.5 Sind Art, Umfang und Fristen der Überprüfung und Kontrolle der Cyber-Schutzmaßnahmen schriftlich festgelegt? beantwortet</t>
        </is>
      </c>
      <c r="H95" s="6" t="inlineStr">
        <is>
          <t>Kein Risiko</t>
        </is>
      </c>
      <c r="I95" s="6" t="inlineStr">
        <is>
          <t>hohe Sicherheit</t>
        </is>
      </c>
      <c r="J95" s="6" t="inlineStr"/>
      <c r="K95" s="6" t="inlineStr">
        <is>
          <t>Zustand erhalten; bei der wiederkehrenden Prüfung und der Betreiberkontrolle erneut prüfen</t>
        </is>
      </c>
      <c r="L95" s="6" t="inlineStr"/>
      <c r="M95" s="6" t="inlineStr">
        <is>
          <t>Kein Risiko: keine Mangelregel trifft zu, alle Pflichtfragen beantwortet.</t>
        </is>
      </c>
      <c r="N95" s="6" t="inlineStr">
        <is>
          <t>TRBS 1115 Teil 1 5, 8.2; EK-ZÜS B-002 rev. 5 Anhang 2 Nr. 8, 12, 13</t>
        </is>
      </c>
      <c r="O95" s="5" t="n"/>
      <c r="P95" s="5" t="n"/>
    </row>
    <row r="96">
      <c r="A96" s="4" t="n">
        <v>95</v>
      </c>
      <c r="B96" s="4" t="inlineStr">
        <is>
          <t>CY-O06</t>
        </is>
      </c>
      <c r="C96" s="4" t="inlineStr">
        <is>
          <t>Prüfpflichtige Änderung mit Cyber-Einfluss ohne Prüfung</t>
        </is>
      </c>
      <c r="D96" s="4" t="inlineStr">
        <is>
          <t>O – Organisation, Notfall und Nachweise</t>
        </is>
      </c>
      <c r="E96" s="4" t="inlineStr">
        <is>
          <t>CY-O06-R2</t>
        </is>
      </c>
      <c r="F96" s="4" t="n">
        <v>1</v>
      </c>
      <c r="G96" s="4" t="inlineStr">
        <is>
          <t>5.10 Wurden nach Aussage des Betreibers prüfpflichtige Änderungen mit Einfluss auf die Cybersicherheit durchgeführt (Steuerungstausch, neue Fernanbindung, Software-Update sicherheitsrelevanter Komponenten)? beantwortet</t>
        </is>
      </c>
      <c r="H96" s="4" t="inlineStr">
        <is>
          <t>Kein Risiko</t>
        </is>
      </c>
      <c r="I96" s="4" t="inlineStr">
        <is>
          <t>hohe Sicherheit</t>
        </is>
      </c>
      <c r="J96" s="4" t="inlineStr"/>
      <c r="K96" s="4" t="inlineStr">
        <is>
          <t>Zustand erhalten; bei der wiederkehrenden Prüfung und der Betreiberkontrolle erneut prüfen</t>
        </is>
      </c>
      <c r="L96" s="4" t="inlineStr"/>
      <c r="M96" s="4" t="inlineStr">
        <is>
          <t>Kein Risiko: keine Mangelregel trifft zu, alle Pflichtfragen beantwortet.</t>
        </is>
      </c>
      <c r="N96" s="4" t="inlineStr">
        <is>
          <t>BetrSichV § 15, § 16; EK-ZÜS B-002 rev. 5 Anhang 2 Nr. 14</t>
        </is>
      </c>
      <c r="O96" s="5" t="n"/>
      <c r="P96" s="5" t="n"/>
    </row>
    <row r="97">
      <c r="A97" s="6" t="n">
        <v>96</v>
      </c>
      <c r="B97" s="6" t="inlineStr">
        <is>
          <t>CY-O07</t>
        </is>
      </c>
      <c r="C97" s="6" t="inlineStr">
        <is>
          <t>Rückwirkung der Cyber-Schutzmaßnahmen auf Sicherheitsfunktionen nicht ausgeschlossen</t>
        </is>
      </c>
      <c r="D97" s="6" t="inlineStr">
        <is>
          <t>O – Organisation, Notfall und Nachweise</t>
        </is>
      </c>
      <c r="E97" s="6" t="inlineStr">
        <is>
          <t>CY-O07-R2</t>
        </is>
      </c>
      <c r="F97" s="6" t="n">
        <v>1</v>
      </c>
      <c r="G97" s="6" t="inlineStr">
        <is>
          <t>5.8 Ist sichergestellt, dass die Cyber-Schutzmaßnahmen die Sicherheitsfunktionen der Anlage nicht negativ beeinflussen (Rückwirkungsfreiheit, z. B. keine Abschaltung des Notrufs durch die Firewall)? beantwortet</t>
        </is>
      </c>
      <c r="H97" s="6" t="inlineStr">
        <is>
          <t>Kein Risiko</t>
        </is>
      </c>
      <c r="I97" s="6" t="inlineStr">
        <is>
          <t>hohe Sicherheit</t>
        </is>
      </c>
      <c r="J97" s="6" t="inlineStr"/>
      <c r="K97" s="6" t="inlineStr">
        <is>
          <t>Zustand erhalten; bei der wiederkehrenden Prüfung und der Betreiberkontrolle erneut prüfen</t>
        </is>
      </c>
      <c r="L97" s="6" t="inlineStr"/>
      <c r="M97" s="6" t="inlineStr">
        <is>
          <t>Kein Risiko: keine Mangelregel trifft zu, alle Pflichtfragen beantwortet.</t>
        </is>
      </c>
      <c r="N97" s="6" t="inlineStr">
        <is>
          <t>EK-ZÜS B-002 rev. 5 Anhang 2 Nr. 9; TRBS 1115 Teil 1 4.5</t>
        </is>
      </c>
      <c r="O97" s="5" t="n"/>
      <c r="P97" s="5" t="n"/>
    </row>
    <row r="98">
      <c r="A98" s="4" t="n">
        <v>97</v>
      </c>
      <c r="B98" s="4" t="inlineStr">
        <is>
          <t>CY-O08</t>
        </is>
      </c>
      <c r="C98" s="4" t="inlineStr">
        <is>
          <t>Keine Fortschreibung bei neuen Erkenntnissen</t>
        </is>
      </c>
      <c r="D98" s="4" t="inlineStr">
        <is>
          <t>O – Organisation, Notfall und Nachweise</t>
        </is>
      </c>
      <c r="E98" s="4" t="inlineStr">
        <is>
          <t>CY-O08-R1</t>
        </is>
      </c>
      <c r="F98" s="4" t="n">
        <v>250</v>
      </c>
      <c r="G98" s="4" t="inlineStr">
        <is>
          <t>5.9 Werden neue Erkenntnisse zur Cybersicherheit (Herstellerhinweise, Schwachstellenmeldungen, CERT-Warnungen) in die Gefährdungsbeurteilung eingebunden? = Nein</t>
        </is>
      </c>
      <c r="H98" s="4" t="inlineStr">
        <is>
          <t>Niedrig</t>
        </is>
      </c>
      <c r="I98" s="4" t="inlineStr">
        <is>
          <t>abgeleitet</t>
        </is>
      </c>
      <c r="J98" s="4" t="inlineStr"/>
      <c r="K98" s="4" t="inlineStr">
        <is>
          <t>Bezugsquellen für Schwachstellenhinweise festlegen (Hersteller, CERT)</t>
        </is>
      </c>
      <c r="L98" s="4" t="inlineStr">
        <is>
          <t>Fortschreibung der Gefährdungsbeurteilung bei neuen Erkenntnissen als Verfahren festlegen</t>
        </is>
      </c>
      <c r="M98" s="4" t="inlineStr"/>
      <c r="N98" s="4" t="inlineStr">
        <is>
          <t>EK-ZÜS B-002 rev. 5 Anhang 2 Nr. 10; BetrSichV § 3 Abs. 7</t>
        </is>
      </c>
      <c r="O98" s="5" t="n"/>
      <c r="P98" s="5" t="n"/>
    </row>
    <row r="99">
      <c r="A99" s="6" t="n">
        <v>98</v>
      </c>
      <c r="B99" s="6" t="inlineStr">
        <is>
          <t>CY-O08</t>
        </is>
      </c>
      <c r="C99" s="6" t="inlineStr">
        <is>
          <t>Keine Fortschreibung bei neuen Erkenntnissen</t>
        </is>
      </c>
      <c r="D99" s="6" t="inlineStr">
        <is>
          <t>O – Organisation, Notfall und Nachweise</t>
        </is>
      </c>
      <c r="E99" s="6" t="inlineStr">
        <is>
          <t>CY-O08-R2</t>
        </is>
      </c>
      <c r="F99" s="6" t="n">
        <v>1</v>
      </c>
      <c r="G99" s="6" t="inlineStr">
        <is>
          <t>5.9 Werden neue Erkenntnisse zur Cybersicherheit (Herstellerhinweise, Schwachstellenmeldungen, CERT-Warnungen) in die Gefährdungsbeurteilung eingebunden? beantwortet</t>
        </is>
      </c>
      <c r="H99" s="6" t="inlineStr">
        <is>
          <t>Kein Risiko</t>
        </is>
      </c>
      <c r="I99" s="6" t="inlineStr">
        <is>
          <t>hohe Sicherheit</t>
        </is>
      </c>
      <c r="J99" s="6" t="inlineStr"/>
      <c r="K99" s="6" t="inlineStr">
        <is>
          <t>Zustand erhalten; bei der wiederkehrenden Prüfung und der Betreiberkontrolle erneut prüfen</t>
        </is>
      </c>
      <c r="L99" s="6" t="inlineStr"/>
      <c r="M99" s="6" t="inlineStr">
        <is>
          <t>Kein Risiko: keine Mangelregel trifft zu, alle Pflichtfragen beantwortet.</t>
        </is>
      </c>
      <c r="N99" s="6" t="inlineStr">
        <is>
          <t>EK-ZÜS B-002 rev. 5 Anhang 2 Nr. 10; BetrSichV § 3 Abs. 7</t>
        </is>
      </c>
      <c r="O99" s="5" t="n"/>
      <c r="P99" s="5" t="n"/>
    </row>
    <row r="101">
      <c r="A101" s="8" t="inlineStr">
        <is>
          <t>Stand</t>
        </is>
      </c>
    </row>
    <row r="102">
      <c r="A102" s="9" t="inlineStr">
        <is>
          <t>Regeln</t>
        </is>
      </c>
      <c r="B102" s="9">
        <f>COUNTA(E2:E99)</f>
        <v/>
      </c>
    </row>
    <row r="103">
      <c r="A103" s="9" t="inlineStr">
        <is>
          <t>davon Muster</t>
        </is>
      </c>
      <c r="B103" s="9">
        <f>COUNTIF(J2:J99,"M*")</f>
        <v/>
      </c>
    </row>
    <row r="104">
      <c r="A104" s="9" t="inlineStr">
        <is>
          <t>Einzelregeln entschieden</t>
        </is>
      </c>
      <c r="B104" s="9">
        <f>COUNTIFS(J2:J99,"",O2:O99,"&lt;&gt;")</f>
        <v/>
      </c>
    </row>
  </sheetData>
  <autoFilter ref="A1:P99"/>
  <dataValidations count="1">
    <dataValidation sqref="O2:O99" showDropDown="0" showInputMessage="0" showErrorMessage="0" allowBlank="1" type="list">
      <formula1>"Freigeben,Ändern,Streichen"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2026-09-03T12:40:50Z</dcterms:created>
  <dcterms:modified xmlns:dcterms="http://purl.org/dc/terms/" xmlns:xsi="http://www.w3.org/2001/XMLSchema-instance" xsi:type="dcterms:W3CDTF">2026-09-03T12:40:50Z</dcterms:modified>
</cp:coreProperties>
</file>