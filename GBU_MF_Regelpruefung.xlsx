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Lesehinweise" sheetId="1" state="visible" r:id="rId3"/>
    <sheet name="Übersicht" sheetId="2" state="visible" r:id="rId4"/>
    <sheet name="Prüfbericht" sheetId="3" state="visible" r:id="rId5"/>
    <sheet name="Maßnahmenarten" sheetId="4" state="visible" r:id="rId6"/>
    <sheet name="Fragen" sheetId="5" state="visible" r:id="rId7"/>
  </sheets>
  <definedNames>
    <definedName function="false" hidden="true" localSheetId="4" name="_xlnm._FilterDatabase" vbProcedure="false">Fragen!$A$1:$J$4</definedName>
    <definedName function="false" hidden="true" localSheetId="3" name="_xlnm._FilterDatabase" vbProcedure="false">Maßnahmenarten!$A$1:$H$1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<sst xmlns="http://schemas.openxmlformats.org/spreadsheetml/2006/main" count="377" uniqueCount="280">
  <si>
    <t xml:space="preserve">Regelprüfung GBU EN 81-20 (Fragebogen) – offene Regeln</t>
  </si>
  <si>
    <t xml:space="preserve">Regelwerk 81-20-mf-2026.10 · Stand 16.09.2026 · 0 offene Regeln in 0 Gefährdungen, davon 0 Auffangregeln (Kein Risiko), 0 fachliche Regeln und 0 nach dem externen Prüfbericht geänderte Regeln.</t>
  </si>
  <si>
    <t xml:space="preserve">Zweite Fassung: Der externe Prüfbericht zur ersten Fassung ist eingearbeitet. Blatt „Prüfbericht“ zeigt je Befund, ob er zutrifft und was geändert wurde; die geänderten Regeln sind in den Bereichsblättern orange markiert (Status „offen – geändert“).</t>
  </si>
  <si>
    <t xml:space="preserve">Der Katalog „Bestand nach DIN EN 81-80“ ist aus diesem Katalog abgeleitet – eine Freigabe hier gilt dort automatisch. Das ist zulässig, weil der Generator Regeln, Gefährdungen und Anwendbarkeit dort unverändert übernimmt und bei jeder Abweichung abbricht. Die Kopfzeile nennt die zugehörigen EN-81-80-Punkte bzw. „nicht im Bestandskatalog“.</t>
  </si>
  <si>
    <t xml:space="preserve">Dritte Fassung (16.09.2026): Regel-IDs sind jetzt dauerhaft – eine ID bezeichnet immer denselben Sachverhalt; neue Sachverhalte bekommen neue Nummern (deshalb Lücken). Die Prüfliste v2 ist damit überholt, bitte nur diese Datei ausfüllen. „Rev.“ im Status zählt inhaltliche Änderungen seit der ersten Fassung.</t>
  </si>
  <si>
    <t xml:space="preserve">Baujahr-Annahmen (Festlegung 07.09., bestätigt 16.09.2026): Ab dem genannten Baujahr gilt ein Ausstattungsmerkmal als vorhanden, solange niemand widerspricht; im Bericht steht dann „angenommen“. Blatt „Fragen“, Spalte „Annahme ab Baujahr“ zeigt, welche Fragen betroffen sind.</t>
  </si>
  <si>
    <t xml:space="preserve">So wird entschieden</t>
  </si>
  <si>
    <t xml:space="preserve">1. Je Erhebungsbereich ein Blatt, darin je Gefährdung ein Block. Die blaue Kopfzeile nennt Titel, Faktor, betroffene Personen, Bewertungslogik, wann die Gefährdung überhaupt bewertet wird (Anwendbarkeit), welche Fragen vorher beantwortet sein müssen (Pflichtfragen), EN-81-80-Bezug und Quellen.</t>
  </si>
  <si>
    <t xml:space="preserve">2. Passt der ganze Block: in der Kopfzeile „Freigeben“ wählen – das gilt für alle offenen Regeln der Gefährdung, einschließlich der Auffangregel.</t>
  </si>
  <si>
    <t xml:space="preserve">3. Passt eine einzelne Regel nicht: in ihrer Zeile „Ändern“ oder „Streichen“ wählen und in „Korrektur“ sagen, was gelten soll. Ohne Korrektur wird die Zelle rot. Die Einzelentscheidung geht der Sammelentscheidung vor.</t>
  </si>
  <si>
    <t xml:space="preserve">4. Leer lassen = noch nicht entschieden. Blockweise arbeiten und zwischendurch zurückgeben ist möglich.</t>
  </si>
  <si>
    <t xml:space="preserve">5. Blatt „Prüfbericht“: Bei den offenen Punkten (Spalte „Entscheidung nötig“) bitte Übernehmen / Ablehnen / Später wählen und ggf. kommentieren.</t>
  </si>
  <si>
    <t xml:space="preserve">6. Blatt „Maßnahmenarten“: Die Einstufung technisch/organisatorisch wurde neu abgeleitet. Falsche Einstufungen in „Art richtig?“ mit T oder O korrigieren; leer = passt.</t>
  </si>
  <si>
    <t xml:space="preserve">Worauf achten</t>
  </si>
  <si>
    <t xml:space="preserve">• Stufe: Trifft Hoch / Mittel / Niedrig für diesen Sachverhalt zu?</t>
  </si>
  <si>
    <t xml:space="preserve">• Bedingung: Ist der Sachverhalt richtig getroffen – auch UND/ODER und die Ausnahmen (NICHT)?</t>
  </si>
  <si>
    <t xml:space="preserve">• Priorität / Bewertungslogik: Bei „Vorrang“ gewinnt die Regel mit der höchsten Prio – dort stecken die Kompensationen. Bei „Höchste Stufe“ zählen alle zutreffenden Regeln.</t>
  </si>
  <si>
    <t xml:space="preserve">• Maßnahmen: sofort und mittelfristig; [T] technisch, [O] organisatorisch. „AUFFÄLLIG“ im Hinweis markiert fehlende Maßnahmen.</t>
  </si>
  <si>
    <t xml:space="preserve">• Graue Zeilen sind bereits freigegeben und stehen nur zum Verständnis im Block.</t>
  </si>
  <si>
    <t xml:space="preserve">• Auffangregeln (Kein Risiko, Prio 1) sind Mechanik: Sie greifen erst, wenn keine Mangelregel zutrifft und alle Pflichtfragen beantwortet sind; vorher meldet die Engine „unvollständig“.</t>
  </si>
  <si>
    <t xml:space="preserve">Die Blätter sind ohne Kennwort geschützt, damit nichts versehentlich überschrieben wird; offen sind nur die gelben Eingabezellen. Filter funktionieren. Aufheben: Überprüfen → Blattschutz aufheben.</t>
  </si>
  <si>
    <t xml:space="preserve">Rückweg (technisch): python3 apply_mf_regelpruefung.py → python3 gen_mf_catalog.py → python3 gen_en8180_catalog.py → App-Assets erneuern → Engine neu seeden. Freigaben sind an den Regelinhalt gebunden: Wird eine Regel später geändert, fällt sie automatisch wieder auf „offen“.</t>
  </si>
  <si>
    <t xml:space="preserve">Erhebungsbereich</t>
  </si>
  <si>
    <t xml:space="preserve">Blatt</t>
  </si>
  <si>
    <t xml:space="preserve">Gefährdungen</t>
  </si>
  <si>
    <t xml:space="preserve">offene Regeln</t>
  </si>
  <si>
    <t xml:space="preserve">davon Auffang</t>
  </si>
  <si>
    <t xml:space="preserve">davon geändert (Prüfbericht)</t>
  </si>
  <si>
    <t xml:space="preserve">entschieden</t>
  </si>
  <si>
    <t xml:space="preserve">Freigeben</t>
  </si>
  <si>
    <t xml:space="preserve">Ändern</t>
  </si>
  <si>
    <t xml:space="preserve">Streichen</t>
  </si>
  <si>
    <t xml:space="preserve">Korrektur fehlt</t>
  </si>
  <si>
    <t xml:space="preserve">Fortschritt</t>
  </si>
  <si>
    <t xml:space="preserve">fachlich freigabereif</t>
  </si>
  <si>
    <t xml:space="preserve">Summe</t>
  </si>
  <si>
    <t xml:space="preserve">„entschieden“ zählt jede offene Regel mit wirksamer Entscheidung – der eigenen oder der Sammelfreigabe ihrer Gefährdung. „fachlich freigabereif“ = jede offene Regel ist freigegeben und keine Korrektur fehlt; „Ändern“/„Streichen“ bleiben offen, bis der Katalog angepasst und erneut vorgelegt ist.</t>
  </si>
  <si>
    <t xml:space="preserve">ID</t>
  </si>
  <si>
    <t xml:space="preserve">Priorität</t>
  </si>
  <si>
    <t xml:space="preserve">Bereich / Regeln</t>
  </si>
  <si>
    <t xml:space="preserve">Bewertung</t>
  </si>
  <si>
    <t xml:space="preserve">Begründung / Beleg</t>
  </si>
  <si>
    <t xml:space="preserve">Umsetzung</t>
  </si>
  <si>
    <t xml:space="preserve">Entscheidung nötig</t>
  </si>
  <si>
    <t xml:space="preserve">Deine Entscheidung</t>
  </si>
  <si>
    <t xml:space="preserve">Kommentar</t>
  </si>
  <si>
    <t xml:space="preserve">Runde 1 – externer Prüfbericht vom 15.09.2026 (Stand der Umsetzung 16.09.2026)</t>
  </si>
  <si>
    <t xml:space="preserve">B01</t>
  </si>
  <si>
    <t xml:space="preserve">Kritisch</t>
  </si>
  <si>
    <t xml:space="preserve">Anwendbarkeit / Gates</t>
  </si>
  <si>
    <t xml:space="preserve">teilweise</t>
  </si>
  <si>
    <t xml:space="preserve">Der Katalog hat Anwendbarkeitsfilter (Aufzugsart, Antrieb, Maschinen- und Rollenraum, gemeinsamer Schacht, Gegengewicht, BMA/RWA/Sprinkler/Brandfallsteuerung, Feuerwehraufzug, Nutzung durch mobilitätseingeschränkte Personen) und Sichtbarkeitsregeln. Die alte Prüfliste hat sie nicht angezeigt.</t>
  </si>
  <si>
    <t xml:space="preserve">Übernommen (Empfehlung 16.09.): Antwort „nicht anwendbar“ mit Begründung, getrennt von „unbekannt“ – kommt mit der App-Runde (Antwortmodell).</t>
  </si>
  <si>
    <t xml:space="preserve">B02</t>
  </si>
  <si>
    <t xml:space="preserve">Referenzintegrität</t>
  </si>
  <si>
    <t xml:space="preserve">bestätigt</t>
  </si>
  <si>
    <t xml:space="preserve">Blatt „Fragen“ enthielt nur die Fragen der offenen Regeln.</t>
  </si>
  <si>
    <t xml:space="preserve">Behoben: Das Blatt enthält alle Fragen der gezeigten Gefährdungen mit Sichtbarkeit und Pflicht.</t>
  </si>
  <si>
    <t xml:space="preserve">B03</t>
  </si>
  <si>
    <t xml:space="preserve">MF-G07</t>
  </si>
  <si>
    <t xml:space="preserve">TRBS 3121 Anh. 1 Nr. 2: 2 m über Schachtgrubensohle; die 2,50 m über der untersten Haltestelle gehören zu Nr. 3 (Nachbaraufzug).</t>
  </si>
  <si>
    <t xml:space="preserve">Korrigiert: MF-G07-R1 (Maß), MF-G07-R4 (Warnhinweis als organisatorische Maßnahme).</t>
  </si>
  <si>
    <t xml:space="preserve">B04</t>
  </si>
  <si>
    <t xml:space="preserve">MF-G04</t>
  </si>
  <si>
    <t xml:space="preserve">TRBS 3121 Anh. 1 Nr. 6: Risiko hoch bei TRA-200-Anlagen bis Baujahr 1992 (Abstiegseinrichtung erst ab 1,5 m Grubentiefe gefordert), niedrig bei TRA 200 ab 1992 und EN 81-1/2.</t>
  </si>
  <si>
    <t xml:space="preserve">Umgesetzt 16.09. nach Empfehlung: zuerst die Zugangsart (11.7 separate Grubenzugangstür), Leiterfragen nur bei Zugang über Leiter. Keine pauschale Baujahr-Korrektur.</t>
  </si>
  <si>
    <t xml:space="preserve">B05</t>
  </si>
  <si>
    <t xml:space="preserve">MF-S01</t>
  </si>
  <si>
    <t xml:space="preserve">TRBS 3121 Anh. 1 Nr. 8: mind. 50 lx im Arbeitsbereich auf dem Fahrkorbdach und in der Grube; Risiko niedrig, wenn TRA 200 / EN 81-1/2 erfüllt.</t>
  </si>
  <si>
    <t xml:space="preserve">Korrigiert: Frage 10.1a auf 50 lx über dem Fahrkorbdach; neue Frage 10.1c (Altnorm erfüllt → Niedrig). Die Grube hatte 50 lx bereits (11.2a).</t>
  </si>
  <si>
    <t xml:space="preserve">B06</t>
  </si>
  <si>
    <t xml:space="preserve">MF-T04</t>
  </si>
  <si>
    <t xml:space="preserve">Bei „Höchste Stufe“ hat die Nicht-VSG-Regel die Drahtglas-Regel immer übersteuert.</t>
  </si>
  <si>
    <t xml:space="preserve">Korrigiert: MF-T04-R1 nimmt Drahtglas aus; neue Frage 7.8a und Regel für beschädigtes/loses Glas; 7.8 fragt nur noch die Glasart.</t>
  </si>
  <si>
    <t xml:space="preserve">B07</t>
  </si>
  <si>
    <t xml:space="preserve">MF-T06</t>
  </si>
  <si>
    <t xml:space="preserve">TRBS 3121 Anh. 1 Nr. 14 c): Lichtgitter statt Fahrkorbtür nur bei Lastenaufzügen mit ausschließlich eingewiesenem Nutzerkreis.</t>
  </si>
  <si>
    <t xml:space="preserve">Korrigiert: Mittel nur bei Nutzungsart Lastenaufzug und Frage 8.9b = Ja; sonst neue Regel Hoch.</t>
  </si>
  <si>
    <t xml:space="preserve">B08</t>
  </si>
  <si>
    <t xml:space="preserve">MF-K05</t>
  </si>
  <si>
    <t xml:space="preserve">TRBS 3121 Anh. 1 Nr. 19 nennt die Maßnahmen als Alternativen und für Altanlagen niedrig bis mittel je nach Nutzerkreis. Die Verschärfung (beide Verriegelungen) ist deine Entscheidung K-K04 vom 02.09.2026.</t>
  </si>
  <si>
    <t xml:space="preserve">Umgesetzt 16.09.: TRBS-Alternative (eine Verriegelung) = Niedrig; ohne Maßnahme Mittel; Hoch nur bei Kindern und als EIGENER STANDARD gekennzeichnet; Kein Risiko weiter nur mit beiden (K-K04).</t>
  </si>
  <si>
    <t xml:space="preserve">B09</t>
  </si>
  <si>
    <t xml:space="preserve">Gebäudeschnittstellen</t>
  </si>
  <si>
    <t xml:space="preserve">nicht zutreffend</t>
  </si>
  <si>
    <t xml:space="preserve">MF-K08 (4.11 Brandfallsteuerung gefordert), MF-U09 (BMA vorhanden), MF-U10 (Entrauchung vorhanden), MF-U11 (Sprinkler vorhanden) und MF-SF01 (Feuerwehraufzug) haben Anwendbarkeitsfilter. Die alte Prüfliste hat sie nur nicht angezeigt.</t>
  </si>
  <si>
    <t xml:space="preserve">Filter sind jetzt in der Kopfzeile sichtbar.</t>
  </si>
  <si>
    <t xml:space="preserve">B10</t>
  </si>
  <si>
    <t xml:space="preserve">MF-K10</t>
  </si>
  <si>
    <t xml:space="preserve">Der Filter 4.9 (Nutzung durch mobilitätseingeschränkte Personen) existiert. Eine Anforderung aus Genehmigung/Nutzung wird nicht abgefragt; das Maß 1,00 × 1,25 m ist fest vorgegeben.</t>
  </si>
  <si>
    <t xml:space="preserve">Umgesetzt 16.09.: neue Frage 4.9a „barrierefreie Ausführung gefordert“ löst die Prüfung ebenfalls aus; Maß mit Fahrkorbtyp und Normausgabe.</t>
  </si>
  <si>
    <t xml:space="preserve">B11</t>
  </si>
  <si>
    <t xml:space="preserve">F02/F05/F07/M10/S05</t>
  </si>
  <si>
    <t xml:space="preserve">Unwirksame oder widersprüchliche Maßnahmen.</t>
  </si>
  <si>
    <t xml:space="preserve">Korrigiert: MF-F02-R1/R2, MF-F05-R2, MF-F07-R1, MF-M10-R2 (inkl. Schreibfehler), MF-S05-R2.</t>
  </si>
  <si>
    <t xml:space="preserve">B12</t>
  </si>
  <si>
    <t xml:space="preserve">MF-M13</t>
  </si>
  <si>
    <t xml:space="preserve">Bei fehlendem Absperrventil wurde nur Zugänglichkeit/Kennzeichnung verlangt.</t>
  </si>
  <si>
    <t xml:space="preserve">Korrigiert: MF-M13-R4 verlangt den Einbau; bis dahin gesicherter Fahrkorb.</t>
  </si>
  <si>
    <t xml:space="preserve">B13</t>
  </si>
  <si>
    <t xml:space="preserve">MF-M20</t>
  </si>
  <si>
    <t xml:space="preserve">Die Sofortmaßnahme bezog sich auf das Fahrkorbdach. Der Filter „Rollenraum vorhanden“ bestand bereits.</t>
  </si>
  <si>
    <t xml:space="preserve">Korrigiert: Maßnahmen auf den Rollenraum bezogen.</t>
  </si>
  <si>
    <t xml:space="preserve">B14</t>
  </si>
  <si>
    <t xml:space="preserve">Bewertungsmethode</t>
  </si>
  <si>
    <t xml:space="preserve">Die regelbasierten Stufen mit Quelle und Freigabe sind die bewusste Methode von GBU 4.0; sonstige Gefährdungen laufen über die Nohl-Matrix. Es fehlen aber die dokumentierte Begründung einer manuellen Abweichung und das Restrisiko nach der Maßnahme.</t>
  </si>
  <si>
    <t xml:space="preserve">Übernommen (Empfehlung 16.09.): Abweichungsbegründung und Restrisiko je Befund – App-Runde. Regelbasierte Methode bleibt.</t>
  </si>
  <si>
    <t xml:space="preserve">H01</t>
  </si>
  <si>
    <t xml:space="preserve">Hoch</t>
  </si>
  <si>
    <t xml:space="preserve">Auffangregeln</t>
  </si>
  <si>
    <t xml:space="preserve">nicht zutreffend (Laufzeit)</t>
  </si>
  <si>
    <t xml:space="preserve">Die Engine prüft alle Pflichtfragen vor den Regeln und meldet sonst „unvollständig“. Regelrelevante Fragen werden automatisch Pflicht. Die Smoke-Tests decken das ab.</t>
  </si>
  <si>
    <t xml:space="preserve">Pflichtfragen stehen jetzt in der Kopfzeile; neue Tests prüfen fehlende Pflichtantworten (z. B. Nutzungsart bei MF-T06).</t>
  </si>
  <si>
    <t xml:space="preserve">H02</t>
  </si>
  <si>
    <t xml:space="preserve">MF-G03</t>
  </si>
  <si>
    <t xml:space="preserve">11.4b ist nur bei Grubentiefe &gt; 1,60 m sichtbar und Pflicht.</t>
  </si>
  <si>
    <t xml:space="preserve">In der Prüfliste sichtbar (Blatt „Fragen“, Spalte „Sichtbar, wenn“).</t>
  </si>
  <si>
    <t xml:space="preserve">H03</t>
  </si>
  <si>
    <t xml:space="preserve">MF-F03 / MF-G08</t>
  </si>
  <si>
    <t xml:space="preserve">4.8 fragt bereits „gemeinsamer Schacht“, 9.6 kennt „ausreichende Abstände“. Richtig ist: Die Alternative automatische Abschaltung fehlte und die Sofortmaßnahme war unspezifisch.</t>
  </si>
  <si>
    <t xml:space="preserve">Korrigiert: neue Fragen 9.6a und 11.14a (automatische Abschaltung → Kein Risiko), Maßnahmen benennen den Nachbaraufzug.</t>
  </si>
  <si>
    <t xml:space="preserve">H04</t>
  </si>
  <si>
    <t xml:space="preserve">F07/G04/G06</t>
  </si>
  <si>
    <t xml:space="preserve">9.11a erscheint nur bei vorhandener Klappe, 11.7a nur bei Grubenzugangstür, 11.10c nur bei energieverzehrenden Puffern.</t>
  </si>
  <si>
    <t xml:space="preserve">In der Prüfliste sichtbar.</t>
  </si>
  <si>
    <t xml:space="preserve">H05</t>
  </si>
  <si>
    <t xml:space="preserve">MF-K12–K14</t>
  </si>
  <si>
    <t xml:space="preserve">Sachfremde bzw. nicht gleichwertige Abhilfen.</t>
  </si>
  <si>
    <t xml:space="preserve">Korrigiert: MF-K12-R4, MF-K13-R1, MF-K14-R2 (inkl. Schreibfehler).</t>
  </si>
  <si>
    <t xml:space="preserve">H06</t>
  </si>
  <si>
    <t xml:space="preserve">MF-U01</t>
  </si>
  <si>
    <t xml:space="preserve">„Unbekannt“ ist kein bestätigter Befund.</t>
  </si>
  <si>
    <t xml:space="preserve">Korrigiert: MF-U01-R5 Mittel mit Schadstofferkundung statt Hoch mit Stillsetzung.</t>
  </si>
  <si>
    <t xml:space="preserve">H07</t>
  </si>
  <si>
    <t xml:space="preserve">MF-U01–U15</t>
  </si>
  <si>
    <t xml:space="preserve">Generische Schnittstellen-Texte aus der Ergänzung 2026.</t>
  </si>
  <si>
    <t xml:space="preserve">Korrigiert: gefährdungsspezifische Maßnahmen für U01–U03 und U06–U13.</t>
  </si>
  <si>
    <t xml:space="preserve">H08</t>
  </si>
  <si>
    <t xml:space="preserve">Die Formel zählte nur Sammelfreigaben.</t>
  </si>
  <si>
    <t xml:space="preserve">Behoben: Der Fortschritt zählt jede Regel mit wirksamer Entscheidung (eigene oder Sammelentscheidung).</t>
  </si>
  <si>
    <t xml:space="preserve">H09</t>
  </si>
  <si>
    <t xml:space="preserve">Datenvalidierung</t>
  </si>
  <si>
    <t xml:space="preserve">Ungültige Eingaben wurden nicht blockiert.</t>
  </si>
  <si>
    <t xml:space="preserve">Behoben: Die Auswahllisten weisen andere Werte ab.</t>
  </si>
  <si>
    <t xml:space="preserve">H10</t>
  </si>
  <si>
    <t xml:space="preserve">Änderungsworkflow</t>
  </si>
  <si>
    <t xml:space="preserve">Die Korrektur war bei „Ändern“/„Streichen“ nicht verpflichtend.</t>
  </si>
  <si>
    <t xml:space="preserve">Behoben: rote Markierung und Zähler „Korrektur fehlt“ in der Übersicht; das Übernahmeskript warnt.</t>
  </si>
  <si>
    <t xml:space="preserve">H11</t>
  </si>
  <si>
    <t xml:space="preserve">Maßnahmenlücken</t>
  </si>
  <si>
    <t xml:space="preserve">10 Regeln ohne Sofort- oder Folgemaßnahme; die eigene Vorprüfung hatte nur eine gefunden.</t>
  </si>
  <si>
    <t xml:space="preserve">Korrigiert; der Smoke-Test prüft das künftig für den ganzen Katalog.</t>
  </si>
  <si>
    <t xml:space="preserve">H12</t>
  </si>
  <si>
    <t xml:space="preserve">T/O-Kennzeichnung</t>
  </si>
  <si>
    <t xml:space="preserve">Systematische Ursache: Die Art hing an der Zeitlage (sofort = O, mittelfristig = T).</t>
  </si>
  <si>
    <t xml:space="preserve">Umgesetzt: Art aus dem Inhalt, gemischte eigene Texte bereinigt. „P“ (personenbezogen) kommt mit der App-Runde (Schema, Datenbank, App). Bitte Blatt „Maßnahmenarten“ gegenlesen.</t>
  </si>
  <si>
    <t xml:space="preserve">ja</t>
  </si>
  <si>
    <t xml:space="preserve">H13</t>
  </si>
  <si>
    <t xml:space="preserve">Quellenstand</t>
  </si>
  <si>
    <t xml:space="preserve">Die geltende TRBS 3121 (GMBl 2025 S. 691) gliedert den Haupttext nur bis Abschnitt 3.</t>
  </si>
  <si>
    <t xml:space="preserve">Korrigiert: Z09 → 3.1.3/3.7.3, M15 → 3.7.3, D01 → 3.6/3.2 Nr. 6, D03 → 3.4.1, D05 → 3.3, U12 → 3.4.2.</t>
  </si>
  <si>
    <t xml:space="preserve">H14</t>
  </si>
  <si>
    <t xml:space="preserve">Formelwerte</t>
  </si>
  <si>
    <t xml:space="preserve">Formeln ohne gespeicherte Ergebnisse.</t>
  </si>
  <si>
    <t xml:space="preserve">Behoben: Die Datei wird vor der Ausgabe neu berechnet.</t>
  </si>
  <si>
    <t xml:space="preserve">H15</t>
  </si>
  <si>
    <t xml:space="preserve">MF-F04</t>
  </si>
  <si>
    <t xml:space="preserve">Die Schutzeinrichtung wirkt, es fehlt nur die Kennzeichnung.</t>
  </si>
  <si>
    <t xml:space="preserve">Korrigiert: MF-F04-R2 Mittel statt Hoch.</t>
  </si>
  <si>
    <t xml:space="preserve">H16</t>
  </si>
  <si>
    <t xml:space="preserve">MF-K11</t>
  </si>
  <si>
    <t xml:space="preserve">Videoüberwachung als pauschale Abhilfe.</t>
  </si>
  <si>
    <t xml:space="preserve">Korrigiert: MF-K11-R3 nach DIN EN 81-71; weitere Maßnahmen nach Ursachenanalyse.</t>
  </si>
  <si>
    <t xml:space="preserve">M01</t>
  </si>
  <si>
    <t xml:space="preserve">Mittel</t>
  </si>
  <si>
    <t xml:space="preserve">Hilfetexte</t>
  </si>
  <si>
    <t xml:space="preserve">Nur 20 von 289 Fragen haben einen Hilfetext.</t>
  </si>
  <si>
    <t xml:space="preserve">Teilweise umgesetzt 16.09.: 37 sicherheitskritische Fragen haben jetzt einen Prüfhinweis (65 von 294 insgesamt). Rest folgt.</t>
  </si>
  <si>
    <t xml:space="preserve">M02</t>
  </si>
  <si>
    <t xml:space="preserve">Ergebnisdokumentation</t>
  </si>
  <si>
    <t xml:space="preserve">Die App führt Maßnahmen je Befund mit Verfolgung; das Restrisiko fehlt (siehe B14).</t>
  </si>
  <si>
    <t xml:space="preserve">Siehe B14.</t>
  </si>
  <si>
    <t xml:space="preserve">M03</t>
  </si>
  <si>
    <t xml:space="preserve">Normrückverfolgung</t>
  </si>
  <si>
    <t xml:space="preserve">Die EN-81-80-Zuordnung liegt je Punkt vor (en8180_map, GBU_EN8180_Zuordnung.xlsx); die Prüfliste zeigte nur ja/nein.</t>
  </si>
  <si>
    <t xml:space="preserve">Behoben: Die Kopfzeile nennt die EN-81-80-Punkte mit Abschnitt.</t>
  </si>
  <si>
    <t xml:space="preserve">M04</t>
  </si>
  <si>
    <t xml:space="preserve">Schreibfehler</t>
  </si>
  <si>
    <t xml:space="preserve">„Motrorregelung“, „Machinenrahmen“, „nachrüste“, „Eignung ,“.</t>
  </si>
  <si>
    <t xml:space="preserve">Korrigiert (zentrale Textkorrektur beim Einlesen der App-Maßnahmen).</t>
  </si>
  <si>
    <t xml:space="preserve">M05</t>
  </si>
  <si>
    <t xml:space="preserve">Blattschutz</t>
  </si>
  <si>
    <t xml:space="preserve">Blätter ungeschützt.</t>
  </si>
  <si>
    <t xml:space="preserve">Behoben: Blattschutz ohne Kennwort; nur Entscheidungs- und Korrekturzellen sind offen, Filter bleiben nutzbar.</t>
  </si>
  <si>
    <t xml:space="preserve">N01</t>
  </si>
  <si>
    <t xml:space="preserve">Niedrig</t>
  </si>
  <si>
    <t xml:space="preserve">Darstellung</t>
  </si>
  <si>
    <t xml:space="preserve">Sehr textdicht.</t>
  </si>
  <si>
    <t xml:space="preserve">Teilweise: Geänderte Regeln sind farbig markiert und filterbar (Status „offen – geändert“).</t>
  </si>
  <si>
    <t xml:space="preserve">Runde 2 – zweite Prüfung vom 16.09.2026</t>
  </si>
  <si>
    <t xml:space="preserve">P2-1</t>
  </si>
  <si>
    <t xml:space="preserve">Scherengitter-Regel (Prio 200) verdrängte die Hoch-Regel für Ersatzlösungen ohne Voraussetzung; „keine Schließkantensicherung“ war bei mobilitätseingeschränkten Nutzern günstiger als die Einzel-Lichtschranke.</t>
  </si>
  <si>
    <t xml:space="preserve">Umgesetzt: Licht- und Scherengitter laufen über dieselbe Voraussetzung (Lastenaufzug, nur Eingewiesene), sonst Hoch; neue Regel „keine Schließkantensicherung + PmeM = Hoch“; Maßnahme in R1 begrenzt. Ein Monotonie-Test prüft, dass weniger Schutz nie günstiger bewertet wird.</t>
  </si>
  <si>
    <t xml:space="preserve">P2-2</t>
  </si>
  <si>
    <t xml:space="preserve">Baujahr-Annahmen</t>
  </si>
  <si>
    <t xml:space="preserve">Ein Baujahr begründet eine Erwartung, keinen Nachweis.</t>
  </si>
  <si>
    <t xml:space="preserve">Entscheidung Arne 16.09.2026: Annahmen bleiben wie am 07.09. festgelegt (widerlegbar, im Bericht als „angenommen“ ausgewiesen). Behoben: 1.24 Baujahr und 1.29 Konformitätsnachweis stehen jetzt im Blatt „Fragen“, dazu je Frage die Annahme.</t>
  </si>
  <si>
    <t xml:space="preserve">P2-3</t>
  </si>
  <si>
    <t xml:space="preserve">K02 / U06 / F03 / G08 / 8.4</t>
  </si>
  <si>
    <t xml:space="preserve">Risikominderung ohne nachgewiesene Schutzwirkung.</t>
  </si>
  <si>
    <t xml:space="preserve">Umgesetzt: K02 beleuchteter Taster = Niedrig statt Kein Risiko; U06 neue Frage 15.25b (Ex-Schutz umgesetzt und geprüft), sonst Hoch; F03/G08 neue Fragen 9.6b/11.14b (Abschaltung geprüft), sonst Mittel. 8.4 ist bewusst nur Dokumentation (für den Cyber-Fragebogen) und jetzt so beschriftet.</t>
  </si>
  <si>
    <t xml:space="preserve">P2-4</t>
  </si>
  <si>
    <t xml:space="preserve">MF-G04 / MF-T04</t>
  </si>
  <si>
    <t xml:space="preserve">Leiter wurde auch bei ebenerdigem Grubenzugang bewertet; Einzugsschutz für Schiebetüren auch bei Drehtüren abgefragt.</t>
  </si>
  <si>
    <t xml:space="preserve">Umgesetzt: Zugangsart zuerst (11.7), Leiter nur bei Leiterzugang; neue Frage 7.9a (kraftbetätigte Schiebetür), Einzugsschutz nur dann.</t>
  </si>
  <si>
    <t xml:space="preserve">P2-5</t>
  </si>
  <si>
    <t xml:space="preserve">MF-M08 / MF-K13 / MF-K14 / MF-K12</t>
  </si>
  <si>
    <t xml:space="preserve">Indirekte Hydraulikaufzüge wurden wie Treibscheibenaufzüge behandelt; „SR-Modul ausbauen“ ist keine Standardalternative.</t>
  </si>
  <si>
    <t xml:space="preserve">Umgesetzt: Betriebsbremse, Wellenlagerung und Sturz nach oben nur bei Treibscheiben-/Trommelantrieb; K12-R1-Maßnahme mit anlagenspezifischer Prüfung.</t>
  </si>
  <si>
    <t xml:space="preserve">P2-6</t>
  </si>
  <si>
    <t xml:space="preserve">Regelkennungen</t>
  </si>
  <si>
    <t xml:space="preserve">Zwischen v1 und v2 wurden Codes neu belegt (z. B. MF-T04-R3).</t>
  </si>
  <si>
    <t xml:space="preserve">Umgesetzt: Regel-IDs hängen jetzt am Sachverhalt (Bedingung + Anwendbarkeit) und werden nie neu vergeben (mf_content/regel_ids.json, Basis v1). Revision je Regel; die Freigabe ist zusätzlich an Gefährdungslogik, abhängige Fragen und Maßnahmentexte gebunden. Die Prüfliste v2 ist damit überholt.</t>
  </si>
  <si>
    <t xml:space="preserve">P2-7</t>
  </si>
  <si>
    <t xml:space="preserve">Bestandskatalog</t>
  </si>
  <si>
    <t xml:space="preserve">13 Gefährdungen fehlten im Bestandskatalog.</t>
  </si>
  <si>
    <t xml:space="preserve">Entscheidung Arne 16.09.2026: K12, K14 (TRBS 3121 Nr. 16) und die Betreiberpflichten Z01, Z04, Z05, Z06, Z08, Z09, M16, M19, S06, F08 aufgenommen; F02 bleibt als reiner EN-81-20-Konstruktionspunkt draußen. Die Freigabe gilt weiter für beide Kataloge, weil der Generator identische Regeln, Gefährdungen und Anwendbarkeit erzwingt.</t>
  </si>
  <si>
    <t xml:space="preserve">P2-8</t>
  </si>
  <si>
    <t xml:space="preserve">Maßnahmen präzisieren</t>
  </si>
  <si>
    <t xml:space="preserve">„Vorsicht“ ist keine Schutzmaßnahme; Verantwortlichkeit, Termin und Wirksamkeitsnachweis fehlen.</t>
  </si>
  <si>
    <t xml:space="preserve">Umgesetzt: 12 unkonkrete Sofortmaßnahmen ersetzt. Verantwortlich, Frist und Wirksamkeit gehören an den Befund in der App (Maßnahmenverfolgung) – App-Runde.</t>
  </si>
  <si>
    <t xml:space="preserve">P2-9</t>
  </si>
  <si>
    <t xml:space="preserve">T/O/P</t>
  </si>
  <si>
    <t xml:space="preserve">Gemischte Maßnahmen, P fehlt.</t>
  </si>
  <si>
    <t xml:space="preserve">Eigene gemischte Texte (Leuchten + Schutzhelm) bereinigt; P kommt mit der App-Runde.</t>
  </si>
  <si>
    <t xml:space="preserve">P2-10</t>
  </si>
  <si>
    <t xml:space="preserve">Nur wenige Fragen mit echtem Prüfhinweis.</t>
  </si>
  <si>
    <t xml:space="preserve">37 sicherheitskritische Fragen ergänzt (Prüfmethode, Abgrenzung, Nachweis) – bitte im Blatt „Fragen“ gegenlesen.</t>
  </si>
  <si>
    <t xml:space="preserve">P2-11</t>
  </si>
  <si>
    <t xml:space="preserve">Freigabereife</t>
  </si>
  <si>
    <t xml:space="preserve">100 % entschieden ist nicht gleich freigabereif.</t>
  </si>
  <si>
    <t xml:space="preserve">Übersicht hat die Spalte „freigabereif“ (alles entschieden, alles Freigeben, keine fehlende Korrektur).</t>
  </si>
  <si>
    <t xml:space="preserve">Code</t>
  </si>
  <si>
    <t xml:space="preserve">Maßnahme</t>
  </si>
  <si>
    <t xml:space="preserve">Zeitlage</t>
  </si>
  <si>
    <t xml:space="preserve">Art (neu)</t>
  </si>
  <si>
    <t xml:space="preserve">Art bisher</t>
  </si>
  <si>
    <t xml:space="preserve">geändert</t>
  </si>
  <si>
    <t xml:space="preserve">verwendet in</t>
  </si>
  <si>
    <t xml:space="preserve">Art richtig?</t>
  </si>
  <si>
    <t xml:space="preserve">Nr.</t>
  </si>
  <si>
    <t xml:space="preserve">Frage</t>
  </si>
  <si>
    <t xml:space="preserve">Typ</t>
  </si>
  <si>
    <t xml:space="preserve">Antwortoptionen</t>
  </si>
  <si>
    <t xml:space="preserve">Sichtbar, wenn</t>
  </si>
  <si>
    <t xml:space="preserve">Pflicht in</t>
  </si>
  <si>
    <t xml:space="preserve">Annahme ab Baujahr</t>
  </si>
  <si>
    <t xml:space="preserve">Hilfetext</t>
  </si>
  <si>
    <t xml:space="preserve">1.24</t>
  </si>
  <si>
    <t xml:space="preserve">qa_baujahr</t>
  </si>
  <si>
    <t xml:space="preserve">Baujahr der Anlage</t>
  </si>
  <si>
    <t xml:space="preserve">A – Anlagenmerkmale</t>
  </si>
  <si>
    <t xml:space="preserve">NUMBER</t>
  </si>
  <si>
    <t xml:space="preserve">Zahl 1900 … 2100</t>
  </si>
  <si>
    <t xml:space="preserve">immer</t>
  </si>
  <si>
    <t xml:space="preserve">–</t>
  </si>
  <si>
    <t xml:space="preserve">Wird aus den Stammdaten übernommen. Steuerfeld: Es entscheidet mit über den passenden GBU-Typ (bis 1998 in aller Regel Bestand nach DIN EN 81-80) und darüber, ob eine fehlende Einrichtung eine Nachrüstung nach dem Stand der Technik oder ein Konformitätsmangel ist. Es blendet bewusst KEINE Frage aus – die Gefährdung besteht unabhängig vom Alter der Anlage.</t>
  </si>
  <si>
    <t xml:space="preserve">1.28</t>
  </si>
  <si>
    <t xml:space="preserve">qa_norm_inverkehrbringen</t>
  </si>
  <si>
    <t xml:space="preserve">Regelwerk bei Inverkehrbringen / letzter Modernisierung</t>
  </si>
  <si>
    <t xml:space="preserve">SELECT</t>
  </si>
  <si>
    <t xml:space="preserve">• TRA 200 / TRA 102 (vor 1999)
• DIN EN 81-1 / 81-2 (1999–2017)
• DIN EN 81-20 (ab 2017)
• Unbekannt / keine Unterlagen</t>
  </si>
  <si>
    <t xml:space="preserve">Ergänzt das Baujahr (1.24): Eine 1985 gebaute, 2020 durchgreifend modernisierte Anlage ist nach EN 81-20 in Verkehr gebracht. Weicht die Angabe vom Baujahr ab, gilt für die Beurteilung des Soll-Zustands das Regelwerk, nicht das Baujahr.</t>
  </si>
  <si>
    <t xml:space="preserve">1.29</t>
  </si>
  <si>
    <t xml:space="preserve">qd_konformitaet_geprueft</t>
  </si>
  <si>
    <t xml:space="preserve">Konformitätserklärung und Abnahmeunterlagen der Anlage liegen vor?</t>
  </si>
  <si>
    <t xml:space="preserve">D – Unterlagen und Betreiberorganisation</t>
  </si>
  <si>
    <t xml:space="preserve">YES_NO</t>
  </si>
  <si>
    <t xml:space="preserve">Ja / Nein</t>
  </si>
  <si>
    <t xml:space="preserve">Nur für Anlagen, die nach der Aufzugsrichtlinie in Verkehr gebracht wurden (ab 1999). Bei Altanlagen nach TRA: Nein wählen. Die Frage schaltet zugleich alle Baujahr-Annahmen: Nur bei „Ja" gelten Merkmale, die zum Baujahr vorgeschrieben waren, als abgenommen (Prüfbericht 20.09.2026 – bisher reichte dafür eine unbeantwortete Frage).</t>
  </si>
</sst>
</file>

<file path=xl/styles.xml><?xml version="1.0" encoding="utf-8"?>
<styleSheet xmlns="http://schemas.openxmlformats.org/spreadsheetml/2006/main">
  <numFmts count="3">
    <numFmt numFmtId="164" formatCode="General"/>
    <numFmt numFmtId="165" formatCode="General"/>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1"/>
      <name val="Arial"/>
      <family val="0"/>
      <charset val="1"/>
    </font>
    <font>
      <b val="true"/>
      <sz val="10"/>
      <color rgb="FFFFFFFF"/>
      <name val="Arial"/>
      <family val="0"/>
      <charset val="1"/>
    </font>
    <font>
      <b val="true"/>
      <sz val="10"/>
      <name val="Arial"/>
      <family val="0"/>
      <charset val="1"/>
    </font>
    <font>
      <i val="true"/>
      <sz val="10"/>
      <color rgb="FF555555"/>
      <name val="Arial"/>
      <family val="0"/>
      <charset val="1"/>
    </font>
  </fonts>
  <fills count="7">
    <fill>
      <patternFill patternType="none"/>
    </fill>
    <fill>
      <patternFill patternType="gray125"/>
    </fill>
    <fill>
      <patternFill patternType="solid">
        <fgColor rgb="FF1F3A5F"/>
        <bgColor rgb="FF333333"/>
      </patternFill>
    </fill>
    <fill>
      <patternFill patternType="solid">
        <fgColor rgb="FFDCE6F1"/>
        <bgColor rgb="FFD9EAD3"/>
      </patternFill>
    </fill>
    <fill>
      <patternFill patternType="solid">
        <fgColor rgb="FFFFF2CC"/>
        <bgColor rgb="FFEDEDED"/>
      </patternFill>
    </fill>
    <fill>
      <patternFill patternType="solid">
        <fgColor rgb="FFD9EAD3"/>
        <bgColor rgb="FFDCE6F1"/>
      </patternFill>
    </fill>
    <fill>
      <patternFill patternType="solid">
        <fgColor rgb="FFEDEDED"/>
        <bgColor rgb="FFDCE6F1"/>
      </patternFill>
    </fill>
  </fills>
  <borders count="2">
    <border diagonalUp="false" diagonalDown="false">
      <left/>
      <right/>
      <top/>
      <bottom/>
      <diagonal/>
    </border>
    <border diagonalUp="false" diagonalDown="false">
      <left style="thin">
        <color rgb="FFC9D1DB"/>
      </left>
      <right style="thin">
        <color rgb="FFC9D1DB"/>
      </right>
      <top style="thin">
        <color rgb="FFC9D1DB"/>
      </top>
      <bottom style="thin">
        <color rgb="FFC9D1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true">
      <alignment horizontal="general" vertical="top"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D9EAD3"/>
        </patternFill>
      </fill>
    </dxf>
    <dxf>
      <fill>
        <patternFill>
          <bgColor rgb="FFF4B6B6"/>
        </patternFill>
      </fill>
    </dxf>
    <dxf>
      <fill>
        <patternFill patternType="solid">
          <fgColor rgb="FF1F3A5F"/>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CE6F1"/>
      <rgbColor rgb="FF660066"/>
      <rgbColor rgb="FFFF8080"/>
      <rgbColor rgb="FF0066CC"/>
      <rgbColor rgb="FFC9D1DB"/>
      <rgbColor rgb="FF000080"/>
      <rgbColor rgb="FFFF00FF"/>
      <rgbColor rgb="FFFFFF00"/>
      <rgbColor rgb="FF00FFFF"/>
      <rgbColor rgb="FF800080"/>
      <rgbColor rgb="FF800000"/>
      <rgbColor rgb="FF008080"/>
      <rgbColor rgb="FF0000FF"/>
      <rgbColor rgb="FF00CCFF"/>
      <rgbColor rgb="FFEDEDED"/>
      <rgbColor rgb="FFD9EAD3"/>
      <rgbColor rgb="FFFFFF99"/>
      <rgbColor rgb="FF99CCFF"/>
      <rgbColor rgb="FFFF99CC"/>
      <rgbColor rgb="FFCC99FF"/>
      <rgbColor rgb="FFF4B6B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6.15" hidden="false" customHeight="false" outlineLevel="0" collapsed="false">
      <c r="A1" s="1" t="s">
        <v>0</v>
      </c>
    </row>
    <row r="2" customFormat="false" ht="30" hidden="false" customHeight="true" outlineLevel="0" collapsed="false">
      <c r="A2" s="2" t="s">
        <v>1</v>
      </c>
    </row>
    <row r="3" customFormat="false" ht="15" hidden="false" customHeight="false" outlineLevel="0" collapsed="false">
      <c r="A3" s="2"/>
    </row>
    <row r="4" customFormat="false" ht="30" hidden="false" customHeight="true" outlineLevel="0" collapsed="false">
      <c r="A4" s="2" t="s">
        <v>2</v>
      </c>
    </row>
    <row r="5" customFormat="false" ht="43.5" hidden="false" customHeight="true" outlineLevel="0" collapsed="false">
      <c r="A5" s="2" t="s">
        <v>3</v>
      </c>
    </row>
    <row r="6" customFormat="false" ht="43.5" hidden="false" customHeight="true" outlineLevel="0" collapsed="false">
      <c r="A6" s="2" t="s">
        <v>4</v>
      </c>
    </row>
    <row r="7" customFormat="false" ht="43.5" hidden="false" customHeight="tru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43.5" hidden="false" customHeight="true" outlineLevel="0" collapsed="false">
      <c r="A10" s="2" t="s">
        <v>7</v>
      </c>
    </row>
    <row r="11" customFormat="false" ht="30" hidden="false" customHeight="true" outlineLevel="0" collapsed="false">
      <c r="A11" s="2" t="s">
        <v>8</v>
      </c>
    </row>
    <row r="12" customFormat="false" ht="30" hidden="false" customHeight="true" outlineLevel="0" collapsed="false">
      <c r="A12" s="2" t="s">
        <v>9</v>
      </c>
    </row>
    <row r="13" customFormat="false" ht="15.75" hidden="false" customHeight="true" outlineLevel="0" collapsed="false">
      <c r="A13" s="2" t="s">
        <v>10</v>
      </c>
    </row>
    <row r="14" customFormat="false" ht="30" hidden="false" customHeight="true" outlineLevel="0" collapsed="false">
      <c r="A14" s="2" t="s">
        <v>11</v>
      </c>
    </row>
    <row r="15" customFormat="false" ht="30" hidden="false" customHeight="true" outlineLevel="0" collapsed="false">
      <c r="A15" s="2" t="s">
        <v>12</v>
      </c>
    </row>
    <row r="16" customFormat="false" ht="15" hidden="false" customHeight="false" outlineLevel="0" collapsed="false">
      <c r="A16" s="2"/>
    </row>
    <row r="17" customFormat="false" ht="15" hidden="false" customHeight="false" outlineLevel="0" collapsed="false">
      <c r="A17" s="3" t="s">
        <v>13</v>
      </c>
    </row>
    <row r="18" customFormat="false" ht="15.75" hidden="false" customHeight="true" outlineLevel="0" collapsed="false">
      <c r="A18" s="2" t="s">
        <v>14</v>
      </c>
    </row>
    <row r="19" customFormat="false" ht="15.75" hidden="false" customHeight="true" outlineLevel="0" collapsed="false">
      <c r="A19" s="2" t="s">
        <v>15</v>
      </c>
    </row>
    <row r="20" customFormat="false" ht="30" hidden="false" customHeight="true" outlineLevel="0" collapsed="false">
      <c r="A20" s="2" t="s">
        <v>16</v>
      </c>
    </row>
    <row r="21" customFormat="false" ht="30" hidden="false" customHeight="true" outlineLevel="0" collapsed="false">
      <c r="A21" s="2" t="s">
        <v>17</v>
      </c>
    </row>
    <row r="22" customFormat="false" ht="15.75" hidden="false" customHeight="true" outlineLevel="0" collapsed="false">
      <c r="A22" s="2" t="s">
        <v>18</v>
      </c>
    </row>
    <row r="23" customFormat="false" ht="30" hidden="false" customHeight="true" outlineLevel="0" collapsed="false">
      <c r="A23" s="2" t="s">
        <v>19</v>
      </c>
    </row>
    <row r="24" customFormat="false" ht="15" hidden="false" customHeight="false" outlineLevel="0" collapsed="false">
      <c r="A24" s="2"/>
    </row>
    <row r="25" customFormat="false" ht="30" hidden="false" customHeight="true" outlineLevel="0" collapsed="false">
      <c r="A25" s="2" t="s">
        <v>20</v>
      </c>
    </row>
    <row r="26" customFormat="false" ht="15" hidden="false" customHeight="false" outlineLevel="0" collapsed="false">
      <c r="A26" s="2"/>
    </row>
    <row r="27" customFormat="false" ht="43.5" hidden="false" customHeight="true" outlineLevel="0" collapsed="false">
      <c r="A27" s="2" t="s">
        <v>21</v>
      </c>
    </row>
  </sheetData>
  <sheetProtection sheet="true" formatColumns="false" formatRows="false" sort="false" autoFilter="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0"/>
    <col collapsed="false" customWidth="true" hidden="false" outlineLevel="0" max="4" min="3" style="0" width="13"/>
    <col collapsed="false" customWidth="true" hidden="false" outlineLevel="0" max="5" min="5" style="0" width="12"/>
    <col collapsed="false" customWidth="true" hidden="false" outlineLevel="0" max="6" min="6" style="0" width="16"/>
    <col collapsed="false" customWidth="true" hidden="false" outlineLevel="0" max="7" min="7" style="0" width="13"/>
    <col collapsed="false" customWidth="true" hidden="false" outlineLevel="0" max="8" min="8" style="0" width="12"/>
    <col collapsed="false" customWidth="true" hidden="false" outlineLevel="0" max="10" min="9" style="0" width="10"/>
    <col collapsed="false" customWidth="true" hidden="false" outlineLevel="0" max="12" min="11" style="0" width="12"/>
    <col collapsed="false" customWidth="true" hidden="false" outlineLevel="0" max="13" min="13" style="0" width="14"/>
  </cols>
  <sheetData>
    <row r="1" customFormat="false" ht="23.85" hidden="false" customHeight="false" outlineLevel="0" collapsed="false">
      <c r="A1" s="4" t="s">
        <v>22</v>
      </c>
      <c r="B1" s="4" t="s">
        <v>23</v>
      </c>
      <c r="C1" s="4" t="s">
        <v>24</v>
      </c>
      <c r="D1" s="4" t="s">
        <v>25</v>
      </c>
      <c r="E1" s="4" t="s">
        <v>26</v>
      </c>
      <c r="F1" s="4" t="s">
        <v>27</v>
      </c>
      <c r="G1" s="4" t="s">
        <v>28</v>
      </c>
      <c r="H1" s="4" t="s">
        <v>29</v>
      </c>
      <c r="I1" s="4" t="s">
        <v>30</v>
      </c>
      <c r="J1" s="4" t="s">
        <v>31</v>
      </c>
      <c r="K1" s="4" t="s">
        <v>32</v>
      </c>
      <c r="L1" s="4" t="s">
        <v>33</v>
      </c>
      <c r="M1" s="4" t="s">
        <v>34</v>
      </c>
    </row>
    <row r="2" customFormat="false" ht="15" hidden="false" customHeight="false" outlineLevel="0" collapsed="false">
      <c r="A2" s="5" t="s">
        <v>35</v>
      </c>
      <c r="C2" s="6" t="e">
        <f aca="false">SUM(C2:C1)</f>
        <v>#VALUE!</v>
      </c>
      <c r="D2" s="6" t="e">
        <f aca="false">SUM(D2:D1)</f>
        <v>#VALUE!</v>
      </c>
      <c r="E2" s="6" t="e">
        <f aca="false">SUM(E2:E1)</f>
        <v>#VALUE!</v>
      </c>
      <c r="F2" s="6" t="e">
        <f aca="false">SUM(F2:F1)</f>
        <v>#VALUE!</v>
      </c>
      <c r="G2" s="6" t="e">
        <f aca="false">SUM(G2:G1)</f>
        <v>#VALUE!</v>
      </c>
      <c r="H2" s="6" t="e">
        <f aca="false">SUM(H2:H1)</f>
        <v>#VALUE!</v>
      </c>
      <c r="I2" s="6" t="e">
        <f aca="false">SUM(I2:I1)</f>
        <v>#VALUE!</v>
      </c>
      <c r="J2" s="6" t="e">
        <f aca="false">SUM(J2:J1)</f>
        <v>#VALUE!</v>
      </c>
      <c r="K2" s="6" t="e">
        <f aca="false">SUM(K2:K1)</f>
        <v>#VALUE!</v>
      </c>
      <c r="L2" s="7" t="e">
        <f aca="false">IF(D2=0,"",G2/D2)</f>
        <v>#VALUE!</v>
      </c>
      <c r="M2" s="6" t="e">
        <f aca="false">IF(AND(H2=D2,K2=0),"ja","nein")</f>
        <v>#VALUE!</v>
      </c>
    </row>
    <row r="4" customFormat="false" ht="15" hidden="false" customHeight="false" outlineLevel="0" collapsed="false">
      <c r="A4" s="8" t="s">
        <v>36</v>
      </c>
    </row>
  </sheetData>
  <sheetProtection sheet="true" formatColumns="false" formatRows="false" sort="false" autoFilter="false"/>
  <conditionalFormatting sqref="M2">
    <cfRule type="expression" priority="2" aboveAverage="0" equalAverage="0" bottom="0" percent="0" rank="0" text="" dxfId="0">
      <formula>M2="ja"</formula>
    </cfRule>
  </conditionalFormatting>
  <conditionalFormatting sqref="K2">
    <cfRule type="expression" priority="3" aboveAverage="0" equalAverage="0" bottom="0" percent="0" rank="0" text="" dxfId="1">
      <formula>K2&gt;0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22"/>
    <col collapsed="false" customWidth="true" hidden="false" outlineLevel="0" max="4" min="4" style="0" width="16"/>
    <col collapsed="false" customWidth="true" hidden="false" outlineLevel="0" max="6" min="5" style="0" width="60"/>
    <col collapsed="false" customWidth="true" hidden="false" outlineLevel="0" max="7" min="7" style="0" width="12"/>
    <col collapsed="false" customWidth="true" hidden="false" outlineLevel="0" max="8" min="8" style="0" width="16"/>
    <col collapsed="false" customWidth="true" hidden="false" outlineLevel="0" max="9" min="9" style="0" width="40"/>
  </cols>
  <sheetData>
    <row r="1" customFormat="false" ht="23.85" hidden="false" customHeight="false" outlineLevel="0" collapsed="false">
      <c r="A1" s="4" t="s">
        <v>37</v>
      </c>
      <c r="B1" s="4" t="s">
        <v>38</v>
      </c>
      <c r="C1" s="4" t="s">
        <v>39</v>
      </c>
      <c r="D1" s="4" t="s">
        <v>40</v>
      </c>
      <c r="E1" s="4" t="s">
        <v>41</v>
      </c>
      <c r="F1" s="4" t="s">
        <v>42</v>
      </c>
      <c r="G1" s="4" t="s">
        <v>43</v>
      </c>
      <c r="H1" s="4" t="s">
        <v>44</v>
      </c>
      <c r="I1" s="4" t="s">
        <v>45</v>
      </c>
    </row>
    <row r="2" customFormat="false" ht="15" hidden="false" customHeight="false" outlineLevel="0" collapsed="false">
      <c r="A2" s="9" t="s">
        <v>46</v>
      </c>
      <c r="B2" s="9"/>
      <c r="C2" s="9"/>
      <c r="D2" s="9"/>
      <c r="E2" s="9"/>
      <c r="F2" s="9"/>
      <c r="G2" s="9"/>
      <c r="H2" s="9"/>
      <c r="I2" s="9"/>
    </row>
    <row r="3" customFormat="false" ht="70.5" hidden="false" customHeight="true" outlineLevel="0" collapsed="false">
      <c r="A3" s="10" t="s">
        <v>47</v>
      </c>
      <c r="B3" s="11" t="s">
        <v>48</v>
      </c>
      <c r="C3" s="11" t="s">
        <v>49</v>
      </c>
      <c r="D3" s="12" t="s">
        <v>50</v>
      </c>
      <c r="E3" s="11" t="s">
        <v>51</v>
      </c>
      <c r="F3" s="11" t="s">
        <v>52</v>
      </c>
      <c r="G3" s="11"/>
      <c r="H3" s="11"/>
      <c r="I3" s="11"/>
    </row>
    <row r="4" customFormat="false" ht="30" hidden="false" customHeight="true" outlineLevel="0" collapsed="false">
      <c r="A4" s="10" t="s">
        <v>53</v>
      </c>
      <c r="B4" s="11" t="s">
        <v>48</v>
      </c>
      <c r="C4" s="11" t="s">
        <v>54</v>
      </c>
      <c r="D4" s="13" t="s">
        <v>55</v>
      </c>
      <c r="E4" s="11" t="s">
        <v>56</v>
      </c>
      <c r="F4" s="11" t="s">
        <v>57</v>
      </c>
      <c r="G4" s="11"/>
      <c r="H4" s="11"/>
      <c r="I4" s="11"/>
    </row>
    <row r="5" customFormat="false" ht="30" hidden="false" customHeight="true" outlineLevel="0" collapsed="false">
      <c r="A5" s="10" t="s">
        <v>58</v>
      </c>
      <c r="B5" s="11" t="s">
        <v>48</v>
      </c>
      <c r="C5" s="11" t="s">
        <v>59</v>
      </c>
      <c r="D5" s="13" t="s">
        <v>55</v>
      </c>
      <c r="E5" s="11" t="s">
        <v>60</v>
      </c>
      <c r="F5" s="11" t="s">
        <v>61</v>
      </c>
      <c r="G5" s="11"/>
      <c r="H5" s="11"/>
      <c r="I5" s="11"/>
    </row>
    <row r="6" customFormat="false" ht="43.5" hidden="false" customHeight="true" outlineLevel="0" collapsed="false">
      <c r="A6" s="10" t="s">
        <v>62</v>
      </c>
      <c r="B6" s="11" t="s">
        <v>48</v>
      </c>
      <c r="C6" s="11" t="s">
        <v>63</v>
      </c>
      <c r="D6" s="13" t="s">
        <v>55</v>
      </c>
      <c r="E6" s="11" t="s">
        <v>64</v>
      </c>
      <c r="F6" s="11" t="s">
        <v>65</v>
      </c>
      <c r="G6" s="11"/>
      <c r="H6" s="11"/>
      <c r="I6" s="11"/>
    </row>
    <row r="7" customFormat="false" ht="43.5" hidden="false" customHeight="true" outlineLevel="0" collapsed="false">
      <c r="A7" s="10" t="s">
        <v>66</v>
      </c>
      <c r="B7" s="11" t="s">
        <v>48</v>
      </c>
      <c r="C7" s="11" t="s">
        <v>67</v>
      </c>
      <c r="D7" s="13" t="s">
        <v>55</v>
      </c>
      <c r="E7" s="11" t="s">
        <v>68</v>
      </c>
      <c r="F7" s="11" t="s">
        <v>69</v>
      </c>
      <c r="G7" s="11"/>
      <c r="H7" s="11"/>
      <c r="I7" s="11"/>
    </row>
    <row r="8" customFormat="false" ht="30" hidden="false" customHeight="true" outlineLevel="0" collapsed="false">
      <c r="A8" s="10" t="s">
        <v>70</v>
      </c>
      <c r="B8" s="11" t="s">
        <v>48</v>
      </c>
      <c r="C8" s="11" t="s">
        <v>71</v>
      </c>
      <c r="D8" s="13" t="s">
        <v>55</v>
      </c>
      <c r="E8" s="11" t="s">
        <v>72</v>
      </c>
      <c r="F8" s="11" t="s">
        <v>73</v>
      </c>
      <c r="G8" s="11"/>
      <c r="H8" s="11"/>
      <c r="I8" s="11"/>
    </row>
    <row r="9" customFormat="false" ht="30" hidden="false" customHeight="true" outlineLevel="0" collapsed="false">
      <c r="A9" s="10" t="s">
        <v>74</v>
      </c>
      <c r="B9" s="11" t="s">
        <v>48</v>
      </c>
      <c r="C9" s="11" t="s">
        <v>75</v>
      </c>
      <c r="D9" s="13" t="s">
        <v>55</v>
      </c>
      <c r="E9" s="11" t="s">
        <v>76</v>
      </c>
      <c r="F9" s="11" t="s">
        <v>77</v>
      </c>
      <c r="G9" s="11"/>
      <c r="H9" s="11"/>
      <c r="I9" s="11"/>
    </row>
    <row r="10" customFormat="false" ht="43.5" hidden="false" customHeight="true" outlineLevel="0" collapsed="false">
      <c r="A10" s="10" t="s">
        <v>78</v>
      </c>
      <c r="B10" s="11" t="s">
        <v>48</v>
      </c>
      <c r="C10" s="11" t="s">
        <v>79</v>
      </c>
      <c r="D10" s="12" t="s">
        <v>50</v>
      </c>
      <c r="E10" s="11" t="s">
        <v>80</v>
      </c>
      <c r="F10" s="11" t="s">
        <v>81</v>
      </c>
      <c r="G10" s="11"/>
      <c r="H10" s="11"/>
      <c r="I10" s="11"/>
    </row>
    <row r="11" customFormat="false" ht="57" hidden="false" customHeight="true" outlineLevel="0" collapsed="false">
      <c r="A11" s="10" t="s">
        <v>82</v>
      </c>
      <c r="B11" s="11" t="s">
        <v>48</v>
      </c>
      <c r="C11" s="11" t="s">
        <v>83</v>
      </c>
      <c r="D11" s="14" t="s">
        <v>84</v>
      </c>
      <c r="E11" s="11" t="s">
        <v>85</v>
      </c>
      <c r="F11" s="11" t="s">
        <v>86</v>
      </c>
      <c r="G11" s="11"/>
      <c r="H11" s="11"/>
      <c r="I11" s="11"/>
    </row>
    <row r="12" customFormat="false" ht="43.5" hidden="false" customHeight="true" outlineLevel="0" collapsed="false">
      <c r="A12" s="10" t="s">
        <v>87</v>
      </c>
      <c r="B12" s="11" t="s">
        <v>48</v>
      </c>
      <c r="C12" s="11" t="s">
        <v>88</v>
      </c>
      <c r="D12" s="12" t="s">
        <v>50</v>
      </c>
      <c r="E12" s="11" t="s">
        <v>89</v>
      </c>
      <c r="F12" s="11" t="s">
        <v>90</v>
      </c>
      <c r="G12" s="11"/>
      <c r="H12" s="11"/>
      <c r="I12" s="11"/>
    </row>
    <row r="13" customFormat="false" ht="30" hidden="false" customHeight="true" outlineLevel="0" collapsed="false">
      <c r="A13" s="10" t="s">
        <v>91</v>
      </c>
      <c r="B13" s="11" t="s">
        <v>48</v>
      </c>
      <c r="C13" s="11" t="s">
        <v>92</v>
      </c>
      <c r="D13" s="13" t="s">
        <v>55</v>
      </c>
      <c r="E13" s="11" t="s">
        <v>93</v>
      </c>
      <c r="F13" s="11" t="s">
        <v>94</v>
      </c>
      <c r="G13" s="11"/>
      <c r="H13" s="11"/>
      <c r="I13" s="11"/>
    </row>
    <row r="14" customFormat="false" ht="30" hidden="false" customHeight="true" outlineLevel="0" collapsed="false">
      <c r="A14" s="10" t="s">
        <v>95</v>
      </c>
      <c r="B14" s="11" t="s">
        <v>48</v>
      </c>
      <c r="C14" s="11" t="s">
        <v>96</v>
      </c>
      <c r="D14" s="13" t="s">
        <v>55</v>
      </c>
      <c r="E14" s="11" t="s">
        <v>97</v>
      </c>
      <c r="F14" s="11" t="s">
        <v>98</v>
      </c>
      <c r="G14" s="11"/>
      <c r="H14" s="11"/>
      <c r="I14" s="11"/>
    </row>
    <row r="15" customFormat="false" ht="30" hidden="false" customHeight="true" outlineLevel="0" collapsed="false">
      <c r="A15" s="10" t="s">
        <v>99</v>
      </c>
      <c r="B15" s="11" t="s">
        <v>48</v>
      </c>
      <c r="C15" s="11" t="s">
        <v>100</v>
      </c>
      <c r="D15" s="13" t="s">
        <v>55</v>
      </c>
      <c r="E15" s="11" t="s">
        <v>101</v>
      </c>
      <c r="F15" s="11" t="s">
        <v>102</v>
      </c>
      <c r="G15" s="11"/>
      <c r="H15" s="11"/>
      <c r="I15" s="11"/>
    </row>
    <row r="16" customFormat="false" ht="57" hidden="false" customHeight="true" outlineLevel="0" collapsed="false">
      <c r="A16" s="10" t="s">
        <v>103</v>
      </c>
      <c r="B16" s="11" t="s">
        <v>48</v>
      </c>
      <c r="C16" s="11" t="s">
        <v>104</v>
      </c>
      <c r="D16" s="12" t="s">
        <v>50</v>
      </c>
      <c r="E16" s="11" t="s">
        <v>105</v>
      </c>
      <c r="F16" s="11" t="s">
        <v>106</v>
      </c>
      <c r="G16" s="11"/>
      <c r="H16" s="11"/>
      <c r="I16" s="11"/>
    </row>
    <row r="17" customFormat="false" ht="43.5" hidden="false" customHeight="true" outlineLevel="0" collapsed="false">
      <c r="A17" s="10" t="s">
        <v>107</v>
      </c>
      <c r="B17" s="11" t="s">
        <v>108</v>
      </c>
      <c r="C17" s="11" t="s">
        <v>109</v>
      </c>
      <c r="D17" s="14" t="s">
        <v>110</v>
      </c>
      <c r="E17" s="11" t="s">
        <v>111</v>
      </c>
      <c r="F17" s="11" t="s">
        <v>112</v>
      </c>
      <c r="G17" s="11"/>
      <c r="H17" s="11"/>
      <c r="I17" s="11"/>
    </row>
    <row r="18" customFormat="false" ht="16.5" hidden="false" customHeight="true" outlineLevel="0" collapsed="false">
      <c r="A18" s="10" t="s">
        <v>113</v>
      </c>
      <c r="B18" s="11" t="s">
        <v>108</v>
      </c>
      <c r="C18" s="11" t="s">
        <v>114</v>
      </c>
      <c r="D18" s="14" t="s">
        <v>84</v>
      </c>
      <c r="E18" s="11" t="s">
        <v>115</v>
      </c>
      <c r="F18" s="11" t="s">
        <v>116</v>
      </c>
      <c r="G18" s="11"/>
      <c r="H18" s="11"/>
      <c r="I18" s="11"/>
    </row>
    <row r="19" customFormat="false" ht="43.5" hidden="false" customHeight="true" outlineLevel="0" collapsed="false">
      <c r="A19" s="10" t="s">
        <v>117</v>
      </c>
      <c r="B19" s="11" t="s">
        <v>108</v>
      </c>
      <c r="C19" s="11" t="s">
        <v>118</v>
      </c>
      <c r="D19" s="12" t="s">
        <v>50</v>
      </c>
      <c r="E19" s="11" t="s">
        <v>119</v>
      </c>
      <c r="F19" s="11" t="s">
        <v>120</v>
      </c>
      <c r="G19" s="11"/>
      <c r="H19" s="11"/>
      <c r="I19" s="11"/>
    </row>
    <row r="20" customFormat="false" ht="30" hidden="false" customHeight="true" outlineLevel="0" collapsed="false">
      <c r="A20" s="10" t="s">
        <v>121</v>
      </c>
      <c r="B20" s="11" t="s">
        <v>108</v>
      </c>
      <c r="C20" s="11" t="s">
        <v>122</v>
      </c>
      <c r="D20" s="14" t="s">
        <v>84</v>
      </c>
      <c r="E20" s="11" t="s">
        <v>123</v>
      </c>
      <c r="F20" s="11" t="s">
        <v>124</v>
      </c>
      <c r="G20" s="11"/>
      <c r="H20" s="11"/>
      <c r="I20" s="11"/>
    </row>
    <row r="21" customFormat="false" ht="16.5" hidden="false" customHeight="true" outlineLevel="0" collapsed="false">
      <c r="A21" s="10" t="s">
        <v>125</v>
      </c>
      <c r="B21" s="11" t="s">
        <v>108</v>
      </c>
      <c r="C21" s="11" t="s">
        <v>126</v>
      </c>
      <c r="D21" s="13" t="s">
        <v>55</v>
      </c>
      <c r="E21" s="11" t="s">
        <v>127</v>
      </c>
      <c r="F21" s="11" t="s">
        <v>128</v>
      </c>
      <c r="G21" s="11"/>
      <c r="H21" s="11"/>
      <c r="I21" s="11"/>
    </row>
    <row r="22" customFormat="false" ht="30" hidden="false" customHeight="true" outlineLevel="0" collapsed="false">
      <c r="A22" s="10" t="s">
        <v>129</v>
      </c>
      <c r="B22" s="11" t="s">
        <v>108</v>
      </c>
      <c r="C22" s="11" t="s">
        <v>130</v>
      </c>
      <c r="D22" s="13" t="s">
        <v>55</v>
      </c>
      <c r="E22" s="11" t="s">
        <v>131</v>
      </c>
      <c r="F22" s="11" t="s">
        <v>132</v>
      </c>
      <c r="G22" s="11"/>
      <c r="H22" s="11"/>
      <c r="I22" s="11"/>
    </row>
    <row r="23" customFormat="false" ht="16.5" hidden="false" customHeight="true" outlineLevel="0" collapsed="false">
      <c r="A23" s="10" t="s">
        <v>133</v>
      </c>
      <c r="B23" s="11" t="s">
        <v>108</v>
      </c>
      <c r="C23" s="11" t="s">
        <v>134</v>
      </c>
      <c r="D23" s="13" t="s">
        <v>55</v>
      </c>
      <c r="E23" s="11" t="s">
        <v>135</v>
      </c>
      <c r="F23" s="11" t="s">
        <v>136</v>
      </c>
      <c r="G23" s="11"/>
      <c r="H23" s="11"/>
      <c r="I23" s="11"/>
    </row>
    <row r="24" customFormat="false" ht="30" hidden="false" customHeight="true" outlineLevel="0" collapsed="false">
      <c r="A24" s="10" t="s">
        <v>137</v>
      </c>
      <c r="B24" s="11" t="s">
        <v>108</v>
      </c>
      <c r="C24" s="11" t="s">
        <v>33</v>
      </c>
      <c r="D24" s="13" t="s">
        <v>55</v>
      </c>
      <c r="E24" s="11" t="s">
        <v>138</v>
      </c>
      <c r="F24" s="11" t="s">
        <v>139</v>
      </c>
      <c r="G24" s="11"/>
      <c r="H24" s="11"/>
      <c r="I24" s="11"/>
    </row>
    <row r="25" customFormat="false" ht="16.5" hidden="false" customHeight="true" outlineLevel="0" collapsed="false">
      <c r="A25" s="10" t="s">
        <v>140</v>
      </c>
      <c r="B25" s="11" t="s">
        <v>108</v>
      </c>
      <c r="C25" s="11" t="s">
        <v>141</v>
      </c>
      <c r="D25" s="13" t="s">
        <v>55</v>
      </c>
      <c r="E25" s="11" t="s">
        <v>142</v>
      </c>
      <c r="F25" s="11" t="s">
        <v>143</v>
      </c>
      <c r="G25" s="11"/>
      <c r="H25" s="11"/>
      <c r="I25" s="11"/>
    </row>
    <row r="26" customFormat="false" ht="30" hidden="false" customHeight="true" outlineLevel="0" collapsed="false">
      <c r="A26" s="10" t="s">
        <v>144</v>
      </c>
      <c r="B26" s="11" t="s">
        <v>108</v>
      </c>
      <c r="C26" s="11" t="s">
        <v>145</v>
      </c>
      <c r="D26" s="13" t="s">
        <v>55</v>
      </c>
      <c r="E26" s="11" t="s">
        <v>146</v>
      </c>
      <c r="F26" s="11" t="s">
        <v>147</v>
      </c>
      <c r="G26" s="11"/>
      <c r="H26" s="11"/>
      <c r="I26" s="11"/>
    </row>
    <row r="27" customFormat="false" ht="30" hidden="false" customHeight="true" outlineLevel="0" collapsed="false">
      <c r="A27" s="10" t="s">
        <v>148</v>
      </c>
      <c r="B27" s="11" t="s">
        <v>108</v>
      </c>
      <c r="C27" s="11" t="s">
        <v>149</v>
      </c>
      <c r="D27" s="13" t="s">
        <v>55</v>
      </c>
      <c r="E27" s="11" t="s">
        <v>150</v>
      </c>
      <c r="F27" s="11" t="s">
        <v>151</v>
      </c>
      <c r="G27" s="11"/>
      <c r="H27" s="11"/>
      <c r="I27" s="11"/>
    </row>
    <row r="28" customFormat="false" ht="43.5" hidden="false" customHeight="true" outlineLevel="0" collapsed="false">
      <c r="A28" s="10" t="s">
        <v>152</v>
      </c>
      <c r="B28" s="11" t="s">
        <v>108</v>
      </c>
      <c r="C28" s="11" t="s">
        <v>153</v>
      </c>
      <c r="D28" s="13" t="s">
        <v>55</v>
      </c>
      <c r="E28" s="11" t="s">
        <v>154</v>
      </c>
      <c r="F28" s="11" t="s">
        <v>155</v>
      </c>
      <c r="G28" s="11" t="s">
        <v>156</v>
      </c>
      <c r="H28" s="15"/>
      <c r="I28" s="15"/>
    </row>
    <row r="29" customFormat="false" ht="30" hidden="false" customHeight="true" outlineLevel="0" collapsed="false">
      <c r="A29" s="10" t="s">
        <v>157</v>
      </c>
      <c r="B29" s="11" t="s">
        <v>108</v>
      </c>
      <c r="C29" s="11" t="s">
        <v>158</v>
      </c>
      <c r="D29" s="13" t="s">
        <v>55</v>
      </c>
      <c r="E29" s="11" t="s">
        <v>159</v>
      </c>
      <c r="F29" s="11" t="s">
        <v>160</v>
      </c>
      <c r="G29" s="11"/>
      <c r="H29" s="11"/>
      <c r="I29" s="11"/>
    </row>
    <row r="30" customFormat="false" ht="16.5" hidden="false" customHeight="true" outlineLevel="0" collapsed="false">
      <c r="A30" s="10" t="s">
        <v>161</v>
      </c>
      <c r="B30" s="11" t="s">
        <v>108</v>
      </c>
      <c r="C30" s="11" t="s">
        <v>162</v>
      </c>
      <c r="D30" s="13" t="s">
        <v>55</v>
      </c>
      <c r="E30" s="11" t="s">
        <v>163</v>
      </c>
      <c r="F30" s="11" t="s">
        <v>164</v>
      </c>
      <c r="G30" s="11"/>
      <c r="H30" s="11"/>
      <c r="I30" s="11"/>
    </row>
    <row r="31" customFormat="false" ht="16.5" hidden="false" customHeight="true" outlineLevel="0" collapsed="false">
      <c r="A31" s="10" t="s">
        <v>165</v>
      </c>
      <c r="B31" s="11" t="s">
        <v>108</v>
      </c>
      <c r="C31" s="11" t="s">
        <v>166</v>
      </c>
      <c r="D31" s="13" t="s">
        <v>55</v>
      </c>
      <c r="E31" s="11" t="s">
        <v>167</v>
      </c>
      <c r="F31" s="11" t="s">
        <v>168</v>
      </c>
      <c r="G31" s="11"/>
      <c r="H31" s="11"/>
      <c r="I31" s="11"/>
    </row>
    <row r="32" customFormat="false" ht="30" hidden="false" customHeight="true" outlineLevel="0" collapsed="false">
      <c r="A32" s="10" t="s">
        <v>169</v>
      </c>
      <c r="B32" s="11" t="s">
        <v>108</v>
      </c>
      <c r="C32" s="11" t="s">
        <v>170</v>
      </c>
      <c r="D32" s="13" t="s">
        <v>55</v>
      </c>
      <c r="E32" s="11" t="s">
        <v>171</v>
      </c>
      <c r="F32" s="11" t="s">
        <v>172</v>
      </c>
      <c r="G32" s="11"/>
      <c r="H32" s="11"/>
      <c r="I32" s="11"/>
    </row>
    <row r="33" customFormat="false" ht="30" hidden="false" customHeight="true" outlineLevel="0" collapsed="false">
      <c r="A33" s="10" t="s">
        <v>173</v>
      </c>
      <c r="B33" s="11" t="s">
        <v>174</v>
      </c>
      <c r="C33" s="11" t="s">
        <v>175</v>
      </c>
      <c r="D33" s="13" t="s">
        <v>55</v>
      </c>
      <c r="E33" s="11" t="s">
        <v>176</v>
      </c>
      <c r="F33" s="11" t="s">
        <v>177</v>
      </c>
      <c r="G33" s="11"/>
      <c r="H33" s="11"/>
      <c r="I33" s="11"/>
    </row>
    <row r="34" customFormat="false" ht="30" hidden="false" customHeight="true" outlineLevel="0" collapsed="false">
      <c r="A34" s="10" t="s">
        <v>178</v>
      </c>
      <c r="B34" s="11" t="s">
        <v>174</v>
      </c>
      <c r="C34" s="11" t="s">
        <v>179</v>
      </c>
      <c r="D34" s="12" t="s">
        <v>50</v>
      </c>
      <c r="E34" s="11" t="s">
        <v>180</v>
      </c>
      <c r="F34" s="11" t="s">
        <v>181</v>
      </c>
      <c r="G34" s="11"/>
      <c r="H34" s="11"/>
      <c r="I34" s="11"/>
    </row>
    <row r="35" customFormat="false" ht="30" hidden="false" customHeight="true" outlineLevel="0" collapsed="false">
      <c r="A35" s="10" t="s">
        <v>182</v>
      </c>
      <c r="B35" s="11" t="s">
        <v>174</v>
      </c>
      <c r="C35" s="11" t="s">
        <v>183</v>
      </c>
      <c r="D35" s="12" t="s">
        <v>50</v>
      </c>
      <c r="E35" s="11" t="s">
        <v>184</v>
      </c>
      <c r="F35" s="11" t="s">
        <v>185</v>
      </c>
      <c r="G35" s="11"/>
      <c r="H35" s="11"/>
      <c r="I35" s="11"/>
    </row>
    <row r="36" customFormat="false" ht="16.5" hidden="false" customHeight="true" outlineLevel="0" collapsed="false">
      <c r="A36" s="10" t="s">
        <v>186</v>
      </c>
      <c r="B36" s="11" t="s">
        <v>174</v>
      </c>
      <c r="C36" s="11" t="s">
        <v>187</v>
      </c>
      <c r="D36" s="13" t="s">
        <v>55</v>
      </c>
      <c r="E36" s="11" t="s">
        <v>188</v>
      </c>
      <c r="F36" s="11" t="s">
        <v>189</v>
      </c>
      <c r="G36" s="11"/>
      <c r="H36" s="11"/>
      <c r="I36" s="11"/>
    </row>
    <row r="37" customFormat="false" ht="30" hidden="false" customHeight="true" outlineLevel="0" collapsed="false">
      <c r="A37" s="10" t="s">
        <v>190</v>
      </c>
      <c r="B37" s="11" t="s">
        <v>174</v>
      </c>
      <c r="C37" s="11" t="s">
        <v>191</v>
      </c>
      <c r="D37" s="13" t="s">
        <v>55</v>
      </c>
      <c r="E37" s="11" t="s">
        <v>192</v>
      </c>
      <c r="F37" s="11" t="s">
        <v>193</v>
      </c>
      <c r="G37" s="11"/>
      <c r="H37" s="11"/>
      <c r="I37" s="11"/>
    </row>
    <row r="38" customFormat="false" ht="30" hidden="false" customHeight="true" outlineLevel="0" collapsed="false">
      <c r="A38" s="10" t="s">
        <v>194</v>
      </c>
      <c r="B38" s="11" t="s">
        <v>195</v>
      </c>
      <c r="C38" s="11" t="s">
        <v>196</v>
      </c>
      <c r="D38" s="12" t="s">
        <v>50</v>
      </c>
      <c r="E38" s="11" t="s">
        <v>197</v>
      </c>
      <c r="F38" s="11" t="s">
        <v>198</v>
      </c>
      <c r="G38" s="11"/>
      <c r="H38" s="11"/>
      <c r="I38" s="11"/>
    </row>
    <row r="39" customFormat="false" ht="15" hidden="false" customHeight="false" outlineLevel="0" collapsed="false">
      <c r="A39" s="9" t="s">
        <v>199</v>
      </c>
      <c r="B39" s="9"/>
      <c r="C39" s="9"/>
      <c r="D39" s="9"/>
      <c r="E39" s="9"/>
      <c r="F39" s="9"/>
      <c r="G39" s="9"/>
      <c r="H39" s="9"/>
      <c r="I39" s="9"/>
    </row>
    <row r="40" customFormat="false" ht="57" hidden="false" customHeight="true" outlineLevel="0" collapsed="false">
      <c r="A40" s="10" t="s">
        <v>200</v>
      </c>
      <c r="B40" s="11" t="s">
        <v>108</v>
      </c>
      <c r="C40" s="11" t="s">
        <v>75</v>
      </c>
      <c r="D40" s="13" t="s">
        <v>55</v>
      </c>
      <c r="E40" s="11" t="s">
        <v>201</v>
      </c>
      <c r="F40" s="11" t="s">
        <v>202</v>
      </c>
      <c r="G40" s="11"/>
      <c r="H40" s="11"/>
      <c r="I40" s="11"/>
    </row>
    <row r="41" customFormat="false" ht="57" hidden="false" customHeight="true" outlineLevel="0" collapsed="false">
      <c r="A41" s="10" t="s">
        <v>203</v>
      </c>
      <c r="B41" s="11" t="s">
        <v>108</v>
      </c>
      <c r="C41" s="11" t="s">
        <v>204</v>
      </c>
      <c r="D41" s="12" t="s">
        <v>50</v>
      </c>
      <c r="E41" s="11" t="s">
        <v>205</v>
      </c>
      <c r="F41" s="11" t="s">
        <v>206</v>
      </c>
      <c r="G41" s="11"/>
      <c r="H41" s="11"/>
      <c r="I41" s="11"/>
    </row>
    <row r="42" customFormat="false" ht="70.5" hidden="false" customHeight="true" outlineLevel="0" collapsed="false">
      <c r="A42" s="10" t="s">
        <v>207</v>
      </c>
      <c r="B42" s="11" t="s">
        <v>108</v>
      </c>
      <c r="C42" s="11" t="s">
        <v>208</v>
      </c>
      <c r="D42" s="13" t="s">
        <v>55</v>
      </c>
      <c r="E42" s="11" t="s">
        <v>209</v>
      </c>
      <c r="F42" s="11" t="s">
        <v>210</v>
      </c>
      <c r="G42" s="11"/>
      <c r="H42" s="11"/>
      <c r="I42" s="11"/>
    </row>
    <row r="43" customFormat="false" ht="30" hidden="false" customHeight="true" outlineLevel="0" collapsed="false">
      <c r="A43" s="10" t="s">
        <v>211</v>
      </c>
      <c r="B43" s="11" t="s">
        <v>108</v>
      </c>
      <c r="C43" s="11" t="s">
        <v>212</v>
      </c>
      <c r="D43" s="13" t="s">
        <v>55</v>
      </c>
      <c r="E43" s="11" t="s">
        <v>213</v>
      </c>
      <c r="F43" s="11" t="s">
        <v>214</v>
      </c>
      <c r="G43" s="11"/>
      <c r="H43" s="11"/>
      <c r="I43" s="11"/>
    </row>
    <row r="44" customFormat="false" ht="43.5" hidden="false" customHeight="true" outlineLevel="0" collapsed="false">
      <c r="A44" s="10" t="s">
        <v>215</v>
      </c>
      <c r="B44" s="11" t="s">
        <v>108</v>
      </c>
      <c r="C44" s="11" t="s">
        <v>216</v>
      </c>
      <c r="D44" s="13" t="s">
        <v>55</v>
      </c>
      <c r="E44" s="11" t="s">
        <v>217</v>
      </c>
      <c r="F44" s="11" t="s">
        <v>218</v>
      </c>
      <c r="G44" s="11"/>
      <c r="H44" s="11"/>
      <c r="I44" s="11"/>
    </row>
    <row r="45" customFormat="false" ht="70.5" hidden="false" customHeight="true" outlineLevel="0" collapsed="false">
      <c r="A45" s="10" t="s">
        <v>219</v>
      </c>
      <c r="B45" s="11" t="s">
        <v>108</v>
      </c>
      <c r="C45" s="11" t="s">
        <v>220</v>
      </c>
      <c r="D45" s="13" t="s">
        <v>55</v>
      </c>
      <c r="E45" s="11" t="s">
        <v>221</v>
      </c>
      <c r="F45" s="11" t="s">
        <v>222</v>
      </c>
      <c r="G45" s="11"/>
      <c r="H45" s="11"/>
      <c r="I45" s="11"/>
    </row>
    <row r="46" customFormat="false" ht="70.5" hidden="false" customHeight="true" outlineLevel="0" collapsed="false">
      <c r="A46" s="10" t="s">
        <v>223</v>
      </c>
      <c r="B46" s="11" t="s">
        <v>174</v>
      </c>
      <c r="C46" s="11" t="s">
        <v>224</v>
      </c>
      <c r="D46" s="13" t="s">
        <v>55</v>
      </c>
      <c r="E46" s="11" t="s">
        <v>225</v>
      </c>
      <c r="F46" s="11" t="s">
        <v>226</v>
      </c>
      <c r="G46" s="11"/>
      <c r="H46" s="11"/>
      <c r="I46" s="11"/>
    </row>
    <row r="47" customFormat="false" ht="43.5" hidden="false" customHeight="true" outlineLevel="0" collapsed="false">
      <c r="A47" s="10" t="s">
        <v>227</v>
      </c>
      <c r="B47" s="11" t="s">
        <v>174</v>
      </c>
      <c r="C47" s="11" t="s">
        <v>228</v>
      </c>
      <c r="D47" s="12" t="s">
        <v>50</v>
      </c>
      <c r="E47" s="11" t="s">
        <v>229</v>
      </c>
      <c r="F47" s="11" t="s">
        <v>230</v>
      </c>
      <c r="G47" s="11"/>
      <c r="H47" s="11"/>
      <c r="I47" s="11"/>
    </row>
    <row r="48" customFormat="false" ht="30" hidden="false" customHeight="true" outlineLevel="0" collapsed="false">
      <c r="A48" s="10" t="s">
        <v>231</v>
      </c>
      <c r="B48" s="11" t="s">
        <v>174</v>
      </c>
      <c r="C48" s="11" t="s">
        <v>232</v>
      </c>
      <c r="D48" s="12" t="s">
        <v>50</v>
      </c>
      <c r="E48" s="11" t="s">
        <v>233</v>
      </c>
      <c r="F48" s="11" t="s">
        <v>234</v>
      </c>
      <c r="G48" s="11"/>
      <c r="H48" s="11"/>
      <c r="I48" s="11"/>
    </row>
    <row r="49" customFormat="false" ht="30" hidden="false" customHeight="true" outlineLevel="0" collapsed="false">
      <c r="A49" s="10" t="s">
        <v>235</v>
      </c>
      <c r="B49" s="11" t="s">
        <v>174</v>
      </c>
      <c r="C49" s="11" t="s">
        <v>175</v>
      </c>
      <c r="D49" s="13" t="s">
        <v>55</v>
      </c>
      <c r="E49" s="11" t="s">
        <v>236</v>
      </c>
      <c r="F49" s="11" t="s">
        <v>237</v>
      </c>
      <c r="G49" s="11" t="s">
        <v>156</v>
      </c>
      <c r="H49" s="15"/>
      <c r="I49" s="15"/>
    </row>
    <row r="50" customFormat="false" ht="30" hidden="false" customHeight="true" outlineLevel="0" collapsed="false">
      <c r="A50" s="10" t="s">
        <v>238</v>
      </c>
      <c r="B50" s="11" t="s">
        <v>195</v>
      </c>
      <c r="C50" s="11" t="s">
        <v>239</v>
      </c>
      <c r="D50" s="13" t="s">
        <v>55</v>
      </c>
      <c r="E50" s="11" t="s">
        <v>240</v>
      </c>
      <c r="F50" s="11" t="s">
        <v>241</v>
      </c>
      <c r="G50" s="11"/>
      <c r="H50" s="11"/>
      <c r="I50" s="11"/>
    </row>
  </sheetData>
  <sheetProtection sheet="true" formatColumns="false" formatRows="false" sort="false" autoFilter="false"/>
  <mergeCells count="2">
    <mergeCell ref="A2:I2"/>
    <mergeCell ref="A39:I39"/>
  </mergeCells>
  <dataValidations count="1">
    <dataValidation allowBlank="true" error="Bitte einen Wert aus der Liste wählen: Übernehmen, Ablehnen, Später" errorStyle="stop" errorTitle="Ungültige Eingabe" operator="between" prompt="Auswahl: Übernehmen, Ablehnen, Später" promptTitle="Entscheidung" showDropDown="false" showErrorMessage="true" showInputMessage="true" sqref="H28 H49" type="list">
      <formula1>"Übernehmen,Ablehnen,Später"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0"/>
    <col collapsed="false" customWidth="true" hidden="false" outlineLevel="0" max="3" min="3" style="0" width="12"/>
    <col collapsed="false" customWidth="true" hidden="false" outlineLevel="0" max="6" min="4" style="0" width="10"/>
    <col collapsed="false" customWidth="true" hidden="false" outlineLevel="0" max="7" min="7" style="0" width="40"/>
    <col collapsed="false" customWidth="true" hidden="false" outlineLevel="0" max="8" min="8" style="0" width="12"/>
  </cols>
  <sheetData>
    <row r="1" customFormat="false" ht="15" hidden="false" customHeight="false" outlineLevel="0" collapsed="false">
      <c r="A1" s="4" t="s">
        <v>242</v>
      </c>
      <c r="B1" s="4" t="s">
        <v>243</v>
      </c>
      <c r="C1" s="4" t="s">
        <v>244</v>
      </c>
      <c r="D1" s="4" t="s">
        <v>245</v>
      </c>
      <c r="E1" s="4" t="s">
        <v>246</v>
      </c>
      <c r="F1" s="4" t="s">
        <v>247</v>
      </c>
      <c r="G1" s="4" t="s">
        <v>248</v>
      </c>
      <c r="H1" s="4" t="s">
        <v>249</v>
      </c>
    </row>
  </sheetData>
  <sheetProtection sheet="true" formatColumns="false" formatRows="false" sort="false" autoFilter="false"/>
  <autoFilter ref="A1:H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50"/>
    <col collapsed="false" customWidth="true" hidden="false" outlineLevel="0" max="4" min="4" style="0" width="26"/>
    <col collapsed="false" customWidth="true" hidden="false" outlineLevel="0" max="5" min="5" style="0" width="9"/>
    <col collapsed="false" customWidth="true" hidden="false" outlineLevel="0" max="6" min="6" style="0" width="44"/>
    <col collapsed="false" customWidth="true" hidden="false" outlineLevel="0" max="7" min="7" style="0" width="36"/>
    <col collapsed="false" customWidth="true" hidden="false" outlineLevel="0" max="8" min="8" style="0" width="30"/>
    <col collapsed="false" customWidth="true" hidden="false" outlineLevel="0" max="9" min="9" style="0" width="20"/>
    <col collapsed="false" customWidth="true" hidden="false" outlineLevel="0" max="10" min="10" style="0" width="60"/>
  </cols>
  <sheetData>
    <row r="1" customFormat="false" ht="23.85" hidden="false" customHeight="false" outlineLevel="0" collapsed="false">
      <c r="A1" s="4" t="s">
        <v>250</v>
      </c>
      <c r="B1" s="4" t="s">
        <v>242</v>
      </c>
      <c r="C1" s="4" t="s">
        <v>251</v>
      </c>
      <c r="D1" s="4" t="s">
        <v>22</v>
      </c>
      <c r="E1" s="4" t="s">
        <v>252</v>
      </c>
      <c r="F1" s="4" t="s">
        <v>253</v>
      </c>
      <c r="G1" s="4" t="s">
        <v>254</v>
      </c>
      <c r="H1" s="4" t="s">
        <v>255</v>
      </c>
      <c r="I1" s="4" t="s">
        <v>256</v>
      </c>
      <c r="J1" s="4" t="s">
        <v>257</v>
      </c>
    </row>
    <row r="2" customFormat="false" ht="84" hidden="false" customHeight="true" outlineLevel="0" collapsed="false">
      <c r="A2" s="11" t="s">
        <v>258</v>
      </c>
      <c r="B2" s="11" t="s">
        <v>259</v>
      </c>
      <c r="C2" s="11" t="s">
        <v>260</v>
      </c>
      <c r="D2" s="11" t="s">
        <v>261</v>
      </c>
      <c r="E2" s="11" t="s">
        <v>262</v>
      </c>
      <c r="F2" s="11" t="s">
        <v>263</v>
      </c>
      <c r="G2" s="11" t="s">
        <v>264</v>
      </c>
      <c r="H2" s="11" t="s">
        <v>265</v>
      </c>
      <c r="I2" s="11"/>
      <c r="J2" s="11" t="s">
        <v>266</v>
      </c>
    </row>
    <row r="3" customFormat="false" ht="57" hidden="false" customHeight="true" outlineLevel="0" collapsed="false">
      <c r="A3" s="11" t="s">
        <v>267</v>
      </c>
      <c r="B3" s="11" t="s">
        <v>268</v>
      </c>
      <c r="C3" s="11" t="s">
        <v>269</v>
      </c>
      <c r="D3" s="11" t="s">
        <v>261</v>
      </c>
      <c r="E3" s="11" t="s">
        <v>270</v>
      </c>
      <c r="F3" s="11" t="s">
        <v>271</v>
      </c>
      <c r="G3" s="11" t="s">
        <v>264</v>
      </c>
      <c r="H3" s="11" t="s">
        <v>265</v>
      </c>
      <c r="I3" s="11"/>
      <c r="J3" s="11" t="s">
        <v>272</v>
      </c>
    </row>
    <row r="4" customFormat="false" ht="70.5" hidden="false" customHeight="true" outlineLevel="0" collapsed="false">
      <c r="A4" s="11" t="s">
        <v>273</v>
      </c>
      <c r="B4" s="11" t="s">
        <v>274</v>
      </c>
      <c r="C4" s="11" t="s">
        <v>275</v>
      </c>
      <c r="D4" s="11" t="s">
        <v>276</v>
      </c>
      <c r="E4" s="11" t="s">
        <v>277</v>
      </c>
      <c r="F4" s="11" t="s">
        <v>278</v>
      </c>
      <c r="G4" s="11" t="s">
        <v>264</v>
      </c>
      <c r="H4" s="11" t="s">
        <v>265</v>
      </c>
      <c r="I4" s="11"/>
      <c r="J4" s="11" t="s">
        <v>279</v>
      </c>
    </row>
  </sheetData>
  <sheetProtection sheet="true" formatColumns="false" formatRows="false" sort="false" autoFilter="false"/>
  <autoFilter ref="A1:J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2026-09-20T19:13:52Z</dcterms:created>
  <dc:creator>openpyxl</dc:creator>
  <dc:description/>
  <dc:language>en-US</dc:language>
  <cp:lastModifiedBy/>
  <dcterms:modified xsi:type="dcterms:W3CDTF">2026-09-20T19:13:52Z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