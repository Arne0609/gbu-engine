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gebnis" sheetId="1" state="visible" r:id="rId3"/>
    <sheet name="Befunde" sheetId="2" state="visible" r:id="rId4"/>
    <sheet name="Abdeckung" sheetId="3" state="visible" r:id="rId5"/>
    <sheet name="Prüfnachweis" sheetId="4" state="visible" r:id="rId6"/>
    <sheet name="Quellen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<sst xmlns="http://schemas.openxmlformats.org/spreadsheetml/2006/main" count="466" uniqueCount="382">
  <si>
    <t xml:space="preserve">Vollständige Prüfung – GBU_MF_Regelpruefung.xlsx</t>
  </si>
  <si>
    <t xml:space="preserve">Prüfstand 15.09.2026 · Quelldatei unverändert · Ergebnis bezieht sich auf den exportierten Regelkatalog</t>
  </si>
  <si>
    <t xml:space="preserve">Freigabeempfehlung</t>
  </si>
  <si>
    <t xml:space="preserve">NICHT FREIGABEFÄHIG</t>
  </si>
  <si>
    <t xml:space="preserve">Kennzahl</t>
  </si>
  <si>
    <t xml:space="preserve">Wert</t>
  </si>
  <si>
    <t xml:space="preserve">Bewertung</t>
  </si>
  <si>
    <t xml:space="preserve">Hinweis</t>
  </si>
  <si>
    <t xml:space="preserve">Gefährdungsblöcke</t>
  </si>
  <si>
    <t xml:space="preserve">vollständig inventarisiert</t>
  </si>
  <si>
    <t xml:space="preserve">jeweils genau eine Auffangregel</t>
  </si>
  <si>
    <t xml:space="preserve">Regeln gesamt</t>
  </si>
  <si>
    <t xml:space="preserve">196 offen + 94 offene Auffangregeln + 77 freigegeben</t>
  </si>
  <si>
    <t xml:space="preserve">Fragen</t>
  </si>
  <si>
    <t xml:space="preserve">Beanstandung</t>
  </si>
  <si>
    <t xml:space="preserve">Hilfetext in 196/196 Fällen leer</t>
  </si>
  <si>
    <t xml:space="preserve">Kritische Befunde</t>
  </si>
  <si>
    <t xml:space="preserve">Sperre</t>
  </si>
  <si>
    <t xml:space="preserve">vor Freigabe zu beheben</t>
  </si>
  <si>
    <t xml:space="preserve">Hohe Befunde</t>
  </si>
  <si>
    <t xml:space="preserve">wesentlich</t>
  </si>
  <si>
    <t xml:space="preserve">vor Produktiveinsatz zu beheben</t>
  </si>
  <si>
    <t xml:space="preserve">Mittlere Befunde</t>
  </si>
  <si>
    <t xml:space="preserve">Qualität/Nachweis</t>
  </si>
  <si>
    <t xml:space="preserve">im Korrekturlauf schließen</t>
  </si>
  <si>
    <t xml:space="preserve">Niedrige Befunde</t>
  </si>
  <si>
    <t xml:space="preserve">Optimierung</t>
  </si>
  <si>
    <t xml:space="preserve">nachrangig</t>
  </si>
  <si>
    <t xml:space="preserve">Entscheidende Freigabesperren</t>
  </si>
  <si>
    <t xml:space="preserve">1</t>
  </si>
  <si>
    <t xml:space="preserve">Anwendbarkeit</t>
  </si>
  <si>
    <t xml:space="preserve">Fehlende Gates/Nichtanwendbarkeit erzeugen Fehlalarme.</t>
  </si>
  <si>
    <t xml:space="preserve">2</t>
  </si>
  <si>
    <t xml:space="preserve">Normabweichungen</t>
  </si>
  <si>
    <t xml:space="preserve">Gegengewichtshöhe, Arbeitsplatzbeleuchtung, Grubenzugang und Sicherheitslichtgitter sind fachlich zu korrigieren.</t>
  </si>
  <si>
    <t xml:space="preserve">3</t>
  </si>
  <si>
    <t xml:space="preserve">Regellogik</t>
  </si>
  <si>
    <t xml:space="preserve">Drahtglas-Kompensation ist unerreichbar; Fortschrittsformel zählt falsch.</t>
  </si>
  <si>
    <t xml:space="preserve">4</t>
  </si>
  <si>
    <t xml:space="preserve">Maßnahmen</t>
  </si>
  <si>
    <t xml:space="preserve">Mehrere Sofort-/Folgeangaben sind unwirksam, unvollständig oder sachfremd.</t>
  </si>
  <si>
    <t xml:space="preserve">5</t>
  </si>
  <si>
    <t xml:space="preserve">Nachvollziehbarkeit</t>
  </si>
  <si>
    <t xml:space="preserve">43 referenzierte Fragen fehlen; Bewertungsmethode und Restrisiko sind nicht dokumentiert.</t>
  </si>
  <si>
    <t xml:space="preserve">6</t>
  </si>
  <si>
    <t xml:space="preserve">Quellenstand</t>
  </si>
  <si>
    <t xml:space="preserve">Mindestens sechs TRBS-Abschnittsverweise beziehen sich nicht eindeutig auf die aktuelle Fassung.</t>
  </si>
  <si>
    <t xml:space="preserve">Positiv festgestellt</t>
  </si>
  <si>
    <t xml:space="preserve">•</t>
  </si>
  <si>
    <t xml:space="preserve">Eindeutige IDs</t>
  </si>
  <si>
    <t xml:space="preserve">94 Gefährdungs- und 367 Regel-IDs ohne Duplikate.</t>
  </si>
  <si>
    <t xml:space="preserve">Struktur</t>
  </si>
  <si>
    <t xml:space="preserve">Je Gefährdung genau eine Auffangregel; alle offenen SELECT-Werte entsprechen den Fragenoptionen.</t>
  </si>
  <si>
    <t xml:space="preserve">Darstellung</t>
  </si>
  <si>
    <t xml:space="preserve">Konsistente Risikofarben, Filter und eingefrorene Kopfzeilen; alle 13 Blätter lesbar gerendert.</t>
  </si>
  <si>
    <t xml:space="preserve">Abdeckung</t>
  </si>
  <si>
    <t xml:space="preserve">Alle 22 Punkte aus TRBS 3121 Anhang 1 sind thematisch vertreten; die inhaltliche Umsetzung ist jedoch teilweise fehlerhaft.</t>
  </si>
  <si>
    <t xml:space="preserve">ID</t>
  </si>
  <si>
    <t xml:space="preserve">Priorität</t>
  </si>
  <si>
    <t xml:space="preserve">Bereich / Regeln</t>
  </si>
  <si>
    <t xml:space="preserve">Kategorie</t>
  </si>
  <si>
    <t xml:space="preserve">Befund</t>
  </si>
  <si>
    <t xml:space="preserve">Auswirkung</t>
  </si>
  <si>
    <t xml:space="preserve">Empfehlung</t>
  </si>
  <si>
    <t xml:space="preserve">Bezug</t>
  </si>
  <si>
    <t xml:space="preserve">B01</t>
  </si>
  <si>
    <t xml:space="preserve">Kritisch</t>
  </si>
  <si>
    <t xml:space="preserve">Gesamt</t>
  </si>
  <si>
    <t xml:space="preserve">Mehrere Regelgruppen werden ohne vorgelagerte Anwendbarkeitsmerkmale bewertet (u. a. Antriebsart, Baujahr/Basisnorm, gemeinsamer Schacht, vorhandene Sonderfunktion, Zugangsart, Nutzergruppe).</t>
  </si>
  <si>
    <t xml:space="preserve">Nicht anwendbare Sachverhalte können als Hoch/Mittel ausgelöst werden; eine begründete Nichtanwendbarkeit ist nicht möglich.</t>
  </si>
  <si>
    <t xml:space="preserve">Pflicht-Gates und Antwortzustand ‚nicht anwendbar‘ mit Begründung einführen; Regeln nur nach positivem Gate auswerten.</t>
  </si>
  <si>
    <t xml:space="preserve">TRBS 3121 Anh. 1/4; TRBS 1111</t>
  </si>
  <si>
    <t xml:space="preserve">B02</t>
  </si>
  <si>
    <t xml:space="preserve">Referenzintegrität</t>
  </si>
  <si>
    <t xml:space="preserve">50 Bedingungsreferenzen in 44 bereits freigegebenen Regeln verweisen auf 43 Fragen, die im Blatt ‚Fragen‘ fehlen.</t>
  </si>
  <si>
    <t xml:space="preserve">Freigegebene Regeln sind aus der XLSX nicht vollständig nachvollziehbar oder reproduzierbar.</t>
  </si>
  <si>
    <t xml:space="preserve">Fehlende Fragen einschließlich Code, Typ, Optionen, Pflichtstatus und Hilfetext in den Prüfkatalog aufnehmen; anschließend alle 44 Regeln erneut prüfen.</t>
  </si>
  <si>
    <t xml:space="preserve">XLSX-Strukturprüfung</t>
  </si>
  <si>
    <t xml:space="preserve">B03</t>
  </si>
  <si>
    <t xml:space="preserve">MF-G07</t>
  </si>
  <si>
    <t xml:space="preserve">TRBS-Abweichung</t>
  </si>
  <si>
    <t xml:space="preserve">MF-G07-R1 fordert die Gegengewichtsabtrennung bis 2,50 m über Niveau der untersten Haltestelle. TRBS 3121 Anh. 1 Nr. 2 nennt 2,0 m über Schachtgrubensohle; 2,5 m gehört zur Trennung benachbarter Aufzüge (Nr. 3).</t>
  </si>
  <si>
    <t xml:space="preserve">Falsches Schutzziel und falsches Maß; Verwechslung zweier Gefährdungen.</t>
  </si>
  <si>
    <t xml:space="preserve">Regeltext und Maßnahme auf 2,0 m über Schachtgrubensohle korrigieren; Nachbaraufzug getrennt in MF-G08 behandeln.</t>
  </si>
  <si>
    <t xml:space="preserve">TRBS 3121 Anh. 1 Nr. 2 und 3</t>
  </si>
  <si>
    <t xml:space="preserve">B04</t>
  </si>
  <si>
    <t xml:space="preserve">MF-G04</t>
  </si>
  <si>
    <t xml:space="preserve">Risikoeinstufung</t>
  </si>
  <si>
    <t xml:space="preserve">Die Zugangsleiter zur Schachtgrube wird ohne Baujahr/Basisnorm pauschal hoch bewertet. TRBS 3121 differenziert u. a. TRA 200 vor 1992 (hoch) und spätere TRA-/EN-Anlagen (niedrig).</t>
  </si>
  <si>
    <t xml:space="preserve">Systematische Überbewertung von Bestandsanlagen.</t>
  </si>
  <si>
    <t xml:space="preserve">Baujahr/Basisnorm und Grubentiefe als Gates ergänzen; Risikostufen entsprechend der TRBS-Fallunterscheidung bilden.</t>
  </si>
  <si>
    <t xml:space="preserve">TRBS 3121 Anh. 1 Nr. 6</t>
  </si>
  <si>
    <t xml:space="preserve">B05</t>
  </si>
  <si>
    <t xml:space="preserve">MF-S01</t>
  </si>
  <si>
    <t xml:space="preserve">MF-S01-R2 bzw. Frage 10.1a akzeptiert 20 lx auch auf dem Fahrkorbdach. Für Arbeitsbereiche auf Fahrkorbdach und in der Schachtgrube nennt TRBS 3121 mindestens 50 lx.</t>
  </si>
  <si>
    <t xml:space="preserve">Unterbewertung der erforderlichen Arbeitsplatzbeleuchtung.</t>
  </si>
  <si>
    <t xml:space="preserve">Schacht-Allgemeinbeleuchtung und Arbeitsplatzbeleuchtung getrennt fragen; auf Fahrkorbdach/Grube 50 lx ansetzen.</t>
  </si>
  <si>
    <t xml:space="preserve">TRBS 3121 Anh. 1 Nr. 8</t>
  </si>
  <si>
    <t xml:space="preserve">B06</t>
  </si>
  <si>
    <t xml:space="preserve">MF-T04</t>
  </si>
  <si>
    <t xml:space="preserve">Prioritätslogik</t>
  </si>
  <si>
    <t xml:space="preserve">Bei Drahtglas können MF-T04-R1 (Nicht-VSG = Hoch) und MF-T04-R3 (Drahtglas = Niedrig) gleichzeitig treffen. Bei ‚Höchste Stufe‘ übersteuert Hoch die vorgesehene Kompensation immer.</t>
  </si>
  <si>
    <t xml:space="preserve">Die Drahtglas-Ausnahme ist logisch wirkungslos; zusätzlich werden intakte Altgläser pauschal hoch bewertet.</t>
  </si>
  <si>
    <t xml:space="preserve">Material, Zustand, Größe und Einbauumfeld trennen; Drahtglasfall als exklusive/hoch priorisierte Regel oder als Ausschluss in R1 abbilden.</t>
  </si>
  <si>
    <t xml:space="preserve">TRBS 3121 Anh. 1 Nr. 9</t>
  </si>
  <si>
    <t xml:space="preserve">B07</t>
  </si>
  <si>
    <t xml:space="preserve">MF-T06</t>
  </si>
  <si>
    <t xml:space="preserve">Ein Sicherheitslichtgitter wird als allgemeine Alternative zur Fahrkorbtür zugelassen. TRBS 3121 erlaubt diese Kompensation nur bei Lastenaufzügen, die ausschließlich von unterwiesenen Personen benutzt werden.</t>
  </si>
  <si>
    <t xml:space="preserve">Unzulässige Kompensation kann bei Personenaufzügen eine fehlende Fahrkorbtür verdecken.</t>
  </si>
  <si>
    <t xml:space="preserve">Nutzungsart ‚Lastenaufzug‘, ausschließlicher unterwiesener Nutzerkreis und dokumentierte Unterweisung zwingend verknüpfen.</t>
  </si>
  <si>
    <t xml:space="preserve">TRBS 3121 Anh. 1 Nr. 14</t>
  </si>
  <si>
    <t xml:space="preserve">B08</t>
  </si>
  <si>
    <t xml:space="preserve">MF-K05</t>
  </si>
  <si>
    <t xml:space="preserve">Ein Abstand &gt;150 mm wird pauschal hoch bewertet; die TRBS nennt bei Altanlagen niedrig bis mittel in Abhängigkeit von Nutzergruppen. Zudem verlangt R1 Fahrkorbtür- und Schachttür-Zusatzverriegelung gemeinsam, obwohl die TRBS Alternativen beschreibt.</t>
  </si>
  <si>
    <t xml:space="preserve">Risikostufe und Maßnahmenanforderung sind überzogen.</t>
  </si>
  <si>
    <t xml:space="preserve">Nutzergruppe einbeziehen; Alternativlogik ‚Spalt reduzieren ODER Fahrkorbtür außerhalb Zone verriegeln‘ korrekt abbilden.</t>
  </si>
  <si>
    <t xml:space="preserve">TRBS 3121 Anh. 1 Nr. 19</t>
  </si>
  <si>
    <t xml:space="preserve">B09</t>
  </si>
  <si>
    <t xml:space="preserve">MF-K08 / MF-U09–U13 / MF-SF01</t>
  </si>
  <si>
    <t xml:space="preserve">Gebäudeschnittstellen</t>
  </si>
  <si>
    <t xml:space="preserve">BMA-, Entrauchungs-, Sprinkler-, Evakuierungs- und Feuerwehrfunktionen werden ohne Prüfung bewertet, ob die technische Einrichtung vorhanden bzw. baurechtlich gefordert ist.</t>
  </si>
  <si>
    <t xml:space="preserve">Fehlende, aber nicht geforderte Einrichtungen können hohe/mittlere Risiken erzeugen.</t>
  </si>
  <si>
    <t xml:space="preserve">Je Funktion Gate ‚vorhanden/laut Genehmigung gefordert‘ und Nachweisquelle (Brandschutzkonzept, Baugenehmigung) ergänzen.</t>
  </si>
  <si>
    <t xml:space="preserve">TRBS 3121 Anh. 4; Landesbaurecht/Genehmigung</t>
  </si>
  <si>
    <t xml:space="preserve">B10</t>
  </si>
  <si>
    <t xml:space="preserve">MF-K10</t>
  </si>
  <si>
    <t xml:space="preserve">Barrierefreiheit</t>
  </si>
  <si>
    <t xml:space="preserve">Barrierefreiheitsregeln gelten für jeden Aufzug; eine Anforderung aus Nutzung/Genehmigung fehlt. Die Dimension 1,00 × 1,25 m ist ohne Normausgabe/Fahrkorbtyp fest verdrahtet.</t>
  </si>
  <si>
    <t xml:space="preserve">Nicht barrierefrei zu planende Bestandsanlagen können falsch beanstandet werden; Normstand ist nicht nachvollziehbar.</t>
  </si>
  <si>
    <t xml:space="preserve">Anforderungs-Gate, Nutzergruppen und Genehmigungsgrundlage ergänzen; Maße typ- und ausgabebezogen nach DIN EN 81-70:2022-12 modellieren.</t>
  </si>
  <si>
    <t xml:space="preserve">DIN EN 81-70:2022-12</t>
  </si>
  <si>
    <t xml:space="preserve">B11</t>
  </si>
  <si>
    <t xml:space="preserve">MF-F02 / F05 / F07 / M10 / S05</t>
  </si>
  <si>
    <t xml:space="preserve">Maßnahmenwirksamkeit</t>
  </si>
  <si>
    <t xml:space="preserve">Mehrere Sofort-/Folgeangaben sind nicht wirksam oder widersprüchlich: offene Einzugstellen nur mit ‚sicherem Stand‘; Inspektionsfahrt &gt;0,63 m/s nur abwärts; Fahrkorbdach zugleich nicht betreten und Lastverteilplatten nutzen; fehlende redundante Abschaltung nur bei Arbeiten ausschalten; fehlender Geschwindigkeitsbegrenzer mit Fangvorrichtung ersetzen.</t>
  </si>
  <si>
    <t xml:space="preserve">Der Maßnahmenkatalog kann unsichere Arbeitsweisen legitimieren oder das eigentliche Defizit nicht beseitigen.</t>
  </si>
  <si>
    <t xml:space="preserve">Jede Maßnahme am Schutzziel prüfen; bei nicht beherrschter Gefahr außer Betrieb/freischalten, technische Schutzmaßnahme konkret benennen und Wirksamkeitskontrolle vorgeben.</t>
  </si>
  <si>
    <t xml:space="preserve">BetrSichV §§ 4, 8, 10; TRBS 1111</t>
  </si>
  <si>
    <t xml:space="preserve">B12</t>
  </si>
  <si>
    <t xml:space="preserve">MF-M13</t>
  </si>
  <si>
    <t xml:space="preserve">Hydraulik</t>
  </si>
  <si>
    <t xml:space="preserve">Bei fehlendem hydraulischem Absperrventil verlangen MF-M13-R4 und die Maßnahmen nur freien Zugang/Kennzeichnung, nicht den Einbau eines Absperrorgans.</t>
  </si>
  <si>
    <t xml:space="preserve">Das festgestellte technische Defizit bleibt bestehen.</t>
  </si>
  <si>
    <t xml:space="preserve">Einbau eines geeigneten Absperrventils als technische Maßnahme; bis dahin sichere alternative Druck-/Bewegungsfreischaltung verbindlich festlegen.</t>
  </si>
  <si>
    <t xml:space="preserve">DIN EN 81-20 / anlagenspezifische Hydraulik</t>
  </si>
  <si>
    <t xml:space="preserve">B13</t>
  </si>
  <si>
    <t xml:space="preserve">MF-M20</t>
  </si>
  <si>
    <t xml:space="preserve">Maßnahmenbezug</t>
  </si>
  <si>
    <t xml:space="preserve">Bei fehlendem Not-Halt im zusätzlichen Rollenraum lautet die Sofortmaßnahme ‚Fahrkorbdach nur nach Freischalten betreten‘.</t>
  </si>
  <si>
    <t xml:space="preserve">Maßnahme bezieht sich auf den falschen Arbeitsort und beherrscht die Rollenraumgefährdung nicht.</t>
  </si>
  <si>
    <t xml:space="preserve">Existenz des Rollenraums gaten; Arbeiten dort bis zur sicheren Stillsetzung untersagen und Not-Halt/Inspektionsmittel im Rollenraum nachrüsten.</t>
  </si>
  <si>
    <t xml:space="preserve">DIN EN 81-20; TRBS 3121</t>
  </si>
  <si>
    <t xml:space="preserve">B14</t>
  </si>
  <si>
    <t xml:space="preserve">Bewertungsmethode</t>
  </si>
  <si>
    <t xml:space="preserve">Die Stufen Hoch/Mittel/Niedrig sind als Eigenregeln vorgegeben; Schwere, Wahrscheinlichkeit, Exposition, Begründung, manuelle Abweichung und Restrisiko werden nicht dokumentiert.</t>
  </si>
  <si>
    <t xml:space="preserve">Risikourteil ist fachlich nur eingeschränkt prüfbar und nicht revisionsfest.</t>
  </si>
  <si>
    <t xml:space="preserve">Bewertungsmatrix samt Parametern und Quellen hinterlegen; Override nur mit Begründung; Restrisiko nach Maßnahme separat ausweisen.</t>
  </si>
  <si>
    <t xml:space="preserve">TRBS 1111; BetrSichV § 3</t>
  </si>
  <si>
    <t xml:space="preserve">H01</t>
  </si>
  <si>
    <t xml:space="preserve">Hoch</t>
  </si>
  <si>
    <t xml:space="preserve">Auffangregeln</t>
  </si>
  <si>
    <t xml:space="preserve">94 Auffangregeln zeigen jeweils nur eine Ankerfrage ‚ist beantwortet‘. Die behauptete Voraussetzung ‚alle Pflichtfragen beantwortet‘ ist in der XLSX nicht prüfbar.</t>
  </si>
  <si>
    <t xml:space="preserve">Bei unvollständiger Erfassung könnte ‚Kein Risiko‘ entstehen, falls die App keine zusätzliche Pflichtlogik erzwingt.</t>
  </si>
  <si>
    <t xml:space="preserve">Vollständigkeits-Gate explizit exportieren/testen; automatisierte Negativtests für jede fehlende Pflichtantwort anlegen.</t>
  </si>
  <si>
    <t xml:space="preserve">XLSX-Lesehinweise / Laufzeitlogik</t>
  </si>
  <si>
    <t xml:space="preserve">H02</t>
  </si>
  <si>
    <t xml:space="preserve">MF-G03 u. a.</t>
  </si>
  <si>
    <t xml:space="preserve">Antwortmodell</t>
  </si>
  <si>
    <t xml:space="preserve">Bedingte Ja/Nein-Fragen besitzen keinen Status ‚nicht anwendbar‘, z. B. zweiter Gruben-Not-Halt nur bei &gt;1,60 m Tiefe.</t>
  </si>
  <si>
    <t xml:space="preserve">Ein korrekt nicht anwendbarer Fall muss als Nein beantwortet werden und kann einen Mangel auslösen.</t>
  </si>
  <si>
    <t xml:space="preserve">Voraussetzung als Gate oder dreistufige Antwort inkl. begründeter Nichtanwendbarkeit abbilden.</t>
  </si>
  <si>
    <t xml:space="preserve">TRBS 3121 Anh. 1</t>
  </si>
  <si>
    <t xml:space="preserve">H03</t>
  </si>
  <si>
    <t xml:space="preserve">MF-F03 / MF-G08</t>
  </si>
  <si>
    <t xml:space="preserve">Nachbaraufzüge</t>
  </si>
  <si>
    <t xml:space="preserve">Regeln prüfen weder gemeinsamen Schacht noch die maßgeblichen Abstände; MF-F03 benennt außerdem nicht eindeutig den abzuschaltenden Nachbaraufzug. MF-G08 enthält die alternative automatische Abschaltung nicht vollständig.</t>
  </si>
  <si>
    <t xml:space="preserve">Fehl- oder Überbewertung; unspezifische Betriebsmaßnahme.</t>
  </si>
  <si>
    <t xml:space="preserve">Gemeinsamer Schacht, Abstand &lt;0,5 m und konkrete Nachbaranlage erfassen; Alternativen gemäß Nr. 3/4 modellieren.</t>
  </si>
  <si>
    <t xml:space="preserve">TRBS 3121 Anh. 1 Nr. 3 und 4</t>
  </si>
  <si>
    <t xml:space="preserve">H04</t>
  </si>
  <si>
    <t xml:space="preserve">MF-F07 / MF-G04 / MF-G06</t>
  </si>
  <si>
    <t xml:space="preserve">Klappenüberwachung, Grubenzugangstür und Ölstand hydraulischer Puffer werden ohne Existenz-/Bauart-Gate abgefragt.</t>
  </si>
  <si>
    <t xml:space="preserve">Nicht vorhandene Bauteile können als Mangel erscheinen.</t>
  </si>
  <si>
    <t xml:space="preserve">Je Bauteil Existenz-/Bauartfrage vorschalten und Nichtanwendbarkeit begründen lassen.</t>
  </si>
  <si>
    <t xml:space="preserve">H05</t>
  </si>
  <si>
    <t xml:space="preserve">MF-K12–K14</t>
  </si>
  <si>
    <t xml:space="preserve">UCM / Triebwerk</t>
  </si>
  <si>
    <t xml:space="preserve">Vorgeschlagene Abhilfen sind technisch nicht gleichwertig: Bremsüberwachung allein ist nicht zwingend eine vollständige UCM-Lösung; Ultraschallprüfung ersetzt keinen Aufwärts-Geschwindigkeitsbegrenzer; UCM behebt keine statisch unbestimmte Wellenlagerung.</t>
  </si>
  <si>
    <t xml:space="preserve">Scheinsicherheit durch unvollständige oder sachfremde Maßnahme.</t>
  </si>
  <si>
    <t xml:space="preserve">Gefährdungen getrennt modellieren; nur nachgewiesene, baumuster-/anlagenkompatible Schutzlösungen zulassen.</t>
  </si>
  <si>
    <t xml:space="preserve">TRBS 3121 Anh. 1 Nr. 16; DIN EN 81-20</t>
  </si>
  <si>
    <t xml:space="preserve">H06</t>
  </si>
  <si>
    <t xml:space="preserve">MF-U01</t>
  </si>
  <si>
    <t xml:space="preserve">Asbest / Gefahrstoffe</t>
  </si>
  <si>
    <t xml:space="preserve">‚Asbestsituation unbekannt‘ wird automatisch hoch mit generischer Stillsetzung bewertet.</t>
  </si>
  <si>
    <t xml:space="preserve">Unsicherheit und bestätigter Befund werden vermischt; Maßnahme ist nicht untersuchungsspezifisch.</t>
  </si>
  <si>
    <t xml:space="preserve">Status ‚unklar – weitere Ermittlung‘ verwenden; invasive Arbeiten stoppen, Erkundung/Probe durch Fachkundige veranlassen und erst danach Risiko bewerten.</t>
  </si>
  <si>
    <t xml:space="preserve">GefStoffV; TRGS 519</t>
  </si>
  <si>
    <t xml:space="preserve">H07</t>
  </si>
  <si>
    <t xml:space="preserve">MF-U01–U15</t>
  </si>
  <si>
    <t xml:space="preserve">Maßnahmenqualität</t>
  </si>
  <si>
    <t xml:space="preserve">19 offene Umfeldregeln nutzen dieselbe generische mittelfristige Schnittstellenformulierung; 11 hohe und 8 mittlere Regeln teilen weitgehend generische Soforttexte.</t>
  </si>
  <si>
    <t xml:space="preserve">Maßnahmen sind für sehr unterschiedliche Gefahren (Asbest, Ex, Wasser, Brand, Verkehr) nicht hinreichend handlungsleitend.</t>
  </si>
  <si>
    <t xml:space="preserve">Hazardspezifische Sofort-, technische und organisatorische Maßnahmen mit Verantwortlichem, Frist und Wirksamkeitsprüfung formulieren.</t>
  </si>
  <si>
    <t xml:space="preserve">TRBS 1111</t>
  </si>
  <si>
    <t xml:space="preserve">H08</t>
  </si>
  <si>
    <t xml:space="preserve">Übersicht</t>
  </si>
  <si>
    <t xml:space="preserve">Fortschrittsformel</t>
  </si>
  <si>
    <t xml:space="preserve">Die Fortschrittsanzeige zählt nur Sammelfreigaben in Gefährdungszeilen. Im Test blieb ein vollständig auf Regelebene entschiedener Bereich bei 0 %, während eine Sammel- plus eine Einzelentscheidung bereits 5 % ergab.</t>
  </si>
  <si>
    <t xml:space="preserve">Der Bearbeitungsstand ist sachlich falsch und kann Freigabestatus vortäuschen bzw. verschleiern.</t>
  </si>
  <si>
    <t xml:space="preserve">Fortschritt aus allen offenen Regelentscheidungen berechnen; Sammelzelle nur als Eingabehilfe behandeln.</t>
  </si>
  <si>
    <t xml:space="preserve">Rechentest mit LibreOffice</t>
  </si>
  <si>
    <t xml:space="preserve">H09</t>
  </si>
  <si>
    <t xml:space="preserve">Alle Regelblätter</t>
  </si>
  <si>
    <t xml:space="preserve">Datenvalidierung</t>
  </si>
  <si>
    <t xml:space="preserve">Die Dropdown-Validierungen zeigen keine Fehlermeldung und blockieren ungültige Freitexte nicht.</t>
  </si>
  <si>
    <t xml:space="preserve">Unbekannte Entscheidungswerte können unbemerkt in die Datei gelangen.</t>
  </si>
  <si>
    <t xml:space="preserve">Fehleralarm ‚Stop‘ aktivieren und zulässige Werte zentral definieren.</t>
  </si>
  <si>
    <t xml:space="preserve">XLSX-Datenvalidierung</t>
  </si>
  <si>
    <t xml:space="preserve">H10</t>
  </si>
  <si>
    <t xml:space="preserve">Änderungsworkflow</t>
  </si>
  <si>
    <t xml:space="preserve">Bei Entscheidung ‚Ändern‘ oder ‚Streichen‘ ist das Feld ‚Korrektur‘ nicht verpflichtend; es gibt keine Warnung.</t>
  </si>
  <si>
    <t xml:space="preserve">Entscheidungen sind ohne Begründung/Änderungstext möglich und nicht revisionssicher.</t>
  </si>
  <si>
    <t xml:space="preserve">Korrektur/Begründung konditional verpflichtend machen und Vollständigkeit sichtbar prüfen.</t>
  </si>
  <si>
    <t xml:space="preserve">XLSX-Workflow</t>
  </si>
  <si>
    <t xml:space="preserve">H11</t>
  </si>
  <si>
    <t xml:space="preserve">10 Regeln</t>
  </si>
  <si>
    <t xml:space="preserve">Maßnahmenlücken</t>
  </si>
  <si>
    <t xml:space="preserve">Neun risikotragenden Regeln fehlt eine Sofortmaßnahme (MF-Z09-R2, M01-R4, M08-R2, T01-R2, T02-R2, T03-R1, K12-R1, K12-R3, S01-R3); MF-K03-R3 fehlt eine mittelfristige Maßnahme.</t>
  </si>
  <si>
    <t xml:space="preserve">Risikobewertung ist ohne vollständige Handlungsfolge nicht umsetzbar.</t>
  </si>
  <si>
    <t xml:space="preserve">Lücken regelweise schließen oder ausdrücklich und begründet ‚keine zusätzliche Maßnahme‘ dokumentieren.</t>
  </si>
  <si>
    <t xml:space="preserve">XLSX-Inhaltsprüfung</t>
  </si>
  <si>
    <t xml:space="preserve">H12</t>
  </si>
  <si>
    <t xml:space="preserve">Mehrere Bereiche</t>
  </si>
  <si>
    <t xml:space="preserve">T/O-Kennzeichnung</t>
  </si>
  <si>
    <t xml:space="preserve">Technische und organisatorische Maßnahmen sind mehrfach vertauscht, z. B. Reparatur als [O], Reinigungsplan/Unterweisung/Prüfintervalle als [T], Dokumenten- und Schlüsselmanagement als [T].</t>
  </si>
  <si>
    <t xml:space="preserve">Maßnahmenhierarchie und Auswertung nach Maßnahmenart werden verfälscht.</t>
  </si>
  <si>
    <t xml:space="preserve">Alle 367 Regeln systematisch klassifizieren; [T], [O] und ggf. [P] mit Definition und Reviewkriterium verwenden.</t>
  </si>
  <si>
    <t xml:space="preserve">BetrSichV § 4; TOP-Prinzip</t>
  </si>
  <si>
    <t xml:space="preserve">H13</t>
  </si>
  <si>
    <t xml:space="preserve">MF-Z09 / M15 / U12 / D01 / D03 / D05</t>
  </si>
  <si>
    <t xml:space="preserve">Sechs Gefährdungen zitieren TRBS-3121-Abschnitte 4.2, 4.4, 4.5 oder 4.6. Die aktuelle Fassung gliedert den Haupttext bis Abschnitt 3 und führt danach Anhänge.</t>
  </si>
  <si>
    <t xml:space="preserve">Quellen sind veraltet oder nicht eindeutig zur geltenden Fassung zuordenbar.</t>
  </si>
  <si>
    <t xml:space="preserve">Alle Abschnittsverweise auf die aktuelle Fassung (GMBl 2025) umstellen und inhaltlich erneut abgleichen.</t>
  </si>
  <si>
    <t xml:space="preserve">Aktuelle TRBS 3121, geändert 17.10.2025</t>
  </si>
  <si>
    <t xml:space="preserve">H14</t>
  </si>
  <si>
    <t xml:space="preserve">Formelkompatibilität</t>
  </si>
  <si>
    <t xml:space="preserve">Alle 36 Übersichtszellen enthalten Formeln, aber keine gespeicherten Ergebniswerte. Die Datei verlangt Neuberechnung beim Öffnen.</t>
  </si>
  <si>
    <t xml:space="preserve">Viewer ohne Rechenengine können leere Kennzahlen anzeigen.</t>
  </si>
  <si>
    <t xml:space="preserve">Vor Ausgabe in einer Tabellenkalkulation vollständig neu berechnen und Cachewerte speichern; zusätzlich Kompatibilitätstest in Zielumgebung.</t>
  </si>
  <si>
    <t xml:space="preserve">XLSX-Dateiprüfung</t>
  </si>
  <si>
    <t xml:space="preserve">H15</t>
  </si>
  <si>
    <t xml:space="preserve">MF-F04</t>
  </si>
  <si>
    <t xml:space="preserve">Risikoproportionalität</t>
  </si>
  <si>
    <t xml:space="preserve">Ein fehlendes Warnschild bei wirksamer Schutzraum-Einrichtung/Unterweisung wird in MF-F04-R2 weiterhin hoch bewertet.</t>
  </si>
  <si>
    <t xml:space="preserve">Dokumentations-/Kennzeichnungsmangel wird mit fehlender technischer Schutzwirkung gleichgesetzt.</t>
  </si>
  <si>
    <t xml:space="preserve">Technische Schutzwirkung und Kennzeichnung getrennt bewerten; Stufe anhand tatsächlicher Restgefährdung festlegen.</t>
  </si>
  <si>
    <t xml:space="preserve">TRBS 3121 Anh. 1 Nr. 5</t>
  </si>
  <si>
    <t xml:space="preserve">H16</t>
  </si>
  <si>
    <t xml:space="preserve">MF-K11</t>
  </si>
  <si>
    <t xml:space="preserve">Datenschutz / Maßnahme</t>
  </si>
  <si>
    <t xml:space="preserve">Videoüberwachung bzw. Zugangsbeschränkung wird als generische technische Abhilfe gegen Vandalismus vorgeschlagen.</t>
  </si>
  <si>
    <t xml:space="preserve">Maßnahme kann unverhältnismäßig sein und eigenständige Datenschutzpflichten auslösen.</t>
  </si>
  <si>
    <t xml:space="preserve">Vandalismusursache und Verhältnismäßigkeit prüfen; Video nur als begründete Einzelfalloption mit Datenschutzprüfung.</t>
  </si>
  <si>
    <t xml:space="preserve">DSGVO/BDSG; Verhältnismäßigkeit</t>
  </si>
  <si>
    <t xml:space="preserve">M01</t>
  </si>
  <si>
    <t xml:space="preserve">Mittel</t>
  </si>
  <si>
    <t xml:space="preserve">Hilfetexte</t>
  </si>
  <si>
    <t xml:space="preserve">Die Spalte ‚Hilfetext‘ ist bei allen 196 Fragen leer, obwohl die Lesehinweise Hilfetexte ankündigen.</t>
  </si>
  <si>
    <t xml:space="preserve">Prüfer erhalten keine Mess-, Nachweis- oder Abgrenzungshilfe; Antworten werden uneinheitlich.</t>
  </si>
  <si>
    <t xml:space="preserve">Für jede Frage Prüfhinweis, Messmethode, Nachweis und Abgrenzung zu ‚nicht geprüft/nicht anwendbar‘ ergänzen.</t>
  </si>
  <si>
    <t xml:space="preserve">XLSX-Lesehinweise</t>
  </si>
  <si>
    <t xml:space="preserve">M02</t>
  </si>
  <si>
    <t xml:space="preserve">Ergebnisdokumentation</t>
  </si>
  <si>
    <t xml:space="preserve">Verantwortlicher, Frist, Wirksamkeitskontrolle und Restrisiko sind in dieser Regelprüfdatei nicht enthalten.</t>
  </si>
  <si>
    <t xml:space="preserve">Falls diese Felder nicht nachgelagert in der App erfasst werden, ist die Maßnahmenverfolgung unvollständig.</t>
  </si>
  <si>
    <t xml:space="preserve">Im Zielsystem verbindlich vorsehen und beim Export mitführen; in dieser Datei als ‚extern zu prüfen‘ kennzeichnen.</t>
  </si>
  <si>
    <t xml:space="preserve">M03</t>
  </si>
  <si>
    <t xml:space="preserve">Normenrückverfolgung</t>
  </si>
  <si>
    <t xml:space="preserve">Alle 94 Gefährdungen besitzen zwar Quellen, aber die pauschale Kennzeichnung ‚auch 81-80: ja/nein‘ ist nicht auf konkrete EN-81-80-Punkte zurückgeführt.</t>
  </si>
  <si>
    <t xml:space="preserve">Die behauptete Normabdeckung ist nicht revisionssicher nachprüfbar.</t>
  </si>
  <si>
    <t xml:space="preserve">Pro Regel konkrete Normstelle, Ausgabe und Ableitungsart (wörtlich/Interpretation/Eigenregel) hinterlegen.</t>
  </si>
  <si>
    <t xml:space="preserve">DIN EN 81-80; internes Regelwerk</t>
  </si>
  <si>
    <t xml:space="preserve">M04</t>
  </si>
  <si>
    <t xml:space="preserve">Schreib-/Fachqualität</t>
  </si>
  <si>
    <t xml:space="preserve">Mehrere Tipp- und Formulierungsfehler wurden gefunden, u. a. ‚Motrorregelung‘, ‚Machinenrahmen‘, ‚Steuerung nachrüste‘ und ‚Auf Eignung ,‘.</t>
  </si>
  <si>
    <t xml:space="preserve">Verringert Eindeutigkeit und professionellen Eindruck; kann Such-/Mappingfunktionen stören.</t>
  </si>
  <si>
    <t xml:space="preserve">Rechtschreib- und Terminologiereview durchführen; Begriffe wie Not-Halt/Notbremsschalter vereinheitlichen.</t>
  </si>
  <si>
    <t xml:space="preserve">XLSX-Textprüfung</t>
  </si>
  <si>
    <t xml:space="preserve">M05</t>
  </si>
  <si>
    <t xml:space="preserve">Schutz / Governance</t>
  </si>
  <si>
    <t xml:space="preserve">Blätter sind ungeschützt; Formeln, freigegebene Zeilen und Kataloginhalte können versehentlich überschrieben werden.</t>
  </si>
  <si>
    <t xml:space="preserve">Unbeabsichtigte Änderungen sind technisch nicht verhindert.</t>
  </si>
  <si>
    <t xml:space="preserve">Eingabezellen entsperren, Struktur/Formeln schützen und Änderungen versionieren; Schutz nicht als Sicherheitskontrolle, sondern als Bedienhilfe verstehen.</t>
  </si>
  <si>
    <t xml:space="preserve">N01</t>
  </si>
  <si>
    <t xml:space="preserve">Niedrig</t>
  </si>
  <si>
    <t xml:space="preserve">Die Datei ist visuell konsistent, jedoch in Regelblättern sehr textdicht; lange Maßnahmen und Quellen sind nur mit hoher Zeilenhöhe vollständig lesbar.</t>
  </si>
  <si>
    <t xml:space="preserve">Review dauert länger und einzelne Inhalte können übersehen werden.</t>
  </si>
  <si>
    <t xml:space="preserve">Filter-/Reviewansicht mit festen Spalten für ID, Stufe, Entscheidung und separater Detailansicht erwägen.</t>
  </si>
  <si>
    <t xml:space="preserve">Visuelle Prüfung aller 13 Blätter</t>
  </si>
  <si>
    <t xml:space="preserve">Abdeckung und Status</t>
  </si>
  <si>
    <t xml:space="preserve">Inventur der Regelblätter; offene Auffangregeln sind separat ausgewiesen</t>
  </si>
  <si>
    <t xml:space="preserve">Bereich</t>
  </si>
  <si>
    <t xml:space="preserve">Gefährdungen</t>
  </si>
  <si>
    <t xml:space="preserve">Regeln</t>
  </si>
  <si>
    <t xml:space="preserve">offene Fachregeln</t>
  </si>
  <si>
    <t xml:space="preserve">offene Auffangregeln</t>
  </si>
  <si>
    <t xml:space="preserve">freigegeben</t>
  </si>
  <si>
    <t xml:space="preserve">Z Zugang</t>
  </si>
  <si>
    <t xml:space="preserve">M Triebwerksraum</t>
  </si>
  <si>
    <t xml:space="preserve">T Türen</t>
  </si>
  <si>
    <t xml:space="preserve">K Fahrkorb</t>
  </si>
  <si>
    <t xml:space="preserve">F Fahrkorbdach</t>
  </si>
  <si>
    <t xml:space="preserve">S Schacht</t>
  </si>
  <si>
    <t xml:space="preserve">G Schachtgrube</t>
  </si>
  <si>
    <t xml:space="preserve">U Umfeld</t>
  </si>
  <si>
    <t xml:space="preserve">SF Sonderfunktionen</t>
  </si>
  <si>
    <t xml:space="preserve">D Unterlagen</t>
  </si>
  <si>
    <t xml:space="preserve">Technischer Prüfnachweis</t>
  </si>
  <si>
    <t xml:space="preserve">Automatisierte Struktur-/Formelprüfung plus Sichtprüfung aller Blätter</t>
  </si>
  <si>
    <t xml:space="preserve">Prüfgruppe</t>
  </si>
  <si>
    <t xml:space="preserve">Prüfpunkt</t>
  </si>
  <si>
    <t xml:space="preserve">Ergebnis</t>
  </si>
  <si>
    <t xml:space="preserve">Status</t>
  </si>
  <si>
    <t xml:space="preserve">Datei</t>
  </si>
  <si>
    <t xml:space="preserve">SHA-256</t>
  </si>
  <si>
    <t xml:space="preserve">84b538e208f5b97880183c53d03641870cc9e618fbf37a1a320c619355b7bc3c</t>
  </si>
  <si>
    <t xml:space="preserve">Bestanden</t>
  </si>
  <si>
    <t xml:space="preserve">Blätter</t>
  </si>
  <si>
    <t xml:space="preserve">13, alle sichtbar</t>
  </si>
  <si>
    <t xml:space="preserve">Gefährdungs-IDs</t>
  </si>
  <si>
    <t xml:space="preserve">94 eindeutig</t>
  </si>
  <si>
    <t xml:space="preserve">Regel-IDs</t>
  </si>
  <si>
    <t xml:space="preserve">367 eindeutig</t>
  </si>
  <si>
    <t xml:space="preserve">94; je Gefährdung genau 1</t>
  </si>
  <si>
    <t xml:space="preserve">Inhalt</t>
  </si>
  <si>
    <t xml:space="preserve">196 eindeutig; 196/196 ohne Hilfetext</t>
  </si>
  <si>
    <t xml:space="preserve">Referenzen</t>
  </si>
  <si>
    <t xml:space="preserve">Fehlende Fragen</t>
  </si>
  <si>
    <t xml:space="preserve">50 Referenzen / 44 Regeln / 43 Fragen</t>
  </si>
  <si>
    <t xml:space="preserve">Bedingungen</t>
  </si>
  <si>
    <t xml:space="preserve">SELECT-Werte</t>
  </si>
  <si>
    <t xml:space="preserve">Keine ungültigen Auswahlwerte in offenen Regeln</t>
  </si>
  <si>
    <t xml:space="preserve">Formeln</t>
  </si>
  <si>
    <t xml:space="preserve">Anzahl/Fehler</t>
  </si>
  <si>
    <t xml:space="preserve">36 Formeln; keine sichtbaren Excel-Fehler</t>
  </si>
  <si>
    <t xml:space="preserve">Gespeicherte Ergebnisse</t>
  </si>
  <si>
    <t xml:space="preserve">36/36 Cachewerte leer</t>
  </si>
  <si>
    <t xml:space="preserve">Validierung</t>
  </si>
  <si>
    <t xml:space="preserve">Entscheidungszellen</t>
  </si>
  <si>
    <t xml:space="preserve">94 Sammel- und 290 offene Regelzellen mit Dropdown</t>
  </si>
  <si>
    <t xml:space="preserve">Ungültige Eingaben</t>
  </si>
  <si>
    <t xml:space="preserve">Fehlermeldung/Stop deaktiviert</t>
  </si>
  <si>
    <t xml:space="preserve">Sofortmaßnahme</t>
  </si>
  <si>
    <t xml:space="preserve">9 risikotragende Regeln ohne Angabe</t>
  </si>
  <si>
    <t xml:space="preserve">Mittelfristig</t>
  </si>
  <si>
    <t xml:space="preserve">1 risikotragende Regel ohne Angabe</t>
  </si>
  <si>
    <t xml:space="preserve">Renderprüfung</t>
  </si>
  <si>
    <t xml:space="preserve">Alle 13 Blätter vollständig gerendert und visuell geprüft</t>
  </si>
  <si>
    <t xml:space="preserve">Schutz</t>
  </si>
  <si>
    <t xml:space="preserve">Blatt-/Strukturschutz</t>
  </si>
  <si>
    <t xml:space="preserve">Nicht vorhanden</t>
  </si>
  <si>
    <t xml:space="preserve">Externe Prüfquellen</t>
  </si>
  <si>
    <t xml:space="preserve">Maßgeblicher Stand für die normative Plausibilisierung</t>
  </si>
  <si>
    <t xml:space="preserve">Quelle</t>
  </si>
  <si>
    <t xml:space="preserve">Verwendung</t>
  </si>
  <si>
    <t xml:space="preserve">Link</t>
  </si>
  <si>
    <t xml:space="preserve">TRBS 3121</t>
  </si>
  <si>
    <t xml:space="preserve">Aktuelle BAuA-Fassung; zuletzt geändert GMBl 2025 S. 691</t>
  </si>
  <si>
    <t xml:space="preserve">https://www.baua.de/DE/Angebote/Regelwerk/TRBS/TRBS-3121</t>
  </si>
  <si>
    <t xml:space="preserve">TRBS 3121 PDF</t>
  </si>
  <si>
    <t xml:space="preserve">Aktuelle Textfassung mit Anhängen</t>
  </si>
  <si>
    <t xml:space="preserve">https://igsvtu.lanuk.nrw.de/vtu/doc.app?DATEI=14/dokus/14083121.pdf&amp;USER_ID=319</t>
  </si>
  <si>
    <t xml:space="preserve">BetrSichV</t>
  </si>
  <si>
    <t xml:space="preserve">Anhang 1, besondere Vorschriften für Aufzugsanlagen</t>
  </si>
  <si>
    <t xml:space="preserve">https://www.gesetze-im-internet.de/betrsichv_2015/anhang_1.html</t>
  </si>
  <si>
    <t xml:space="preserve">DIN EN 81-70</t>
  </si>
  <si>
    <t xml:space="preserve">Ausgabe 2022-12; ersetzt Ausgabe 2021</t>
  </si>
  <si>
    <t xml:space="preserve">https://www.dinmedia.de/de/norm/din-en-81-70/338080130</t>
  </si>
  <si>
    <t xml:space="preserve">DGUV Information 209-085</t>
  </si>
  <si>
    <t xml:space="preserve">Sicheres Arbeiten an Aufzugsanlagen</t>
  </si>
  <si>
    <t xml:space="preserve">https://publikationen.dguv.de/widgets/pdf/download/article/538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</si>
</sst>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17365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222222"/>
      <name val="Arial"/>
      <family val="0"/>
      <charset val="1"/>
    </font>
    <font>
      <b val="true"/>
      <sz val="10"/>
      <color rgb="FF17365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CE5CD"/>
      </patternFill>
    </fill>
    <fill>
      <patternFill patternType="solid">
        <fgColor rgb="FF17365D"/>
        <bgColor rgb="FF333399"/>
      </patternFill>
    </fill>
    <fill>
      <patternFill patternType="solid">
        <fgColor rgb="FFD9EAF7"/>
        <bgColor rgb="FFE1E7EC"/>
      </patternFill>
    </fill>
    <fill>
      <patternFill patternType="solid">
        <fgColor rgb="FFD9EAD3"/>
        <bgColor rgb="FFE1E7EC"/>
      </patternFill>
    </fill>
  </fills>
  <borders count="1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9FBAD0"/>
      </bottom>
      <diagonal/>
    </border>
    <border diagonalUp="false" diagonalDown="false">
      <left/>
      <right style="thin">
        <color rgb="FFE1E7EC"/>
      </right>
      <top/>
      <bottom style="thin">
        <color rgb="FFE1E7EC"/>
      </bottom>
      <diagonal/>
    </border>
    <border diagonalUp="false" diagonalDown="false">
      <left style="thin">
        <color rgb="FFE1E7EC"/>
      </left>
      <right style="thin">
        <color rgb="FFE1E7EC"/>
      </right>
      <top/>
      <bottom style="thin">
        <color rgb="FFE1E7EC"/>
      </bottom>
      <diagonal/>
    </border>
    <border diagonalUp="false" diagonalDown="false">
      <left style="thin">
        <color rgb="FFE1E7EC"/>
      </left>
      <right/>
      <top/>
      <bottom style="thin">
        <color rgb="FFE1E7EC"/>
      </bottom>
      <diagonal/>
    </border>
    <border diagonalUp="false" diagonalDown="false">
      <left/>
      <right style="thin">
        <color rgb="FFE1E7EC"/>
      </right>
      <top style="thin">
        <color rgb="FFE1E7EC"/>
      </top>
      <bottom style="thin">
        <color rgb="FFE1E7EC"/>
      </bottom>
      <diagonal/>
    </border>
    <border diagonalUp="false" diagonalDown="false">
      <left style="thin">
        <color rgb="FFE1E7EC"/>
      </left>
      <right style="thin">
        <color rgb="FFE1E7EC"/>
      </right>
      <top style="thin">
        <color rgb="FFE1E7EC"/>
      </top>
      <bottom style="thin">
        <color rgb="FFE1E7EC"/>
      </bottom>
      <diagonal/>
    </border>
    <border diagonalUp="false" diagonalDown="false">
      <left style="thin">
        <color rgb="FFE1E7EC"/>
      </left>
      <right/>
      <top style="thin">
        <color rgb="FFE1E7EC"/>
      </top>
      <bottom style="thin">
        <color rgb="FFE1E7EC"/>
      </bottom>
      <diagonal/>
    </border>
    <border diagonalUp="false" diagonalDown="false">
      <left/>
      <right style="thin">
        <color rgb="FFE1E7EC"/>
      </right>
      <top style="thin">
        <color rgb="FFE1E7EC"/>
      </top>
      <bottom/>
      <diagonal/>
    </border>
    <border diagonalUp="false" diagonalDown="false">
      <left style="thin">
        <color rgb="FFE1E7EC"/>
      </left>
      <right style="thin">
        <color rgb="FFE1E7EC"/>
      </right>
      <top style="thin">
        <color rgb="FFE1E7EC"/>
      </top>
      <bottom/>
      <diagonal/>
    </border>
    <border diagonalUp="false" diagonalDown="false">
      <left style="thin">
        <color rgb="FFE1E7EC"/>
      </left>
      <right/>
      <top style="thin">
        <color rgb="FFE1E7EC"/>
      </top>
      <bottom/>
      <diagonal/>
    </border>
    <border diagonalUp="false" diagonalDown="false">
      <left/>
      <right/>
      <top/>
      <bottom style="thin">
        <color rgb="FFE1E7EC"/>
      </bottom>
      <diagonal/>
    </border>
    <border diagonalUp="false" diagonalDown="false">
      <left/>
      <right/>
      <top style="thin">
        <color rgb="FFE1E7EC"/>
      </top>
      <bottom style="thin">
        <color rgb="FFE1E7EC"/>
      </bottom>
      <diagonal/>
    </border>
    <border diagonalUp="false" diagonalDown="false">
      <left/>
      <right/>
      <top style="thin">
        <color rgb="FFE1E7EC"/>
      </top>
      <bottom/>
      <diagonal/>
    </border>
    <border diagonalUp="false" diagonalDown="false">
      <left/>
      <right/>
      <top style="medium">
        <color rgb="FF17365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2" borderId="0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3" borderId="0" xfId="2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5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7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6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8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9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1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3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1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2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2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3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3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1" fillId="4" borderId="14" xfId="2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4" xfId="2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6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CE5CD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9C5700"/>
      </font>
      <fill>
        <patternFill>
          <bgColor rgb="FFFCE5CD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404040"/>
      </font>
      <fill>
        <patternFill>
          <bgColor rgb="FFE7E6E6"/>
        </patternFill>
      </fill>
    </dxf>
    <dxf>
      <font>
        <b val="1"/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  <color rgb="FF7F6000"/>
      </font>
      <fill>
        <patternFill>
          <bgColor rgb="FFFFF2CC"/>
        </patternFill>
      </fill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1">
    <tableStyle count="7" name="TableStyleMedium2">
      <tableStyleElement dxfId="19" type="wholeTable"/>
      <tableStyleElement dxfId="20" type="firstColumnStripe"/>
      <tableStyleElement dxfId="21" type="firstRowStripe"/>
      <tableStyleElement dxfId="22" type="lastColumn"/>
      <tableStyleElement dxfId="23" type="firstColumn"/>
      <tableStyleElement dxfId="24" type="headerRow"/>
      <tableStyleElement dxfId="25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156082"/>
      <rgbColor rgb="FF9FBAD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E7E6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1E7EC"/>
      <rgbColor rgb="FFD9EAD3"/>
      <rgbColor rgb="FFFCE5CD"/>
      <rgbColor rgb="FF99CCFF"/>
      <rgbColor rgb="FFFF99CC"/>
      <rgbColor rgb="FFCC99FF"/>
      <rgbColor rgb="FFF4CCCC"/>
      <rgbColor rgb="FF3366FF"/>
      <rgbColor rgb="FF46B1E1"/>
      <rgbColor rgb="FF99CC00"/>
      <rgbColor rgb="FFFFCC00"/>
      <rgbColor rgb="FFFF9900"/>
      <rgbColor rgb="FFFF6600"/>
      <rgbColor rgb="FF555555"/>
      <rgbColor rgb="FF969696"/>
      <rgbColor rgb="FF17365D"/>
      <rgbColor rgb="FF339966"/>
      <rgbColor rgb="FF274E13"/>
      <rgbColor rgb="FF222222"/>
      <rgbColor rgb="FF9C57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BefundeTabelle" displayName="BefundeTabelle" ref="A1:H37" headerRowCount="1" totalsRowCount="0" totalsRowShown="0">
  <tableColumns count="8">
    <tableColumn id="1" name="ID"/>
    <tableColumn id="2" name="Priorität"/>
    <tableColumn id="3" name="Bereich / Regeln"/>
    <tableColumn id="4" name="Kategorie"/>
    <tableColumn id="5" name="Befund"/>
    <tableColumn id="6" name="Auswirkung"/>
    <tableColumn id="7" name="Empfehlung"/>
    <tableColumn id="8" name="Bez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"/>
    <col collapsed="false" customWidth="true" hidden="false" outlineLevel="0" max="3" min="3" style="0" width="70"/>
    <col collapsed="false" customWidth="true" hidden="false" outlineLevel="0" max="4" min="4" style="0" width="38"/>
    <col collapsed="false" customWidth="true" hidden="false" outlineLevel="0" max="8" min="5" style="0" width="3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/>
      <c r="B3" s="3"/>
      <c r="C3" s="3"/>
      <c r="D3" s="3"/>
      <c r="E3" s="3"/>
      <c r="F3" s="3"/>
      <c r="G3" s="3"/>
      <c r="H3" s="3"/>
    </row>
    <row r="4" customFormat="false" ht="15" hidden="false" customHeight="true" outlineLevel="0" collapsed="false">
      <c r="A4" s="4"/>
      <c r="B4" s="4"/>
      <c r="C4" s="4"/>
      <c r="D4" s="4"/>
      <c r="E4" s="4"/>
      <c r="F4" s="4"/>
      <c r="G4" s="4"/>
      <c r="H4" s="4"/>
    </row>
    <row r="5" customFormat="false" ht="15" hidden="false" customHeight="true" outlineLevel="0" collapsed="false">
      <c r="A5" s="5" t="s">
        <v>2</v>
      </c>
      <c r="B5" s="6" t="s">
        <v>3</v>
      </c>
      <c r="C5" s="4"/>
      <c r="D5" s="4"/>
      <c r="E5" s="4"/>
      <c r="F5" s="4"/>
      <c r="G5" s="4"/>
      <c r="H5" s="4"/>
    </row>
    <row r="6" customFormat="false" ht="15" hidden="false" customHeight="true" outlineLevel="0" collapsed="false">
      <c r="A6" s="4"/>
      <c r="B6" s="4"/>
      <c r="C6" s="4"/>
      <c r="D6" s="4"/>
      <c r="E6" s="4"/>
      <c r="F6" s="4"/>
      <c r="G6" s="4"/>
      <c r="H6" s="4"/>
    </row>
    <row r="7" customFormat="false" ht="15" hidden="false" customHeight="true" outlineLevel="0" collapsed="false">
      <c r="A7" s="7" t="s">
        <v>4</v>
      </c>
      <c r="B7" s="7" t="s">
        <v>5</v>
      </c>
      <c r="C7" s="7" t="s">
        <v>6</v>
      </c>
      <c r="D7" s="7" t="s">
        <v>7</v>
      </c>
      <c r="E7" s="4"/>
      <c r="F7" s="4"/>
      <c r="G7" s="4"/>
      <c r="H7" s="4"/>
    </row>
    <row r="8" customFormat="false" ht="15" hidden="false" customHeight="true" outlineLevel="0" collapsed="false">
      <c r="A8" s="8" t="s">
        <v>8</v>
      </c>
      <c r="B8" s="9" t="n">
        <v>94</v>
      </c>
      <c r="C8" s="9" t="s">
        <v>9</v>
      </c>
      <c r="D8" s="10" t="s">
        <v>10</v>
      </c>
      <c r="E8" s="4"/>
      <c r="F8" s="4"/>
      <c r="G8" s="4"/>
      <c r="H8" s="4"/>
    </row>
    <row r="9" customFormat="false" ht="15" hidden="false" customHeight="true" outlineLevel="0" collapsed="false">
      <c r="A9" s="11" t="s">
        <v>11</v>
      </c>
      <c r="B9" s="12" t="n">
        <v>367</v>
      </c>
      <c r="C9" s="12" t="s">
        <v>9</v>
      </c>
      <c r="D9" s="13" t="s">
        <v>12</v>
      </c>
      <c r="E9" s="4"/>
      <c r="F9" s="4"/>
      <c r="G9" s="4"/>
      <c r="H9" s="4"/>
    </row>
    <row r="10" customFormat="false" ht="15" hidden="false" customHeight="true" outlineLevel="0" collapsed="false">
      <c r="A10" s="11" t="s">
        <v>13</v>
      </c>
      <c r="B10" s="12" t="n">
        <v>196</v>
      </c>
      <c r="C10" s="12" t="s">
        <v>14</v>
      </c>
      <c r="D10" s="13" t="s">
        <v>15</v>
      </c>
      <c r="E10" s="4"/>
      <c r="F10" s="4"/>
      <c r="G10" s="4"/>
      <c r="H10" s="4"/>
    </row>
    <row r="11" customFormat="false" ht="15" hidden="false" customHeight="true" outlineLevel="0" collapsed="false">
      <c r="A11" s="11" t="s">
        <v>16</v>
      </c>
      <c r="B11" s="14" t="n">
        <f aca="false">COUNTIF(Befunde!$B$2:$B$37,"Kritisch")</f>
        <v>14</v>
      </c>
      <c r="C11" s="12" t="s">
        <v>17</v>
      </c>
      <c r="D11" s="13" t="s">
        <v>18</v>
      </c>
      <c r="E11" s="4"/>
      <c r="F11" s="4"/>
      <c r="G11" s="4"/>
      <c r="H11" s="4"/>
    </row>
    <row r="12" customFormat="false" ht="15" hidden="false" customHeight="true" outlineLevel="0" collapsed="false">
      <c r="A12" s="11" t="s">
        <v>19</v>
      </c>
      <c r="B12" s="14" t="n">
        <f aca="false">COUNTIF(Befunde!$B$2:$B$37,"Hoch")</f>
        <v>16</v>
      </c>
      <c r="C12" s="12" t="s">
        <v>20</v>
      </c>
      <c r="D12" s="13" t="s">
        <v>21</v>
      </c>
      <c r="E12" s="4"/>
      <c r="F12" s="4"/>
      <c r="G12" s="4"/>
      <c r="H12" s="4"/>
    </row>
    <row r="13" customFormat="false" ht="15" hidden="false" customHeight="true" outlineLevel="0" collapsed="false">
      <c r="A13" s="11" t="s">
        <v>22</v>
      </c>
      <c r="B13" s="14" t="n">
        <f aca="false">COUNTIF(Befunde!$B$2:$B$37,"Mittel")</f>
        <v>5</v>
      </c>
      <c r="C13" s="12" t="s">
        <v>23</v>
      </c>
      <c r="D13" s="13" t="s">
        <v>24</v>
      </c>
      <c r="E13" s="4"/>
      <c r="F13" s="4"/>
      <c r="G13" s="4"/>
      <c r="H13" s="4"/>
    </row>
    <row r="14" customFormat="false" ht="15" hidden="false" customHeight="true" outlineLevel="0" collapsed="false">
      <c r="A14" s="15" t="s">
        <v>25</v>
      </c>
      <c r="B14" s="16" t="n">
        <f aca="false">COUNTIF(Befunde!$B$2:$B$37,"Niedrig")</f>
        <v>1</v>
      </c>
      <c r="C14" s="17" t="s">
        <v>26</v>
      </c>
      <c r="D14" s="18" t="s">
        <v>27</v>
      </c>
      <c r="E14" s="4"/>
      <c r="F14" s="4"/>
      <c r="G14" s="4"/>
      <c r="H14" s="4"/>
    </row>
    <row r="15" customFormat="false" ht="15" hidden="false" customHeight="true" outlineLevel="0" collapsed="false">
      <c r="A15" s="4"/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19" t="s">
        <v>28</v>
      </c>
      <c r="B16" s="19"/>
      <c r="C16" s="19"/>
      <c r="D16" s="19"/>
      <c r="E16" s="19"/>
      <c r="F16" s="19"/>
      <c r="G16" s="19"/>
      <c r="H16" s="19"/>
    </row>
    <row r="17" customFormat="false" ht="15" hidden="false" customHeight="true" outlineLevel="0" collapsed="false">
      <c r="A17" s="20" t="s">
        <v>29</v>
      </c>
      <c r="B17" s="20" t="s">
        <v>30</v>
      </c>
      <c r="C17" s="20" t="s">
        <v>31</v>
      </c>
      <c r="D17" s="20"/>
      <c r="E17" s="20"/>
      <c r="F17" s="20"/>
      <c r="G17" s="20"/>
      <c r="H17" s="20"/>
    </row>
    <row r="18" customFormat="false" ht="15" hidden="false" customHeight="true" outlineLevel="0" collapsed="false">
      <c r="A18" s="20" t="s">
        <v>32</v>
      </c>
      <c r="B18" s="20" t="s">
        <v>33</v>
      </c>
      <c r="C18" s="20" t="s">
        <v>34</v>
      </c>
      <c r="D18" s="20"/>
      <c r="E18" s="20"/>
      <c r="F18" s="20"/>
      <c r="G18" s="20"/>
      <c r="H18" s="20"/>
    </row>
    <row r="19" customFormat="false" ht="15" hidden="false" customHeight="true" outlineLevel="0" collapsed="false">
      <c r="A19" s="20" t="s">
        <v>35</v>
      </c>
      <c r="B19" s="20" t="s">
        <v>36</v>
      </c>
      <c r="C19" s="20" t="s">
        <v>37</v>
      </c>
      <c r="D19" s="20"/>
      <c r="E19" s="20"/>
      <c r="F19" s="20"/>
      <c r="G19" s="20"/>
      <c r="H19" s="20"/>
    </row>
    <row r="20" customFormat="false" ht="15" hidden="false" customHeight="true" outlineLevel="0" collapsed="false">
      <c r="A20" s="20" t="s">
        <v>38</v>
      </c>
      <c r="B20" s="20" t="s">
        <v>39</v>
      </c>
      <c r="C20" s="20" t="s">
        <v>40</v>
      </c>
      <c r="D20" s="20"/>
      <c r="E20" s="20"/>
      <c r="F20" s="20"/>
      <c r="G20" s="20"/>
      <c r="H20" s="20"/>
    </row>
    <row r="21" customFormat="false" ht="15" hidden="false" customHeight="true" outlineLevel="0" collapsed="false">
      <c r="A21" s="20" t="s">
        <v>41</v>
      </c>
      <c r="B21" s="20" t="s">
        <v>42</v>
      </c>
      <c r="C21" s="20" t="s">
        <v>43</v>
      </c>
      <c r="D21" s="20"/>
      <c r="E21" s="20"/>
      <c r="F21" s="20"/>
      <c r="G21" s="20"/>
      <c r="H21" s="20"/>
    </row>
    <row r="22" customFormat="false" ht="15" hidden="false" customHeight="true" outlineLevel="0" collapsed="false">
      <c r="A22" s="20" t="s">
        <v>44</v>
      </c>
      <c r="B22" s="20" t="s">
        <v>45</v>
      </c>
      <c r="C22" s="20" t="s">
        <v>46</v>
      </c>
      <c r="D22" s="20"/>
      <c r="E22" s="20"/>
      <c r="F22" s="20"/>
      <c r="G22" s="20"/>
      <c r="H22" s="20"/>
    </row>
    <row r="23" customFormat="false" ht="15" hidden="false" customHeight="true" outlineLevel="0" collapsed="false">
      <c r="A23" s="20"/>
      <c r="B23" s="20"/>
      <c r="C23" s="20"/>
      <c r="D23" s="20"/>
      <c r="E23" s="20"/>
      <c r="F23" s="20"/>
      <c r="G23" s="20"/>
      <c r="H23" s="20"/>
    </row>
    <row r="24" customFormat="false" ht="15" hidden="false" customHeight="true" outlineLevel="0" collapsed="false">
      <c r="A24" s="21" t="s">
        <v>47</v>
      </c>
      <c r="B24" s="21"/>
      <c r="C24" s="21"/>
      <c r="D24" s="21"/>
      <c r="E24" s="21"/>
      <c r="F24" s="21"/>
      <c r="G24" s="21"/>
      <c r="H24" s="21"/>
    </row>
    <row r="25" customFormat="false" ht="15" hidden="false" customHeight="true" outlineLevel="0" collapsed="false">
      <c r="A25" s="20" t="s">
        <v>48</v>
      </c>
      <c r="B25" s="20" t="s">
        <v>49</v>
      </c>
      <c r="C25" s="20" t="s">
        <v>50</v>
      </c>
      <c r="D25" s="20"/>
      <c r="E25" s="20"/>
      <c r="F25" s="20"/>
      <c r="G25" s="20"/>
      <c r="H25" s="20"/>
    </row>
    <row r="26" customFormat="false" ht="15" hidden="false" customHeight="true" outlineLevel="0" collapsed="false">
      <c r="A26" s="20" t="s">
        <v>48</v>
      </c>
      <c r="B26" s="20" t="s">
        <v>51</v>
      </c>
      <c r="C26" s="20" t="s">
        <v>52</v>
      </c>
      <c r="D26" s="20"/>
      <c r="E26" s="20"/>
      <c r="F26" s="20"/>
      <c r="G26" s="20"/>
      <c r="H26" s="20"/>
    </row>
    <row r="27" customFormat="false" ht="15" hidden="false" customHeight="true" outlineLevel="0" collapsed="false">
      <c r="A27" s="20" t="s">
        <v>48</v>
      </c>
      <c r="B27" s="20" t="s">
        <v>53</v>
      </c>
      <c r="C27" s="20" t="s">
        <v>54</v>
      </c>
      <c r="D27" s="20"/>
      <c r="E27" s="20"/>
      <c r="F27" s="20"/>
      <c r="G27" s="20"/>
      <c r="H27" s="20"/>
    </row>
    <row r="28" customFormat="false" ht="15" hidden="false" customHeight="true" outlineLevel="0" collapsed="false">
      <c r="A28" s="20" t="s">
        <v>48</v>
      </c>
      <c r="B28" s="20" t="s">
        <v>55</v>
      </c>
      <c r="C28" s="20" t="s">
        <v>56</v>
      </c>
      <c r="D28" s="20"/>
      <c r="E28" s="20"/>
      <c r="F28" s="20"/>
      <c r="G28" s="20"/>
      <c r="H28" s="20"/>
    </row>
  </sheetData>
  <mergeCells count="14">
    <mergeCell ref="A1:H1"/>
    <mergeCell ref="A2:H2"/>
    <mergeCell ref="A16:H16"/>
    <mergeCell ref="C17:H17"/>
    <mergeCell ref="C18:H18"/>
    <mergeCell ref="C19:H19"/>
    <mergeCell ref="C20:H20"/>
    <mergeCell ref="C21:H21"/>
    <mergeCell ref="C22:H22"/>
    <mergeCell ref="A24:H24"/>
    <mergeCell ref="C25:H25"/>
    <mergeCell ref="C26:H26"/>
    <mergeCell ref="C27:H27"/>
    <mergeCell ref="C28:H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25"/>
    <col collapsed="false" customWidth="true" hidden="false" outlineLevel="0" max="4" min="4" style="0" width="21"/>
    <col collapsed="false" customWidth="true" hidden="false" outlineLevel="0" max="5" min="5" style="0" width="60"/>
    <col collapsed="false" customWidth="true" hidden="false" outlineLevel="0" max="6" min="6" style="0" width="48"/>
    <col collapsed="false" customWidth="true" hidden="false" outlineLevel="0" max="7" min="7" style="0" width="58"/>
    <col collapsed="false" customWidth="true" hidden="false" outlineLevel="0" max="8" min="8" style="0" width="32"/>
  </cols>
  <sheetData>
    <row r="1" customFormat="false" ht="15" hidden="false" customHeight="true" outlineLevel="0" collapsed="false">
      <c r="A1" s="22" t="s">
        <v>57</v>
      </c>
      <c r="B1" s="22" t="s">
        <v>58</v>
      </c>
      <c r="C1" s="22" t="s">
        <v>59</v>
      </c>
      <c r="D1" s="22" t="s">
        <v>60</v>
      </c>
      <c r="E1" s="22" t="s">
        <v>61</v>
      </c>
      <c r="F1" s="22" t="s">
        <v>62</v>
      </c>
      <c r="G1" s="22" t="s">
        <v>63</v>
      </c>
      <c r="H1" s="22" t="s">
        <v>64</v>
      </c>
    </row>
    <row r="2" customFormat="false" ht="36" hidden="false" customHeight="true" outlineLevel="0" collapsed="false">
      <c r="A2" s="23" t="s">
        <v>65</v>
      </c>
      <c r="B2" s="23" t="s">
        <v>66</v>
      </c>
      <c r="C2" s="23" t="s">
        <v>67</v>
      </c>
      <c r="D2" s="23" t="s">
        <v>30</v>
      </c>
      <c r="E2" s="23" t="s">
        <v>68</v>
      </c>
      <c r="F2" s="23" t="s">
        <v>69</v>
      </c>
      <c r="G2" s="23" t="s">
        <v>70</v>
      </c>
      <c r="H2" s="23" t="s">
        <v>71</v>
      </c>
    </row>
    <row r="3" customFormat="false" ht="24" hidden="false" customHeight="true" outlineLevel="0" collapsed="false">
      <c r="A3" s="24" t="s">
        <v>72</v>
      </c>
      <c r="B3" s="24" t="s">
        <v>66</v>
      </c>
      <c r="C3" s="24" t="s">
        <v>67</v>
      </c>
      <c r="D3" s="24" t="s">
        <v>73</v>
      </c>
      <c r="E3" s="24" t="s">
        <v>74</v>
      </c>
      <c r="F3" s="24" t="s">
        <v>75</v>
      </c>
      <c r="G3" s="24" t="s">
        <v>76</v>
      </c>
      <c r="H3" s="24" t="s">
        <v>77</v>
      </c>
    </row>
    <row r="4" customFormat="false" ht="36" hidden="false" customHeight="true" outlineLevel="0" collapsed="false">
      <c r="A4" s="24" t="s">
        <v>78</v>
      </c>
      <c r="B4" s="24" t="s">
        <v>66</v>
      </c>
      <c r="C4" s="24" t="s">
        <v>79</v>
      </c>
      <c r="D4" s="24" t="s">
        <v>80</v>
      </c>
      <c r="E4" s="24" t="s">
        <v>81</v>
      </c>
      <c r="F4" s="24" t="s">
        <v>82</v>
      </c>
      <c r="G4" s="24" t="s">
        <v>83</v>
      </c>
      <c r="H4" s="24" t="s">
        <v>84</v>
      </c>
    </row>
    <row r="5" customFormat="false" ht="36" hidden="false" customHeight="true" outlineLevel="0" collapsed="false">
      <c r="A5" s="24" t="s">
        <v>85</v>
      </c>
      <c r="B5" s="24" t="s">
        <v>66</v>
      </c>
      <c r="C5" s="24" t="s">
        <v>86</v>
      </c>
      <c r="D5" s="24" t="s">
        <v>87</v>
      </c>
      <c r="E5" s="24" t="s">
        <v>88</v>
      </c>
      <c r="F5" s="24" t="s">
        <v>89</v>
      </c>
      <c r="G5" s="24" t="s">
        <v>90</v>
      </c>
      <c r="H5" s="24" t="s">
        <v>91</v>
      </c>
    </row>
    <row r="6" customFormat="false" ht="36" hidden="false" customHeight="true" outlineLevel="0" collapsed="false">
      <c r="A6" s="24" t="s">
        <v>92</v>
      </c>
      <c r="B6" s="24" t="s">
        <v>66</v>
      </c>
      <c r="C6" s="24" t="s">
        <v>93</v>
      </c>
      <c r="D6" s="24" t="s">
        <v>80</v>
      </c>
      <c r="E6" s="24" t="s">
        <v>94</v>
      </c>
      <c r="F6" s="24" t="s">
        <v>95</v>
      </c>
      <c r="G6" s="24" t="s">
        <v>96</v>
      </c>
      <c r="H6" s="24" t="s">
        <v>97</v>
      </c>
    </row>
    <row r="7" customFormat="false" ht="36" hidden="false" customHeight="true" outlineLevel="0" collapsed="false">
      <c r="A7" s="24" t="s">
        <v>98</v>
      </c>
      <c r="B7" s="24" t="s">
        <v>66</v>
      </c>
      <c r="C7" s="24" t="s">
        <v>99</v>
      </c>
      <c r="D7" s="24" t="s">
        <v>100</v>
      </c>
      <c r="E7" s="24" t="s">
        <v>101</v>
      </c>
      <c r="F7" s="24" t="s">
        <v>102</v>
      </c>
      <c r="G7" s="24" t="s">
        <v>103</v>
      </c>
      <c r="H7" s="24" t="s">
        <v>104</v>
      </c>
    </row>
    <row r="8" customFormat="false" ht="36" hidden="false" customHeight="true" outlineLevel="0" collapsed="false">
      <c r="A8" s="24" t="s">
        <v>105</v>
      </c>
      <c r="B8" s="24" t="s">
        <v>66</v>
      </c>
      <c r="C8" s="24" t="s">
        <v>106</v>
      </c>
      <c r="D8" s="24" t="s">
        <v>30</v>
      </c>
      <c r="E8" s="24" t="s">
        <v>107</v>
      </c>
      <c r="F8" s="24" t="s">
        <v>108</v>
      </c>
      <c r="G8" s="24" t="s">
        <v>109</v>
      </c>
      <c r="H8" s="24" t="s">
        <v>110</v>
      </c>
    </row>
    <row r="9" customFormat="false" ht="36" hidden="false" customHeight="true" outlineLevel="0" collapsed="false">
      <c r="A9" s="24" t="s">
        <v>111</v>
      </c>
      <c r="B9" s="24" t="s">
        <v>66</v>
      </c>
      <c r="C9" s="24" t="s">
        <v>112</v>
      </c>
      <c r="D9" s="24" t="s">
        <v>87</v>
      </c>
      <c r="E9" s="24" t="s">
        <v>113</v>
      </c>
      <c r="F9" s="24" t="s">
        <v>114</v>
      </c>
      <c r="G9" s="24" t="s">
        <v>115</v>
      </c>
      <c r="H9" s="24" t="s">
        <v>116</v>
      </c>
    </row>
    <row r="10" customFormat="false" ht="24" hidden="false" customHeight="true" outlineLevel="0" collapsed="false">
      <c r="A10" s="24" t="s">
        <v>117</v>
      </c>
      <c r="B10" s="24" t="s">
        <v>66</v>
      </c>
      <c r="C10" s="24" t="s">
        <v>118</v>
      </c>
      <c r="D10" s="24" t="s">
        <v>119</v>
      </c>
      <c r="E10" s="24" t="s">
        <v>120</v>
      </c>
      <c r="F10" s="24" t="s">
        <v>121</v>
      </c>
      <c r="G10" s="24" t="s">
        <v>122</v>
      </c>
      <c r="H10" s="24" t="s">
        <v>123</v>
      </c>
    </row>
    <row r="11" customFormat="false" ht="36" hidden="false" customHeight="true" outlineLevel="0" collapsed="false">
      <c r="A11" s="24" t="s">
        <v>124</v>
      </c>
      <c r="B11" s="24" t="s">
        <v>66</v>
      </c>
      <c r="C11" s="24" t="s">
        <v>125</v>
      </c>
      <c r="D11" s="24" t="s">
        <v>126</v>
      </c>
      <c r="E11" s="24" t="s">
        <v>127</v>
      </c>
      <c r="F11" s="24" t="s">
        <v>128</v>
      </c>
      <c r="G11" s="24" t="s">
        <v>129</v>
      </c>
      <c r="H11" s="24" t="s">
        <v>130</v>
      </c>
    </row>
    <row r="12" customFormat="false" ht="60" hidden="false" customHeight="true" outlineLevel="0" collapsed="false">
      <c r="A12" s="24" t="s">
        <v>131</v>
      </c>
      <c r="B12" s="24" t="s">
        <v>66</v>
      </c>
      <c r="C12" s="24" t="s">
        <v>132</v>
      </c>
      <c r="D12" s="24" t="s">
        <v>133</v>
      </c>
      <c r="E12" s="24" t="s">
        <v>134</v>
      </c>
      <c r="F12" s="24" t="s">
        <v>135</v>
      </c>
      <c r="G12" s="24" t="s">
        <v>136</v>
      </c>
      <c r="H12" s="24" t="s">
        <v>137</v>
      </c>
    </row>
    <row r="13" customFormat="false" ht="24" hidden="false" customHeight="true" outlineLevel="0" collapsed="false">
      <c r="A13" s="24" t="s">
        <v>138</v>
      </c>
      <c r="B13" s="24" t="s">
        <v>66</v>
      </c>
      <c r="C13" s="24" t="s">
        <v>139</v>
      </c>
      <c r="D13" s="24" t="s">
        <v>140</v>
      </c>
      <c r="E13" s="24" t="s">
        <v>141</v>
      </c>
      <c r="F13" s="24" t="s">
        <v>142</v>
      </c>
      <c r="G13" s="24" t="s">
        <v>143</v>
      </c>
      <c r="H13" s="24" t="s">
        <v>144</v>
      </c>
    </row>
    <row r="14" customFormat="false" ht="24" hidden="false" customHeight="true" outlineLevel="0" collapsed="false">
      <c r="A14" s="24" t="s">
        <v>145</v>
      </c>
      <c r="B14" s="24" t="s">
        <v>66</v>
      </c>
      <c r="C14" s="24" t="s">
        <v>146</v>
      </c>
      <c r="D14" s="24" t="s">
        <v>147</v>
      </c>
      <c r="E14" s="24" t="s">
        <v>148</v>
      </c>
      <c r="F14" s="24" t="s">
        <v>149</v>
      </c>
      <c r="G14" s="24" t="s">
        <v>150</v>
      </c>
      <c r="H14" s="24" t="s">
        <v>151</v>
      </c>
    </row>
    <row r="15" customFormat="false" ht="36" hidden="false" customHeight="true" outlineLevel="0" collapsed="false">
      <c r="A15" s="24" t="s">
        <v>152</v>
      </c>
      <c r="B15" s="24" t="s">
        <v>66</v>
      </c>
      <c r="C15" s="24" t="s">
        <v>67</v>
      </c>
      <c r="D15" s="24" t="s">
        <v>153</v>
      </c>
      <c r="E15" s="24" t="s">
        <v>154</v>
      </c>
      <c r="F15" s="24" t="s">
        <v>155</v>
      </c>
      <c r="G15" s="24" t="s">
        <v>156</v>
      </c>
      <c r="H15" s="24" t="s">
        <v>157</v>
      </c>
    </row>
    <row r="16" customFormat="false" ht="24" hidden="false" customHeight="true" outlineLevel="0" collapsed="false">
      <c r="A16" s="24" t="s">
        <v>158</v>
      </c>
      <c r="B16" s="24" t="s">
        <v>159</v>
      </c>
      <c r="C16" s="24" t="s">
        <v>67</v>
      </c>
      <c r="D16" s="24" t="s">
        <v>160</v>
      </c>
      <c r="E16" s="24" t="s">
        <v>161</v>
      </c>
      <c r="F16" s="24" t="s">
        <v>162</v>
      </c>
      <c r="G16" s="24" t="s">
        <v>163</v>
      </c>
      <c r="H16" s="24" t="s">
        <v>164</v>
      </c>
    </row>
    <row r="17" customFormat="false" ht="24" hidden="false" customHeight="true" outlineLevel="0" collapsed="false">
      <c r="A17" s="24" t="s">
        <v>165</v>
      </c>
      <c r="B17" s="24" t="s">
        <v>159</v>
      </c>
      <c r="C17" s="24" t="s">
        <v>166</v>
      </c>
      <c r="D17" s="24" t="s">
        <v>167</v>
      </c>
      <c r="E17" s="24" t="s">
        <v>168</v>
      </c>
      <c r="F17" s="24" t="s">
        <v>169</v>
      </c>
      <c r="G17" s="24" t="s">
        <v>170</v>
      </c>
      <c r="H17" s="24" t="s">
        <v>171</v>
      </c>
    </row>
    <row r="18" customFormat="false" ht="36" hidden="false" customHeight="true" outlineLevel="0" collapsed="false">
      <c r="A18" s="24" t="s">
        <v>172</v>
      </c>
      <c r="B18" s="24" t="s">
        <v>159</v>
      </c>
      <c r="C18" s="24" t="s">
        <v>173</v>
      </c>
      <c r="D18" s="24" t="s">
        <v>174</v>
      </c>
      <c r="E18" s="24" t="s">
        <v>175</v>
      </c>
      <c r="F18" s="24" t="s">
        <v>176</v>
      </c>
      <c r="G18" s="24" t="s">
        <v>177</v>
      </c>
      <c r="H18" s="24" t="s">
        <v>178</v>
      </c>
    </row>
    <row r="19" customFormat="false" ht="24" hidden="false" customHeight="true" outlineLevel="0" collapsed="false">
      <c r="A19" s="24" t="s">
        <v>179</v>
      </c>
      <c r="B19" s="24" t="s">
        <v>159</v>
      </c>
      <c r="C19" s="24" t="s">
        <v>180</v>
      </c>
      <c r="D19" s="24" t="s">
        <v>30</v>
      </c>
      <c r="E19" s="24" t="s">
        <v>181</v>
      </c>
      <c r="F19" s="24" t="s">
        <v>182</v>
      </c>
      <c r="G19" s="24" t="s">
        <v>183</v>
      </c>
      <c r="H19" s="24" t="s">
        <v>151</v>
      </c>
    </row>
    <row r="20" customFormat="false" ht="48" hidden="false" customHeight="true" outlineLevel="0" collapsed="false">
      <c r="A20" s="24" t="s">
        <v>184</v>
      </c>
      <c r="B20" s="24" t="s">
        <v>159</v>
      </c>
      <c r="C20" s="24" t="s">
        <v>185</v>
      </c>
      <c r="D20" s="24" t="s">
        <v>186</v>
      </c>
      <c r="E20" s="24" t="s">
        <v>187</v>
      </c>
      <c r="F20" s="24" t="s">
        <v>188</v>
      </c>
      <c r="G20" s="24" t="s">
        <v>189</v>
      </c>
      <c r="H20" s="24" t="s">
        <v>190</v>
      </c>
    </row>
    <row r="21" customFormat="false" ht="24" hidden="false" customHeight="true" outlineLevel="0" collapsed="false">
      <c r="A21" s="24" t="s">
        <v>191</v>
      </c>
      <c r="B21" s="24" t="s">
        <v>159</v>
      </c>
      <c r="C21" s="24" t="s">
        <v>192</v>
      </c>
      <c r="D21" s="24" t="s">
        <v>193</v>
      </c>
      <c r="E21" s="24" t="s">
        <v>194</v>
      </c>
      <c r="F21" s="24" t="s">
        <v>195</v>
      </c>
      <c r="G21" s="24" t="s">
        <v>196</v>
      </c>
      <c r="H21" s="24" t="s">
        <v>197</v>
      </c>
    </row>
    <row r="22" customFormat="false" ht="36" hidden="false" customHeight="true" outlineLevel="0" collapsed="false">
      <c r="A22" s="24" t="s">
        <v>198</v>
      </c>
      <c r="B22" s="24" t="s">
        <v>159</v>
      </c>
      <c r="C22" s="24" t="s">
        <v>199</v>
      </c>
      <c r="D22" s="24" t="s">
        <v>200</v>
      </c>
      <c r="E22" s="24" t="s">
        <v>201</v>
      </c>
      <c r="F22" s="24" t="s">
        <v>202</v>
      </c>
      <c r="G22" s="24" t="s">
        <v>203</v>
      </c>
      <c r="H22" s="24" t="s">
        <v>204</v>
      </c>
    </row>
    <row r="23" customFormat="false" ht="36" hidden="false" customHeight="true" outlineLevel="0" collapsed="false">
      <c r="A23" s="24" t="s">
        <v>205</v>
      </c>
      <c r="B23" s="24" t="s">
        <v>159</v>
      </c>
      <c r="C23" s="24" t="s">
        <v>206</v>
      </c>
      <c r="D23" s="24" t="s">
        <v>207</v>
      </c>
      <c r="E23" s="24" t="s">
        <v>208</v>
      </c>
      <c r="F23" s="24" t="s">
        <v>209</v>
      </c>
      <c r="G23" s="24" t="s">
        <v>210</v>
      </c>
      <c r="H23" s="24" t="s">
        <v>211</v>
      </c>
    </row>
    <row r="24" customFormat="false" ht="24" hidden="false" customHeight="true" outlineLevel="0" collapsed="false">
      <c r="A24" s="24" t="s">
        <v>212</v>
      </c>
      <c r="B24" s="24" t="s">
        <v>159</v>
      </c>
      <c r="C24" s="24" t="s">
        <v>213</v>
      </c>
      <c r="D24" s="24" t="s">
        <v>214</v>
      </c>
      <c r="E24" s="24" t="s">
        <v>215</v>
      </c>
      <c r="F24" s="24" t="s">
        <v>216</v>
      </c>
      <c r="G24" s="24" t="s">
        <v>217</v>
      </c>
      <c r="H24" s="24" t="s">
        <v>218</v>
      </c>
    </row>
    <row r="25" customFormat="false" ht="24" hidden="false" customHeight="true" outlineLevel="0" collapsed="false">
      <c r="A25" s="24" t="s">
        <v>219</v>
      </c>
      <c r="B25" s="24" t="s">
        <v>159</v>
      </c>
      <c r="C25" s="24" t="s">
        <v>213</v>
      </c>
      <c r="D25" s="24" t="s">
        <v>220</v>
      </c>
      <c r="E25" s="24" t="s">
        <v>221</v>
      </c>
      <c r="F25" s="24" t="s">
        <v>222</v>
      </c>
      <c r="G25" s="24" t="s">
        <v>223</v>
      </c>
      <c r="H25" s="24" t="s">
        <v>224</v>
      </c>
    </row>
    <row r="26" customFormat="false" ht="36" hidden="false" customHeight="true" outlineLevel="0" collapsed="false">
      <c r="A26" s="24" t="s">
        <v>225</v>
      </c>
      <c r="B26" s="24" t="s">
        <v>159</v>
      </c>
      <c r="C26" s="24" t="s">
        <v>226</v>
      </c>
      <c r="D26" s="24" t="s">
        <v>227</v>
      </c>
      <c r="E26" s="24" t="s">
        <v>228</v>
      </c>
      <c r="F26" s="24" t="s">
        <v>229</v>
      </c>
      <c r="G26" s="24" t="s">
        <v>230</v>
      </c>
      <c r="H26" s="24" t="s">
        <v>231</v>
      </c>
    </row>
    <row r="27" customFormat="false" ht="36" hidden="false" customHeight="true" outlineLevel="0" collapsed="false">
      <c r="A27" s="24" t="s">
        <v>232</v>
      </c>
      <c r="B27" s="24" t="s">
        <v>159</v>
      </c>
      <c r="C27" s="24" t="s">
        <v>233</v>
      </c>
      <c r="D27" s="24" t="s">
        <v>234</v>
      </c>
      <c r="E27" s="24" t="s">
        <v>235</v>
      </c>
      <c r="F27" s="24" t="s">
        <v>236</v>
      </c>
      <c r="G27" s="24" t="s">
        <v>237</v>
      </c>
      <c r="H27" s="24" t="s">
        <v>238</v>
      </c>
    </row>
    <row r="28" customFormat="false" ht="24" hidden="false" customHeight="true" outlineLevel="0" collapsed="false">
      <c r="A28" s="24" t="s">
        <v>239</v>
      </c>
      <c r="B28" s="24" t="s">
        <v>159</v>
      </c>
      <c r="C28" s="24" t="s">
        <v>240</v>
      </c>
      <c r="D28" s="24" t="s">
        <v>45</v>
      </c>
      <c r="E28" s="24" t="s">
        <v>241</v>
      </c>
      <c r="F28" s="24" t="s">
        <v>242</v>
      </c>
      <c r="G28" s="24" t="s">
        <v>243</v>
      </c>
      <c r="H28" s="24" t="s">
        <v>244</v>
      </c>
    </row>
    <row r="29" customFormat="false" ht="24" hidden="false" customHeight="true" outlineLevel="0" collapsed="false">
      <c r="A29" s="24" t="s">
        <v>245</v>
      </c>
      <c r="B29" s="24" t="s">
        <v>159</v>
      </c>
      <c r="C29" s="24" t="s">
        <v>206</v>
      </c>
      <c r="D29" s="24" t="s">
        <v>246</v>
      </c>
      <c r="E29" s="24" t="s">
        <v>247</v>
      </c>
      <c r="F29" s="24" t="s">
        <v>248</v>
      </c>
      <c r="G29" s="24" t="s">
        <v>249</v>
      </c>
      <c r="H29" s="24" t="s">
        <v>250</v>
      </c>
    </row>
    <row r="30" customFormat="false" ht="24" hidden="false" customHeight="true" outlineLevel="0" collapsed="false">
      <c r="A30" s="24" t="s">
        <v>251</v>
      </c>
      <c r="B30" s="24" t="s">
        <v>159</v>
      </c>
      <c r="C30" s="24" t="s">
        <v>252</v>
      </c>
      <c r="D30" s="24" t="s">
        <v>253</v>
      </c>
      <c r="E30" s="24" t="s">
        <v>254</v>
      </c>
      <c r="F30" s="24" t="s">
        <v>255</v>
      </c>
      <c r="G30" s="24" t="s">
        <v>256</v>
      </c>
      <c r="H30" s="24" t="s">
        <v>257</v>
      </c>
    </row>
    <row r="31" customFormat="false" ht="24" hidden="false" customHeight="true" outlineLevel="0" collapsed="false">
      <c r="A31" s="24" t="s">
        <v>258</v>
      </c>
      <c r="B31" s="24" t="s">
        <v>159</v>
      </c>
      <c r="C31" s="24" t="s">
        <v>259</v>
      </c>
      <c r="D31" s="24" t="s">
        <v>260</v>
      </c>
      <c r="E31" s="24" t="s">
        <v>261</v>
      </c>
      <c r="F31" s="24" t="s">
        <v>262</v>
      </c>
      <c r="G31" s="24" t="s">
        <v>263</v>
      </c>
      <c r="H31" s="24" t="s">
        <v>264</v>
      </c>
    </row>
    <row r="32" customFormat="false" ht="24" hidden="false" customHeight="true" outlineLevel="0" collapsed="false">
      <c r="A32" s="24" t="s">
        <v>265</v>
      </c>
      <c r="B32" s="24" t="s">
        <v>266</v>
      </c>
      <c r="C32" s="24" t="s">
        <v>13</v>
      </c>
      <c r="D32" s="24" t="s">
        <v>267</v>
      </c>
      <c r="E32" s="24" t="s">
        <v>268</v>
      </c>
      <c r="F32" s="24" t="s">
        <v>269</v>
      </c>
      <c r="G32" s="24" t="s">
        <v>270</v>
      </c>
      <c r="H32" s="24" t="s">
        <v>271</v>
      </c>
    </row>
    <row r="33" customFormat="false" ht="24" hidden="false" customHeight="true" outlineLevel="0" collapsed="false">
      <c r="A33" s="24" t="s">
        <v>272</v>
      </c>
      <c r="B33" s="24" t="s">
        <v>266</v>
      </c>
      <c r="C33" s="24" t="s">
        <v>67</v>
      </c>
      <c r="D33" s="24" t="s">
        <v>273</v>
      </c>
      <c r="E33" s="24" t="s">
        <v>274</v>
      </c>
      <c r="F33" s="24" t="s">
        <v>275</v>
      </c>
      <c r="G33" s="24" t="s">
        <v>276</v>
      </c>
      <c r="H33" s="24" t="s">
        <v>157</v>
      </c>
    </row>
    <row r="34" customFormat="false" ht="24" hidden="false" customHeight="true" outlineLevel="0" collapsed="false">
      <c r="A34" s="24" t="s">
        <v>277</v>
      </c>
      <c r="B34" s="24" t="s">
        <v>266</v>
      </c>
      <c r="C34" s="24" t="s">
        <v>67</v>
      </c>
      <c r="D34" s="24" t="s">
        <v>278</v>
      </c>
      <c r="E34" s="24" t="s">
        <v>279</v>
      </c>
      <c r="F34" s="24" t="s">
        <v>280</v>
      </c>
      <c r="G34" s="24" t="s">
        <v>281</v>
      </c>
      <c r="H34" s="24" t="s">
        <v>282</v>
      </c>
    </row>
    <row r="35" customFormat="false" ht="24" hidden="false" customHeight="true" outlineLevel="0" collapsed="false">
      <c r="A35" s="24" t="s">
        <v>283</v>
      </c>
      <c r="B35" s="24" t="s">
        <v>266</v>
      </c>
      <c r="C35" s="24" t="s">
        <v>67</v>
      </c>
      <c r="D35" s="24" t="s">
        <v>284</v>
      </c>
      <c r="E35" s="24" t="s">
        <v>285</v>
      </c>
      <c r="F35" s="24" t="s">
        <v>286</v>
      </c>
      <c r="G35" s="24" t="s">
        <v>287</v>
      </c>
      <c r="H35" s="24" t="s">
        <v>288</v>
      </c>
    </row>
    <row r="36" customFormat="false" ht="24" hidden="false" customHeight="true" outlineLevel="0" collapsed="false">
      <c r="A36" s="24" t="s">
        <v>289</v>
      </c>
      <c r="B36" s="24" t="s">
        <v>266</v>
      </c>
      <c r="C36" s="24" t="s">
        <v>67</v>
      </c>
      <c r="D36" s="24" t="s">
        <v>290</v>
      </c>
      <c r="E36" s="24" t="s">
        <v>291</v>
      </c>
      <c r="F36" s="24" t="s">
        <v>292</v>
      </c>
      <c r="G36" s="24" t="s">
        <v>293</v>
      </c>
      <c r="H36" s="24" t="s">
        <v>77</v>
      </c>
    </row>
    <row r="37" customFormat="false" ht="24" hidden="false" customHeight="true" outlineLevel="0" collapsed="false">
      <c r="A37" s="25" t="s">
        <v>294</v>
      </c>
      <c r="B37" s="25" t="s">
        <v>295</v>
      </c>
      <c r="C37" s="25" t="s">
        <v>67</v>
      </c>
      <c r="D37" s="25" t="s">
        <v>53</v>
      </c>
      <c r="E37" s="25" t="s">
        <v>296</v>
      </c>
      <c r="F37" s="25" t="s">
        <v>297</v>
      </c>
      <c r="G37" s="25" t="s">
        <v>298</v>
      </c>
      <c r="H37" s="25" t="s">
        <v>299</v>
      </c>
    </row>
  </sheetData>
  <conditionalFormatting sqref="B2:B37">
    <cfRule type="containsText" priority="2" operator="containsText" aboveAverage="0" equalAverage="0" bottom="0" percent="0" rank="0" text="Kritisch" dxfId="12">
      <formula>NOT(ISERROR(SEARCH("Kritisch",B2)))</formula>
    </cfRule>
    <cfRule type="containsText" priority="3" operator="containsText" aboveAverage="0" equalAverage="0" bottom="0" percent="0" rank="0" text="Hoch" dxfId="13">
      <formula>NOT(ISERROR(SEARCH("Hoch",B2)))</formula>
    </cfRule>
    <cfRule type="containsText" priority="4" operator="containsText" aboveAverage="0" equalAverage="0" bottom="0" percent="0" rank="0" text="Mittel" dxfId="14">
      <formula>NOT(ISERROR(SEARCH("Mittel",B2)))</formula>
    </cfRule>
    <cfRule type="containsText" priority="5" operator="containsText" aboveAverage="0" equalAverage="0" bottom="0" percent="0" rank="0" text="Niedrig" dxfId="15">
      <formula>NOT(ISERROR(SEARCH("Niedrig",B2)))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7"/>
    <col collapsed="false" customWidth="true" hidden="false" outlineLevel="0" max="6" min="2" style="0" width="19"/>
  </cols>
  <sheetData>
    <row r="1" customFormat="false" ht="15" hidden="false" customHeight="false" outlineLevel="0" collapsed="false">
      <c r="A1" s="5" t="s">
        <v>300</v>
      </c>
      <c r="B1" s="5"/>
      <c r="C1" s="5"/>
      <c r="D1" s="5"/>
      <c r="E1" s="5"/>
      <c r="F1" s="5"/>
    </row>
    <row r="2" customFormat="false" ht="15" hidden="false" customHeight="false" outlineLevel="0" collapsed="false">
      <c r="A2" s="26" t="s">
        <v>301</v>
      </c>
      <c r="B2" s="26"/>
      <c r="C2" s="26"/>
      <c r="D2" s="26"/>
      <c r="E2" s="26"/>
      <c r="F2" s="26"/>
    </row>
    <row r="3" customFormat="false" ht="15" hidden="false" customHeight="false" outlineLevel="0" collapsed="false">
      <c r="A3" s="3"/>
      <c r="B3" s="3"/>
      <c r="C3" s="3"/>
      <c r="D3" s="3"/>
      <c r="E3" s="3"/>
      <c r="F3" s="3"/>
    </row>
    <row r="4" customFormat="false" ht="15" hidden="false" customHeight="false" outlineLevel="0" collapsed="false">
      <c r="A4" s="4"/>
      <c r="B4" s="4"/>
      <c r="C4" s="4"/>
      <c r="D4" s="4"/>
      <c r="E4" s="4"/>
      <c r="F4" s="4"/>
    </row>
    <row r="5" customFormat="false" ht="15" hidden="false" customHeight="false" outlineLevel="0" collapsed="false">
      <c r="A5" s="22" t="s">
        <v>302</v>
      </c>
      <c r="B5" s="22" t="s">
        <v>303</v>
      </c>
      <c r="C5" s="22" t="s">
        <v>304</v>
      </c>
      <c r="D5" s="22" t="s">
        <v>305</v>
      </c>
      <c r="E5" s="22" t="s">
        <v>306</v>
      </c>
      <c r="F5" s="22" t="s">
        <v>307</v>
      </c>
    </row>
    <row r="6" customFormat="false" ht="15" hidden="false" customHeight="false" outlineLevel="0" collapsed="false">
      <c r="A6" s="27" t="s">
        <v>308</v>
      </c>
      <c r="B6" s="28" t="n">
        <v>9</v>
      </c>
      <c r="C6" s="28" t="n">
        <v>36</v>
      </c>
      <c r="D6" s="28" t="n">
        <v>22</v>
      </c>
      <c r="E6" s="28" t="n">
        <v>9</v>
      </c>
      <c r="F6" s="28" t="n">
        <v>5</v>
      </c>
    </row>
    <row r="7" customFormat="false" ht="15" hidden="false" customHeight="false" outlineLevel="0" collapsed="false">
      <c r="A7" s="29" t="s">
        <v>309</v>
      </c>
      <c r="B7" s="30" t="n">
        <v>20</v>
      </c>
      <c r="C7" s="30" t="n">
        <v>75</v>
      </c>
      <c r="D7" s="30" t="n">
        <v>48</v>
      </c>
      <c r="E7" s="30" t="n">
        <v>20</v>
      </c>
      <c r="F7" s="30" t="n">
        <v>7</v>
      </c>
    </row>
    <row r="8" customFormat="false" ht="15" hidden="false" customHeight="false" outlineLevel="0" collapsed="false">
      <c r="A8" s="29" t="s">
        <v>310</v>
      </c>
      <c r="B8" s="30" t="n">
        <v>6</v>
      </c>
      <c r="C8" s="30" t="n">
        <v>25</v>
      </c>
      <c r="D8" s="30" t="n">
        <v>13</v>
      </c>
      <c r="E8" s="30" t="n">
        <v>6</v>
      </c>
      <c r="F8" s="30" t="n">
        <v>6</v>
      </c>
    </row>
    <row r="9" customFormat="false" ht="15" hidden="false" customHeight="false" outlineLevel="0" collapsed="false">
      <c r="A9" s="29" t="s">
        <v>311</v>
      </c>
      <c r="B9" s="30" t="n">
        <v>14</v>
      </c>
      <c r="C9" s="30" t="n">
        <v>53</v>
      </c>
      <c r="D9" s="30" t="n">
        <v>30</v>
      </c>
      <c r="E9" s="30" t="n">
        <v>14</v>
      </c>
      <c r="F9" s="30" t="n">
        <v>9</v>
      </c>
    </row>
    <row r="10" customFormat="false" ht="15" hidden="false" customHeight="false" outlineLevel="0" collapsed="false">
      <c r="A10" s="29" t="s">
        <v>312</v>
      </c>
      <c r="B10" s="30" t="n">
        <v>9</v>
      </c>
      <c r="C10" s="30" t="n">
        <v>34</v>
      </c>
      <c r="D10" s="30" t="n">
        <v>20</v>
      </c>
      <c r="E10" s="30" t="n">
        <v>9</v>
      </c>
      <c r="F10" s="30" t="n">
        <v>5</v>
      </c>
    </row>
    <row r="11" customFormat="false" ht="15" hidden="false" customHeight="false" outlineLevel="0" collapsed="false">
      <c r="A11" s="29" t="s">
        <v>313</v>
      </c>
      <c r="B11" s="30" t="n">
        <v>7</v>
      </c>
      <c r="C11" s="30" t="n">
        <v>25</v>
      </c>
      <c r="D11" s="30" t="n">
        <v>16</v>
      </c>
      <c r="E11" s="30" t="n">
        <v>7</v>
      </c>
      <c r="F11" s="30" t="n">
        <v>2</v>
      </c>
    </row>
    <row r="12" customFormat="false" ht="15" hidden="false" customHeight="false" outlineLevel="0" collapsed="false">
      <c r="A12" s="29" t="s">
        <v>314</v>
      </c>
      <c r="B12" s="30" t="n">
        <v>8</v>
      </c>
      <c r="C12" s="30" t="n">
        <v>34</v>
      </c>
      <c r="D12" s="30" t="n">
        <v>21</v>
      </c>
      <c r="E12" s="30" t="n">
        <v>8</v>
      </c>
      <c r="F12" s="30" t="n">
        <v>5</v>
      </c>
    </row>
    <row r="13" customFormat="false" ht="15" hidden="false" customHeight="false" outlineLevel="0" collapsed="false">
      <c r="A13" s="29" t="s">
        <v>315</v>
      </c>
      <c r="B13" s="30" t="n">
        <v>15</v>
      </c>
      <c r="C13" s="30" t="n">
        <v>58</v>
      </c>
      <c r="D13" s="30" t="n">
        <v>25</v>
      </c>
      <c r="E13" s="30" t="n">
        <v>15</v>
      </c>
      <c r="F13" s="30" t="n">
        <v>18</v>
      </c>
    </row>
    <row r="14" customFormat="false" ht="15" hidden="false" customHeight="false" outlineLevel="0" collapsed="false">
      <c r="A14" s="31" t="s">
        <v>316</v>
      </c>
      <c r="B14" s="32" t="n">
        <v>1</v>
      </c>
      <c r="C14" s="32" t="n">
        <v>11</v>
      </c>
      <c r="D14" s="32" t="n">
        <v>0</v>
      </c>
      <c r="E14" s="32" t="n">
        <v>1</v>
      </c>
      <c r="F14" s="32" t="n">
        <v>10</v>
      </c>
    </row>
    <row r="15" customFormat="false" ht="15" hidden="false" customHeight="false" outlineLevel="0" collapsed="false">
      <c r="A15" s="33" t="s">
        <v>317</v>
      </c>
      <c r="B15" s="34" t="n">
        <v>5</v>
      </c>
      <c r="C15" s="34" t="n">
        <v>16</v>
      </c>
      <c r="D15" s="34" t="n">
        <v>1</v>
      </c>
      <c r="E15" s="34" t="n">
        <v>5</v>
      </c>
      <c r="F15" s="34" t="n">
        <v>10</v>
      </c>
    </row>
    <row r="16" customFormat="false" ht="15" hidden="false" customHeight="false" outlineLevel="0" collapsed="false">
      <c r="A16" s="0" t="s">
        <v>67</v>
      </c>
      <c r="B16" s="35" t="n">
        <v>94</v>
      </c>
      <c r="C16" s="35" t="n">
        <v>367</v>
      </c>
      <c r="D16" s="35" t="n">
        <v>196</v>
      </c>
      <c r="E16" s="35" t="n">
        <v>94</v>
      </c>
      <c r="F16" s="35" t="n">
        <v>77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8"/>
    <col collapsed="false" customWidth="true" hidden="false" outlineLevel="0" max="3" min="3" style="0" width="72"/>
    <col collapsed="false" customWidth="true" hidden="false" outlineLevel="0" max="4" min="4" style="0" width="18"/>
  </cols>
  <sheetData>
    <row r="1" customFormat="false" ht="15" hidden="false" customHeight="true" outlineLevel="0" collapsed="false">
      <c r="A1" s="5" t="s">
        <v>318</v>
      </c>
      <c r="B1" s="5"/>
      <c r="C1" s="5"/>
      <c r="D1" s="5"/>
    </row>
    <row r="2" customFormat="false" ht="15" hidden="false" customHeight="true" outlineLevel="0" collapsed="false">
      <c r="A2" s="26" t="s">
        <v>319</v>
      </c>
      <c r="B2" s="26"/>
      <c r="C2" s="26"/>
      <c r="D2" s="26"/>
    </row>
    <row r="3" customFormat="false" ht="15" hidden="false" customHeight="true" outlineLevel="0" collapsed="false">
      <c r="A3" s="3"/>
      <c r="B3" s="3"/>
      <c r="C3" s="3"/>
      <c r="D3" s="3"/>
    </row>
    <row r="4" customFormat="false" ht="15" hidden="false" customHeight="true" outlineLevel="0" collapsed="false">
      <c r="A4" s="4"/>
      <c r="B4" s="4"/>
      <c r="C4" s="4"/>
      <c r="D4" s="4"/>
    </row>
    <row r="5" customFormat="false" ht="15" hidden="false" customHeight="true" outlineLevel="0" collapsed="false">
      <c r="A5" s="22" t="s">
        <v>320</v>
      </c>
      <c r="B5" s="22" t="s">
        <v>321</v>
      </c>
      <c r="C5" s="22" t="s">
        <v>322</v>
      </c>
      <c r="D5" s="22" t="s">
        <v>323</v>
      </c>
    </row>
    <row r="6" customFormat="false" ht="15" hidden="false" customHeight="true" outlineLevel="0" collapsed="false">
      <c r="A6" s="23" t="s">
        <v>324</v>
      </c>
      <c r="B6" s="23" t="s">
        <v>325</v>
      </c>
      <c r="C6" s="23" t="s">
        <v>326</v>
      </c>
      <c r="D6" s="23" t="s">
        <v>327</v>
      </c>
    </row>
    <row r="7" customFormat="false" ht="15" hidden="false" customHeight="true" outlineLevel="0" collapsed="false">
      <c r="A7" s="24" t="s">
        <v>51</v>
      </c>
      <c r="B7" s="24" t="s">
        <v>328</v>
      </c>
      <c r="C7" s="24" t="s">
        <v>329</v>
      </c>
      <c r="D7" s="24" t="s">
        <v>327</v>
      </c>
    </row>
    <row r="8" customFormat="false" ht="15" hidden="false" customHeight="true" outlineLevel="0" collapsed="false">
      <c r="A8" s="24" t="s">
        <v>51</v>
      </c>
      <c r="B8" s="24" t="s">
        <v>330</v>
      </c>
      <c r="C8" s="24" t="s">
        <v>331</v>
      </c>
      <c r="D8" s="24" t="s">
        <v>327</v>
      </c>
    </row>
    <row r="9" customFormat="false" ht="15" hidden="false" customHeight="true" outlineLevel="0" collapsed="false">
      <c r="A9" s="24" t="s">
        <v>51</v>
      </c>
      <c r="B9" s="24" t="s">
        <v>332</v>
      </c>
      <c r="C9" s="24" t="s">
        <v>333</v>
      </c>
      <c r="D9" s="24" t="s">
        <v>327</v>
      </c>
    </row>
    <row r="10" customFormat="false" ht="15" hidden="false" customHeight="true" outlineLevel="0" collapsed="false">
      <c r="A10" s="24" t="s">
        <v>51</v>
      </c>
      <c r="B10" s="24" t="s">
        <v>160</v>
      </c>
      <c r="C10" s="24" t="s">
        <v>334</v>
      </c>
      <c r="D10" s="24" t="s">
        <v>327</v>
      </c>
    </row>
    <row r="11" customFormat="false" ht="15" hidden="false" customHeight="true" outlineLevel="0" collapsed="false">
      <c r="A11" s="24" t="s">
        <v>335</v>
      </c>
      <c r="B11" s="24" t="s">
        <v>13</v>
      </c>
      <c r="C11" s="24" t="s">
        <v>336</v>
      </c>
      <c r="D11" s="24" t="s">
        <v>14</v>
      </c>
    </row>
    <row r="12" customFormat="false" ht="15" hidden="false" customHeight="true" outlineLevel="0" collapsed="false">
      <c r="A12" s="24" t="s">
        <v>337</v>
      </c>
      <c r="B12" s="24" t="s">
        <v>338</v>
      </c>
      <c r="C12" s="24" t="s">
        <v>339</v>
      </c>
      <c r="D12" s="24" t="s">
        <v>14</v>
      </c>
    </row>
    <row r="13" customFormat="false" ht="15" hidden="false" customHeight="true" outlineLevel="0" collapsed="false">
      <c r="A13" s="24" t="s">
        <v>340</v>
      </c>
      <c r="B13" s="24" t="s">
        <v>341</v>
      </c>
      <c r="C13" s="24" t="s">
        <v>342</v>
      </c>
      <c r="D13" s="24" t="s">
        <v>327</v>
      </c>
    </row>
    <row r="14" customFormat="false" ht="15" hidden="false" customHeight="true" outlineLevel="0" collapsed="false">
      <c r="A14" s="24" t="s">
        <v>343</v>
      </c>
      <c r="B14" s="24" t="s">
        <v>344</v>
      </c>
      <c r="C14" s="24" t="s">
        <v>345</v>
      </c>
      <c r="D14" s="24" t="s">
        <v>327</v>
      </c>
    </row>
    <row r="15" customFormat="false" ht="15" hidden="false" customHeight="true" outlineLevel="0" collapsed="false">
      <c r="A15" s="24" t="s">
        <v>343</v>
      </c>
      <c r="B15" s="24" t="s">
        <v>346</v>
      </c>
      <c r="C15" s="24" t="s">
        <v>347</v>
      </c>
      <c r="D15" s="24" t="s">
        <v>14</v>
      </c>
    </row>
    <row r="16" customFormat="false" ht="15" hidden="false" customHeight="true" outlineLevel="0" collapsed="false">
      <c r="A16" s="24" t="s">
        <v>348</v>
      </c>
      <c r="B16" s="24" t="s">
        <v>349</v>
      </c>
      <c r="C16" s="24" t="s">
        <v>350</v>
      </c>
      <c r="D16" s="24" t="s">
        <v>327</v>
      </c>
    </row>
    <row r="17" customFormat="false" ht="15" hidden="false" customHeight="true" outlineLevel="0" collapsed="false">
      <c r="A17" s="24" t="s">
        <v>348</v>
      </c>
      <c r="B17" s="24" t="s">
        <v>351</v>
      </c>
      <c r="C17" s="24" t="s">
        <v>352</v>
      </c>
      <c r="D17" s="24" t="s">
        <v>14</v>
      </c>
    </row>
    <row r="18" customFormat="false" ht="15" hidden="false" customHeight="true" outlineLevel="0" collapsed="false">
      <c r="A18" s="24" t="s">
        <v>39</v>
      </c>
      <c r="B18" s="24" t="s">
        <v>353</v>
      </c>
      <c r="C18" s="24" t="s">
        <v>354</v>
      </c>
      <c r="D18" s="24" t="s">
        <v>14</v>
      </c>
    </row>
    <row r="19" customFormat="false" ht="15" hidden="false" customHeight="true" outlineLevel="0" collapsed="false">
      <c r="A19" s="24" t="s">
        <v>39</v>
      </c>
      <c r="B19" s="24" t="s">
        <v>355</v>
      </c>
      <c r="C19" s="24" t="s">
        <v>356</v>
      </c>
      <c r="D19" s="24" t="s">
        <v>14</v>
      </c>
    </row>
    <row r="20" customFormat="false" ht="15" hidden="false" customHeight="true" outlineLevel="0" collapsed="false">
      <c r="A20" s="24" t="s">
        <v>53</v>
      </c>
      <c r="B20" s="24" t="s">
        <v>357</v>
      </c>
      <c r="C20" s="24" t="s">
        <v>358</v>
      </c>
      <c r="D20" s="24" t="s">
        <v>327</v>
      </c>
    </row>
    <row r="21" customFormat="false" ht="15" hidden="false" customHeight="true" outlineLevel="0" collapsed="false">
      <c r="A21" s="25" t="s">
        <v>359</v>
      </c>
      <c r="B21" s="25" t="s">
        <v>360</v>
      </c>
      <c r="C21" s="25" t="s">
        <v>361</v>
      </c>
      <c r="D21" s="25" t="s">
        <v>7</v>
      </c>
    </row>
  </sheetData>
  <mergeCells count="2">
    <mergeCell ref="A1:D1"/>
    <mergeCell ref="A2:D2"/>
  </mergeCells>
  <conditionalFormatting sqref="D6:D21">
    <cfRule type="containsText" priority="2" operator="containsText" aboveAverage="0" equalAverage="0" bottom="0" percent="0" rank="0" text="Bestanden" dxfId="16">
      <formula>NOT(ISERROR(SEARCH("Bestanden",D6)))</formula>
    </cfRule>
    <cfRule type="containsText" priority="3" operator="containsText" aboveAverage="0" equalAverage="0" bottom="0" percent="0" rank="0" text="Beanstandung" dxfId="17">
      <formula>NOT(ISERROR(SEARCH("Beanstandung",D6)))</formula>
    </cfRule>
    <cfRule type="containsText" priority="4" operator="containsText" aboveAverage="0" equalAverage="0" bottom="0" percent="0" rank="0" text="Hinweis" dxfId="18">
      <formula>NOT(ISERROR(SEARCH("Hinweis",D6)))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58"/>
    <col collapsed="false" customWidth="true" hidden="false" outlineLevel="0" max="3" min="3" style="0" width="90"/>
  </cols>
  <sheetData>
    <row r="1" customFormat="false" ht="15" hidden="false" customHeight="true" outlineLevel="0" collapsed="false">
      <c r="A1" s="5" t="s">
        <v>362</v>
      </c>
      <c r="B1" s="5"/>
      <c r="C1" s="5"/>
    </row>
    <row r="2" customFormat="false" ht="15" hidden="false" customHeight="true" outlineLevel="0" collapsed="false">
      <c r="A2" s="26" t="s">
        <v>363</v>
      </c>
      <c r="B2" s="26"/>
      <c r="C2" s="26"/>
    </row>
    <row r="3" customFormat="false" ht="15" hidden="false" customHeight="true" outlineLevel="0" collapsed="false">
      <c r="A3" s="3"/>
      <c r="B3" s="3"/>
      <c r="C3" s="3"/>
    </row>
    <row r="4" customFormat="false" ht="15" hidden="false" customHeight="true" outlineLevel="0" collapsed="false">
      <c r="A4" s="4"/>
      <c r="B4" s="4"/>
      <c r="C4" s="4"/>
    </row>
    <row r="5" customFormat="false" ht="15" hidden="false" customHeight="true" outlineLevel="0" collapsed="false">
      <c r="A5" s="22" t="s">
        <v>364</v>
      </c>
      <c r="B5" s="22" t="s">
        <v>365</v>
      </c>
      <c r="C5" s="22" t="s">
        <v>366</v>
      </c>
    </row>
    <row r="6" customFormat="false" ht="15" hidden="false" customHeight="true" outlineLevel="0" collapsed="false">
      <c r="A6" s="23" t="s">
        <v>367</v>
      </c>
      <c r="B6" s="23" t="s">
        <v>368</v>
      </c>
      <c r="C6" s="23" t="s">
        <v>369</v>
      </c>
    </row>
    <row r="7" customFormat="false" ht="15" hidden="false" customHeight="true" outlineLevel="0" collapsed="false">
      <c r="A7" s="24" t="s">
        <v>370</v>
      </c>
      <c r="B7" s="24" t="s">
        <v>371</v>
      </c>
      <c r="C7" s="24" t="s">
        <v>372</v>
      </c>
    </row>
    <row r="8" customFormat="false" ht="15" hidden="false" customHeight="true" outlineLevel="0" collapsed="false">
      <c r="A8" s="24" t="s">
        <v>373</v>
      </c>
      <c r="B8" s="24" t="s">
        <v>374</v>
      </c>
      <c r="C8" s="24" t="s">
        <v>375</v>
      </c>
    </row>
    <row r="9" customFormat="false" ht="15" hidden="false" customHeight="true" outlineLevel="0" collapsed="false">
      <c r="A9" s="24" t="s">
        <v>376</v>
      </c>
      <c r="B9" s="24" t="s">
        <v>377</v>
      </c>
      <c r="C9" s="24" t="s">
        <v>378</v>
      </c>
    </row>
    <row r="10" customFormat="false" ht="15" hidden="false" customHeight="true" outlineLevel="0" collapsed="false">
      <c r="A10" s="25" t="s">
        <v>379</v>
      </c>
      <c r="B10" s="25" t="s">
        <v>380</v>
      </c>
      <c r="C10" s="25" t="s">
        <v>381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