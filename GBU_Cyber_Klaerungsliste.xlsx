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laerungen" sheetId="1" state="visible" r:id="rId1"/>
    <sheet xmlns:r="http://schemas.openxmlformats.org/officeDocument/2006/relationships" name="Regeln" sheetId="2" state="visible" r:id="rId2"/>
    <sheet xmlns:r="http://schemas.openxmlformats.org/officeDocument/2006/relationships" name="Gefaehrdungen" sheetId="3" state="visible" r:id="rId3"/>
    <sheet xmlns:r="http://schemas.openxmlformats.org/officeDocument/2006/relationships" name="Fragen" sheetId="4" state="visible" r:id="rId4"/>
    <sheet xmlns:r="http://schemas.openxmlformats.org/officeDocument/2006/relationships" name="Lesehinweise" sheetId="5" state="visible" r:id="rId5"/>
  </sheets>
  <definedNames>
    <definedName name="_xlnm._FilterDatabase" localSheetId="1" hidden="1">'Regeln'!$A$1:$N$191</definedName>
    <definedName name="_xlnm._FilterDatabase" localSheetId="2" hidden="1">'Gefaehrdungen'!$A$1:$K$28</definedName>
    <definedName name="_xlnm._FilterDatabase" localSheetId="3" hidden="1">'Fragen'!$A$1:$I$84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sz val="9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3F5F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9D1DB"/>
      </left>
      <right style="thin">
        <color rgb="00C9D1DB"/>
      </right>
      <top style="thin">
        <color rgb="00C9D1DB"/>
      </top>
      <bottom style="thin">
        <color rgb="00C9D1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24" customWidth="1" min="3" max="3"/>
    <col width="60" customWidth="1" min="4" max="4"/>
    <col width="30" customWidth="1" min="5" max="5"/>
    <col width="34" customWidth="1" min="6" max="6"/>
    <col width="36" customWidth="1" min="7" max="7"/>
    <col width="24" customWidth="1" min="8" max="8"/>
    <col width="18" customWidth="1" min="9" max="9"/>
    <col width="40" customWidth="1" min="10" max="10"/>
  </cols>
  <sheetData>
    <row r="1" ht="30" customHeight="1">
      <c r="A1" s="1" t="inlineStr">
        <is>
          <t>ID</t>
        </is>
      </c>
      <c r="B1" s="1" t="inlineStr">
        <is>
          <t>Bereich</t>
        </is>
      </c>
      <c r="C1" s="1" t="inlineStr">
        <is>
          <t>Thema</t>
        </is>
      </c>
      <c r="D1" s="1" t="inlineStr">
        <is>
          <t>Frage</t>
        </is>
      </c>
      <c r="E1" s="1" t="inlineStr">
        <is>
          <t>Vorschlag</t>
        </is>
      </c>
      <c r="F1" s="1" t="inlineStr">
        <is>
          <t>Alternative</t>
        </is>
      </c>
      <c r="G1" s="1" t="inlineStr">
        <is>
          <t>Grund</t>
        </is>
      </c>
      <c r="H1" s="1" t="inlineStr">
        <is>
          <t>Betroffene Gefährdungen</t>
        </is>
      </c>
      <c r="I1" s="1" t="inlineStr">
        <is>
          <t>Entscheidung</t>
        </is>
      </c>
      <c r="J1" s="1" t="inlineStr">
        <is>
          <t>Bemerkung / Festlegung</t>
        </is>
      </c>
    </row>
    <row r="2">
      <c r="A2" s="2" t="inlineStr">
        <is>
          <t>K-C12</t>
        </is>
      </c>
      <c r="B2" s="2" t="inlineStr">
        <is>
          <t>Zugang</t>
        </is>
      </c>
      <c r="C2" s="2" t="inlineStr">
        <is>
          <t>Frei zugängliche Steuerung</t>
        </is>
      </c>
      <c r="D2" s="2" t="inlineStr">
        <is>
          <t>Steuerung für Unbefugte frei zugänglich: Mittel (wie Schindler MC1) – und Hoch, wenn zusätzlich die Serviceschnittstellen ungesichert sind?</t>
        </is>
      </c>
      <c r="E2" s="2" t="inlineStr">
        <is>
          <t>Mittel; Hoch mit ungesicherten Serviceschnittstellen</t>
        </is>
      </c>
      <c r="F2" s="2" t="inlineStr">
        <is>
          <t>Durchgängig Mittel (Schindler-Verhalten)</t>
        </is>
      </c>
      <c r="G2" s="2" t="inlineStr">
        <is>
          <t>Schindler MC1 kennt nur „Für Unbefugte ist der Zugang möglich" = Mittel; die Kombination mit offenem Serviceanschluss ist dort nicht abgebildet.</t>
        </is>
      </c>
      <c r="H2" s="2" t="inlineStr">
        <is>
          <t>CY-Z01</t>
        </is>
      </c>
      <c r="I2" s="3" t="inlineStr">
        <is>
          <t>Vorschlag</t>
        </is>
      </c>
      <c r="J2" s="3" t="inlineStr">
        <is>
          <t>Steuerung frei zugänglich: Mittel; mit ungesicherten Serviceschnittstellen: Hoch. (Stand 2026-09-03)</t>
        </is>
      </c>
    </row>
    <row r="3">
      <c r="A3" s="4" t="inlineStr">
        <is>
          <t>K-C13</t>
        </is>
      </c>
      <c r="B3" s="4" t="inlineStr">
        <is>
          <t>Zugang</t>
        </is>
      </c>
      <c r="C3" s="4" t="inlineStr">
        <is>
          <t>Default-Zugangsdaten</t>
        </is>
      </c>
      <c r="D3" s="4" t="inlineStr">
        <is>
          <t>Werkszugangsdaten in Gebrauch: Mittel – und Hoch bei vernetzter Anlage?</t>
        </is>
      </c>
      <c r="E3" s="4" t="inlineStr">
        <is>
          <t>Mittel; Hoch bei Netz-/Fernanbindung</t>
        </is>
      </c>
      <c r="F3" s="4" t="inlineStr">
        <is>
          <t>Immer Mittel</t>
        </is>
      </c>
      <c r="G3" s="4" t="inlineStr">
        <is>
          <t>Bei Fernanbindung sind Werkspasswörter aus der Ferne ausnutzbar; TRBS 1115-1 nennt Zugangskontrolle (Software) als Mindestmaßnahme.</t>
        </is>
      </c>
      <c r="H3" s="4" t="inlineStr">
        <is>
          <t>CY-Z04</t>
        </is>
      </c>
      <c r="I3" s="3" t="inlineStr">
        <is>
          <t>Vorschlag</t>
        </is>
      </c>
      <c r="J3" s="3" t="inlineStr">
        <is>
          <t>Werkszugangsdaten: Mittel; bei Netz-/Fernanbindung Hoch. (Stand 2026-09-03)</t>
        </is>
      </c>
    </row>
    <row r="4">
      <c r="A4" s="2" t="inlineStr">
        <is>
          <t>K-C21</t>
        </is>
      </c>
      <c r="B4" s="2" t="inlineStr">
        <is>
          <t>Zugang</t>
        </is>
      </c>
      <c r="C4" s="2" t="inlineStr">
        <is>
          <t>Triebwerksraum und Schacht</t>
        </is>
      </c>
      <c r="D4" s="2" t="inlineStr">
        <is>
          <t>Freier Zugang zu Triebwerksraum bzw. Schacht als eigene Cyber-Gefährdung (Mittel) – oder nur als Modifier an den Komponenten?</t>
        </is>
      </c>
      <c r="E4" s="2" t="inlineStr">
        <is>
          <t>Eigene Gefährdung Mittel (Muster MC1) und Modifier</t>
        </is>
      </c>
      <c r="F4" s="2" t="inlineStr">
        <is>
          <t>Nur Modifier, keine eigene Stufe (Zugang wird in der technischen GBU bewertet)</t>
        </is>
      </c>
      <c r="G4" s="2" t="inlineStr">
        <is>
          <t>Schindler MC2/MC3 sind nicht beobachtet; die Ortsfragen 14.2/14.4 wirken dort nachweislich auf mehrere Komponenten.</t>
        </is>
      </c>
      <c r="H4" s="2" t="inlineStr">
        <is>
          <t>CY-C01</t>
        </is>
      </c>
      <c r="I4" s="3" t="inlineStr">
        <is>
          <t>Alternative</t>
        </is>
      </c>
      <c r="J4" s="3" t="inlineStr">
        <is>
          <t>Freier Zugang zu Triebwerksraum und Schacht nur als Modifier an den Komponenten, keine eigene Cyber-Gefährdung (Zugang wird in der technischen GBU bewertet). (Stand 2026-09-03)</t>
        </is>
      </c>
    </row>
    <row r="5">
      <c r="A5" s="4" t="inlineStr">
        <is>
          <t>K-C14</t>
        </is>
      </c>
      <c r="B5" s="4" t="inlineStr">
        <is>
          <t>Netz</t>
        </is>
      </c>
      <c r="C5" s="4" t="inlineStr">
        <is>
          <t>Unbekannter Softwarestand</t>
        </is>
      </c>
      <c r="D5" s="4" t="inlineStr">
        <is>
          <t>Software-/Firmwarestand nicht bekannt: Mittel – oder nur Dokumentation?</t>
        </is>
      </c>
      <c r="E5" s="4" t="inlineStr">
        <is>
          <t>Mittel</t>
        </is>
      </c>
      <c r="F5" s="4" t="inlineStr">
        <is>
          <t>Niedrig / nur Dokumentation</t>
        </is>
      </c>
      <c r="G5" s="4" t="inlineStr">
        <is>
          <t>Ohne bekannten Stand kann kein Abgleich mit Schwachstellenhinweisen erfolgen; B-002 Anhang 2 Nr. 5 und 10 verlangen genau das.</t>
        </is>
      </c>
      <c r="H5" s="4" t="inlineStr">
        <is>
          <t>CY-N01</t>
        </is>
      </c>
      <c r="I5" s="3" t="inlineStr">
        <is>
          <t>Alternative</t>
        </is>
      </c>
      <c r="J5" s="3" t="inlineStr">
        <is>
          <t>Software-/Firmwarestand nicht bekannt: Niedrig (statt Mittel). (Stand 2026-09-03)</t>
        </is>
      </c>
    </row>
    <row r="6">
      <c r="A6" s="2" t="inlineStr">
        <is>
          <t>K-C22</t>
        </is>
      </c>
      <c r="B6" s="2" t="inlineStr">
        <is>
          <t>Netz</t>
        </is>
      </c>
      <c r="C6" s="2" t="inlineStr">
        <is>
          <t>Fehlende Funktionsreduzierung</t>
        </is>
      </c>
      <c r="D6" s="2" t="inlineStr">
        <is>
          <t>Nicht benötigte Funktionen/Ports aktiv: Niedrig – und Mittel bei vernetzter Anlage?</t>
        </is>
      </c>
      <c r="E6" s="2" t="inlineStr">
        <is>
          <t>Niedrig; Mittel bei Netz-/Fernanbindung</t>
        </is>
      </c>
      <c r="F6" s="2" t="inlineStr">
        <is>
          <t>Immer Niedrig</t>
        </is>
      </c>
      <c r="G6" s="2" t="inlineStr">
        <is>
          <t>Funktionsreduzierung ist eine der sechs Maßnahmenkategorien der TRBS 1115-1; ohne Vernetzung ist die Angriffsfläche lokal begrenzt.</t>
        </is>
      </c>
      <c r="H6" s="2" t="inlineStr">
        <is>
          <t>CY-N02</t>
        </is>
      </c>
      <c r="I6" s="3" t="inlineStr">
        <is>
          <t>Vorschlag</t>
        </is>
      </c>
      <c r="J6" s="3" t="inlineStr">
        <is>
          <t>Fehlende Funktionsreduzierung: Niedrig; Mittel bei Netz-/Fernanbindung. (Stand 2026-09-03)</t>
        </is>
      </c>
    </row>
    <row r="7">
      <c r="A7" s="4" t="inlineStr">
        <is>
          <t>K-C01</t>
        </is>
      </c>
      <c r="B7" s="4" t="inlineStr">
        <is>
          <t>Komponenten</t>
        </is>
      </c>
      <c r="C7" s="4" t="inlineStr">
        <is>
          <t>Stufe Hoch im Cyber-Teil</t>
        </is>
      </c>
      <c r="D7" s="4" t="inlineStr">
        <is>
          <t>Soll der Cyber-Teil die Stufe Hoch erreichen können (Fernzugriff/kabellos ohne umgesetzte Maßnahmen an sicherheitsrelevanter Komponente)?</t>
        </is>
      </c>
      <c r="E7" s="4" t="inlineStr">
        <is>
          <t>Ja, Hoch erreichbar</t>
        </is>
      </c>
      <c r="F7" s="4" t="inlineStr">
        <is>
          <t>Deckel bei Mittel (so verhält sich die Schindler-App)</t>
        </is>
      </c>
      <c r="G7" s="4" t="inlineStr">
        <is>
          <t>In der Schindler-App wurde Hoch im Cyber-Teil mit keiner Kombination erreicht. Bei überwachungsbedürftigen Anlagen ist nach ÜAnlG von erheblichem Risiko auszugehen (B-002 Anhang 2 Nr. 3); ein aus der Ferne manipulierbarer Sicherheitskreis ohne Maßnahmen ist fachlich Hoch.</t>
        </is>
      </c>
      <c r="H7" s="4" t="inlineStr">
        <is>
          <t>CY-C01, CY-C02, CY-C03, CY-C04, CY-C05, CY-C06, CY-C07, CY-C08, CY-C09, CY-C10, CY-C11, CY-C12, CY-C13</t>
        </is>
      </c>
      <c r="I7" s="3" t="inlineStr">
        <is>
          <t>Vorschlag</t>
        </is>
      </c>
      <c r="J7" s="3" t="inlineStr">
        <is>
          <t>Stufe Hoch im Cyber-Teil erreichbar (Fernzugriff/kabellos ohne umgesetzte Maßnahmen an sicherheitsrelevanter Komponente). (Stand 2026-09-03)</t>
        </is>
      </c>
    </row>
    <row r="8">
      <c r="A8" s="2" t="inlineStr">
        <is>
          <t>K-C02</t>
        </is>
      </c>
      <c r="B8" s="2" t="inlineStr">
        <is>
          <t>Komponenten</t>
        </is>
      </c>
      <c r="C8" s="2" t="inlineStr">
        <is>
          <t>Vorscreening ohne Schnittstelle</t>
        </is>
      </c>
      <c r="D8" s="2" t="inlineStr">
        <is>
          <t>Komponente ohne kompromittierbare Schnittstelle: Kein Risiko (DEKRA/BA-017 Vorscreening) – oder Niedrig?</t>
        </is>
      </c>
      <c r="E8" s="2" t="inlineStr">
        <is>
          <t>Kein Risiko</t>
        </is>
      </c>
      <c r="F8" s="2" t="inlineStr">
        <is>
          <t>Niedrig</t>
        </is>
      </c>
      <c r="G8" s="2" t="inlineStr">
        <is>
          <t>BA-017 und die DEKRA-Ausfüllhilfe schließen die Betrachtung in diesem Fall ab.</t>
        </is>
      </c>
      <c r="H8" s="2" t="inlineStr">
        <is>
          <t>CY-C01, CY-C02, CY-C03, CY-C04, CY-C05, CY-C06, CY-C07, CY-C08, CY-C09, CY-C10</t>
        </is>
      </c>
      <c r="I8" s="3" t="inlineStr">
        <is>
          <t>Vorschlag</t>
        </is>
      </c>
      <c r="J8" s="3" t="inlineStr">
        <is>
          <t>Komponente ohne kompromittierbare Schnittstelle: Kein Risiko (Vorscreening BA-017/DEKRA). (Stand 2026-09-03)</t>
        </is>
      </c>
    </row>
    <row r="9">
      <c r="A9" s="4" t="inlineStr">
        <is>
          <t>K-C03</t>
        </is>
      </c>
      <c r="B9" s="4" t="inlineStr">
        <is>
          <t>Komponenten</t>
        </is>
      </c>
      <c r="C9" s="4" t="inlineStr">
        <is>
          <t>Eine Schnittstellenkategorie je Komponente</t>
        </is>
      </c>
      <c r="D9" s="4" t="inlineStr">
        <is>
          <t>Erfasst wird die HÖCHSTE vorhandene Schnittstellenkategorie (eine Auswahl); die konkreten Schnittstellen bleiben Dokumentation in der App. Reicht das?</t>
        </is>
      </c>
      <c r="E9" s="4" t="inlineStr">
        <is>
          <t>Ja, höchste Kategorie</t>
        </is>
      </c>
      <c r="F9" s="4" t="inlineStr">
        <is>
          <t>Mehrfachauswahl je Komponente (mehr Klicks)</t>
        </is>
      </c>
      <c r="G9" s="4" t="inlineStr">
        <is>
          <t>Für die Stufe ist nur die angreifbarste Schnittstelle maßgeblich.</t>
        </is>
      </c>
      <c r="H9" s="4" t="inlineStr">
        <is>
          <t>CY-C01</t>
        </is>
      </c>
      <c r="I9" s="3" t="inlineStr">
        <is>
          <t>Vorschlag</t>
        </is>
      </c>
      <c r="J9" s="3" t="inlineStr">
        <is>
          <t>Je Komponente wird die höchste Schnittstellenkategorie erfasst (eine Auswahl); konkrete Schnittstellen bleiben App-Dokumentation. (Stand 2026-09-03)</t>
        </is>
      </c>
    </row>
    <row r="10">
      <c r="A10" s="2" t="inlineStr">
        <is>
          <t>K-C04</t>
        </is>
      </c>
      <c r="B10" s="2" t="inlineStr">
        <is>
          <t>Komponenten</t>
        </is>
      </c>
      <c r="C10" s="2" t="inlineStr">
        <is>
          <t>Reihenfolge der Schnittstellenkategorien</t>
        </is>
      </c>
      <c r="D10" s="2" t="inlineStr">
        <is>
          <t>Angreifbarkeit: keine &lt; kabelgebunden &lt; Benutzerschnittstelle &lt; kabellos &lt; Fernzugriff. Benutzerschnittstelle wird wie kabelgebunden (lokal) bewertet – einverstanden?</t>
        </is>
      </c>
      <c r="E10" s="2" t="inlineStr">
        <is>
          <t>Ja</t>
        </is>
      </c>
      <c r="F10" s="2" t="inlineStr">
        <is>
          <t>Benutzerschnittstelle wie kabellos</t>
        </is>
      </c>
      <c r="G10" s="2" t="inlineStr">
        <is>
          <t>Ein Bedienfeld setzt physische Anwesenheit voraus; kabellos nicht.</t>
        </is>
      </c>
      <c r="H10" s="2" t="inlineStr">
        <is>
          <t>CY-C01</t>
        </is>
      </c>
      <c r="I10" s="3" t="inlineStr">
        <is>
          <t>Vorschlag</t>
        </is>
      </c>
      <c r="J10" s="3" t="inlineStr">
        <is>
          <t>Reihenfolge keine &lt; kabelgebunden &lt; Benutzerschnittstelle &lt; kabellos &lt; Fernzugriff; Benutzerschnittstelle wird wie lokal bewertet. (Stand 2026-09-03)</t>
        </is>
      </c>
    </row>
    <row r="11">
      <c r="A11" s="4" t="inlineStr">
        <is>
          <t>K-C05</t>
        </is>
      </c>
      <c r="B11" s="4" t="inlineStr">
        <is>
          <t>Komponenten</t>
        </is>
      </c>
      <c r="C11" s="4" t="inlineStr">
        <is>
          <t>Lokale Schnittstelle ohne Maßnahmen bei freiem Zugang</t>
        </is>
      </c>
      <c r="D11" s="4" t="inlineStr">
        <is>
          <t>Kabelgebundene Schnittstelle, keine Maßnahmen, Steuerung/Raum frei zugänglich: Hoch – oder Mittel (Schindler-Baum)?</t>
        </is>
      </c>
      <c r="E11" s="4" t="inlineStr">
        <is>
          <t>Hoch</t>
        </is>
      </c>
      <c r="F11" s="4" t="inlineStr">
        <is>
          <t>Mittel (Schindler MC4-Muster)</t>
        </is>
      </c>
      <c r="G11" s="4" t="inlineStr">
        <is>
          <t>Der Schindler-Baum stuft nur um eine Stufe hoch (Niedrig -&gt; Mittel). Ohne jede Maßnahme und mit freiem Zugang ist die Sicherheitsfunktion für jedermann manipulierbar.</t>
        </is>
      </c>
      <c r="H11" s="4" t="inlineStr">
        <is>
          <t>CY-C01, CY-C02, CY-C03, CY-C04, CY-C05, CY-C06, CY-C07, CY-C08, CY-C09, CY-C10</t>
        </is>
      </c>
      <c r="I11" s="3" t="inlineStr">
        <is>
          <t>Vorschlag</t>
        </is>
      </c>
      <c r="J11" s="3" t="inlineStr">
        <is>
          <t>Lokale Schnittstelle, keine Maßnahmen, Zugang frei: Hoch. (Stand 2026-09-03)</t>
        </is>
      </c>
    </row>
    <row r="12">
      <c r="A12" s="2" t="inlineStr">
        <is>
          <t>K-C06</t>
        </is>
      </c>
      <c r="B12" s="2" t="inlineStr">
        <is>
          <t>Komponenten</t>
        </is>
      </c>
      <c r="C12" s="2" t="inlineStr">
        <is>
          <t>Umgesetzte Maßnahmen bei kabellos/Fernzugriff</t>
        </is>
      </c>
      <c r="D12" s="2" t="inlineStr">
        <is>
          <t>Fernzugriff oder Funk mit umgesetzten, nachgewiesenen Maßnahmen: Niedrig (Restrisiko) – oder Kein Risiko?</t>
        </is>
      </c>
      <c r="E12" s="2" t="inlineStr">
        <is>
          <t>Niedrig</t>
        </is>
      </c>
      <c r="F12" s="2" t="inlineStr">
        <is>
          <t>Kein Risiko</t>
        </is>
      </c>
      <c r="G12" s="2" t="inlineStr">
        <is>
          <t>Ein Fernzugang bleibt eine Angriffsfläche; TRBS 1115-1 verlangt hier die laufende Überwachung.</t>
        </is>
      </c>
      <c r="H12" s="2" t="inlineStr">
        <is>
          <t>CY-C01, CY-C02, CY-C03, CY-C04, CY-C05, CY-C06, CY-C07, CY-C08, CY-C09, CY-C10</t>
        </is>
      </c>
      <c r="I12" s="3" t="inlineStr">
        <is>
          <t>Alternative</t>
        </is>
      </c>
      <c r="J12" s="3" t="inlineStr">
        <is>
          <t>Fernzugriff/kabellos mit umgesetzten, nachgewiesenen Maßnahmen: Kein Risiko (statt Niedrig). (Stand 2026-09-03)</t>
        </is>
      </c>
    </row>
    <row r="13">
      <c r="A13" s="4" t="inlineStr">
        <is>
          <t>K-C07</t>
        </is>
      </c>
      <c r="B13" s="4" t="inlineStr">
        <is>
          <t>Komponenten</t>
        </is>
      </c>
      <c r="C13" s="4" t="inlineStr">
        <is>
          <t>Frequenzumrichter mit unabhängiger Sicherheitskette</t>
        </is>
      </c>
      <c r="D13" s="4" t="inlineStr">
        <is>
          <t>Umrichter mit unabhängiger elektromechanischer Sicherheitskette (STO/Sicherheitskreis unabhängig): Deckel Niedrig, auch ohne Maßnahmen?</t>
        </is>
      </c>
      <c r="E13" s="4" t="inlineStr">
        <is>
          <t>Deckel Niedrig</t>
        </is>
      </c>
      <c r="F13" s="4" t="inlineStr">
        <is>
          <t>Wie andere Komponenten (Hoch möglich)</t>
        </is>
      </c>
      <c r="G13" s="4" t="inlineStr">
        <is>
          <t>BA-017/zues-Katalog: bei mechanischen Rückfallebenen i. d. R. keine Personengefährdung; es bleibt die Verfügbarkeit.</t>
        </is>
      </c>
      <c r="H13" s="4" t="inlineStr">
        <is>
          <t>CY-C03</t>
        </is>
      </c>
      <c r="I13" s="3" t="inlineStr">
        <is>
          <t>Vorschlag</t>
        </is>
      </c>
      <c r="J13" s="3" t="inlineStr">
        <is>
          <t>Frequenzumrichter mit unabhängiger Sicherheitskette: Deckel Niedrig. (Stand 2026-09-03)</t>
        </is>
      </c>
    </row>
    <row r="14">
      <c r="A14" s="2" t="inlineStr">
        <is>
          <t>K-C08</t>
        </is>
      </c>
      <c r="B14" s="2" t="inlineStr">
        <is>
          <t>Komponenten</t>
        </is>
      </c>
      <c r="C14" s="2" t="inlineStr">
        <is>
          <t>Unabhängige Sicherheitseinrichtung als Kompensation</t>
        </is>
      </c>
      <c r="D14" s="2" t="inlineStr">
        <is>
          <t>Bleibt die Sicherheitsfunktion bei Manipulation der Komponente durch eine unabhängige, nicht programmierbare Einrichtung gewährleistet: Hoch -&gt; Mittel?</t>
        </is>
      </c>
      <c r="E14" s="2" t="inlineStr">
        <is>
          <t>Ja, Hoch -&gt; Mittel</t>
        </is>
      </c>
      <c r="F14" s="2" t="inlineStr">
        <is>
          <t>Keine Kompensation</t>
        </is>
      </c>
      <c r="G14" s="2" t="inlineStr">
        <is>
          <t>TRBS-1115-1-Prüffeld „Unabhängigkeit und sicherer Zustand".</t>
        </is>
      </c>
      <c r="H14" s="2" t="inlineStr">
        <is>
          <t>CY-C01, CY-C04, CY-C05, CY-C06, CY-C07, CY-C08, CY-C09, CY-C10</t>
        </is>
      </c>
      <c r="I14" s="3" t="inlineStr">
        <is>
          <t>Vorschlag</t>
        </is>
      </c>
      <c r="J14" s="3" t="inlineStr">
        <is>
          <t>Unabhängige Sicherheitseinrichtung als Kompensation: Hoch -&gt; Mittel. (Stand 2026-09-03)</t>
        </is>
      </c>
    </row>
    <row r="15">
      <c r="A15" s="4" t="inlineStr">
        <is>
          <t>K-C09</t>
        </is>
      </c>
      <c r="B15" s="4" t="inlineStr">
        <is>
          <t>Komponenten</t>
        </is>
      </c>
      <c r="C15" s="4" t="inlineStr">
        <is>
          <t>Notruf: Testruf als Kompensation</t>
        </is>
      </c>
      <c r="D15" s="4" t="inlineStr">
        <is>
          <t>Notrufsystem mit automatischem Testruf und Ausfallmeldung (EN 81-28): Hoch -&gt; Mittel?</t>
        </is>
      </c>
      <c r="E15" s="4" t="inlineStr">
        <is>
          <t>Ja</t>
        </is>
      </c>
      <c r="F15" s="4" t="inlineStr">
        <is>
          <t>Keine Kompensation</t>
        </is>
      </c>
      <c r="G15" s="4" t="inlineStr">
        <is>
          <t>Ein manipulierter/ausgefallener Notruf wird so innerhalb der Testfrist erkannt.</t>
        </is>
      </c>
      <c r="H15" s="4" t="inlineStr">
        <is>
          <t>CY-C04</t>
        </is>
      </c>
      <c r="I15" s="3" t="inlineStr">
        <is>
          <t>Vorschlag</t>
        </is>
      </c>
      <c r="J15" s="3" t="inlineStr">
        <is>
          <t>Notruf: automatischer Testruf mit Ausfallmeldung (EN 81-28) als Kompensation Hoch -&gt; Mittel. (Stand 2026-09-03)</t>
        </is>
      </c>
    </row>
    <row r="16">
      <c r="A16" s="2" t="inlineStr">
        <is>
          <t>K-C10</t>
        </is>
      </c>
      <c r="B16" s="2" t="inlineStr">
        <is>
          <t>Komponenten</t>
        </is>
      </c>
      <c r="C16" s="2" t="inlineStr">
        <is>
          <t>Fernüberwachung rein lesend</t>
        </is>
      </c>
      <c r="D16" s="2" t="inlineStr">
        <is>
          <t>Rein lesende Fernüberwachung ohne Netztrennung: Mittel – oder Niedrig?</t>
        </is>
      </c>
      <c r="E16" s="2" t="inlineStr">
        <is>
          <t>Mittel</t>
        </is>
      </c>
      <c r="F16" s="2" t="inlineStr">
        <is>
          <t>Niedrig</t>
        </is>
      </c>
      <c r="G16" s="2" t="inlineStr">
        <is>
          <t>Ohne Segmentierung ist der Lesekanal ein Einstieg ins Aufzugsnetz.</t>
        </is>
      </c>
      <c r="H16" s="2" t="inlineStr">
        <is>
          <t>CY-C11</t>
        </is>
      </c>
      <c r="I16" s="3" t="inlineStr">
        <is>
          <t>Alternative</t>
        </is>
      </c>
      <c r="J16" s="3" t="inlineStr">
        <is>
          <t>Rein lesende Fernüberwachung ohne Netztrennung: Niedrig (statt Mittel). (Stand 2026-09-03)</t>
        </is>
      </c>
    </row>
    <row r="17">
      <c r="A17" s="4" t="inlineStr">
        <is>
          <t>K-C11</t>
        </is>
      </c>
      <c r="B17" s="4" t="inlineStr">
        <is>
          <t>Komponenten</t>
        </is>
      </c>
      <c r="C17" s="4" t="inlineStr">
        <is>
          <t>Gebäudeschnittstelle ohne Rückwirkungsfreiheit</t>
        </is>
      </c>
      <c r="D17" s="4" t="inlineStr">
        <is>
          <t>Bauseitige Signale (BMA/Brandfallsteuerung/GLT) können Sicherheitsfunktionen außer Kraft setzen: Hoch?</t>
        </is>
      </c>
      <c r="E17" s="4" t="inlineStr">
        <is>
          <t>Hoch</t>
        </is>
      </c>
      <c r="F17" s="4" t="inlineStr">
        <is>
          <t>Mittel</t>
        </is>
      </c>
      <c r="G17" s="4" t="inlineStr">
        <is>
          <t>Eine manipulierte Brandfallsteuerung kann den Aufzug im Brandfall in die Brandetage schicken (EN 81-73).</t>
        </is>
      </c>
      <c r="H17" s="4" t="inlineStr">
        <is>
          <t>CY-C14</t>
        </is>
      </c>
      <c r="I17" s="3" t="inlineStr">
        <is>
          <t>Vorschlag</t>
        </is>
      </c>
      <c r="J17" s="3" t="inlineStr">
        <is>
          <t>Gebäudeschnittstelle ohne Rückwirkungsfreiheit: Hoch. (Stand 2026-09-03)</t>
        </is>
      </c>
    </row>
    <row r="18">
      <c r="A18" s="2" t="inlineStr">
        <is>
          <t>K-C23</t>
        </is>
      </c>
      <c r="B18" s="2" t="inlineStr">
        <is>
          <t>Komponenten</t>
        </is>
      </c>
      <c r="C18" s="2" t="inlineStr">
        <is>
          <t>Fernwartung dauerhaft aktiv</t>
        </is>
      </c>
      <c r="D18" s="2" t="inlineStr">
        <is>
          <t>Fernwartungszugang dauerhaft aktiv (keine Freigabe je Bedarf), aber authentifiziert: Mittel?</t>
        </is>
      </c>
      <c r="E18" s="2" t="inlineStr">
        <is>
          <t>Mittel</t>
        </is>
      </c>
      <c r="F18" s="2" t="inlineStr">
        <is>
          <t>Niedrig</t>
        </is>
      </c>
      <c r="G18" s="2" t="inlineStr">
        <is>
          <t>TRBS 1115-1 / DEKRA: Fernzugriff nur bei Bedarf und mit Freigabe.</t>
        </is>
      </c>
      <c r="H18" s="2" t="inlineStr">
        <is>
          <t>CY-C12</t>
        </is>
      </c>
      <c r="I18" s="3" t="inlineStr">
        <is>
          <t>Alternative</t>
        </is>
      </c>
      <c r="J18" s="3" t="inlineStr">
        <is>
          <t>Fernwartung dauerhaft aktiv, aber individuell authentifiziert: Niedrig (statt Mittel). (Stand 2026-09-03)</t>
        </is>
      </c>
    </row>
    <row r="19">
      <c r="A19" s="4" t="inlineStr">
        <is>
          <t>K-C24</t>
        </is>
      </c>
      <c r="B19" s="4" t="inlineStr">
        <is>
          <t>Komponenten</t>
        </is>
      </c>
      <c r="C19" s="4" t="inlineStr">
        <is>
          <t>Platzhalter „weitere Komponente"</t>
        </is>
      </c>
      <c r="D19" s="4" t="inlineStr">
        <is>
          <t>Generische Gefährdung „weitere programmierbare sicherheitsrelevante Komponente" mit Klasse-S-Logik aufnehmen (z. B. Lastmessung, Evakuierungssteuerung, Zutritt mit Fahrtfreigabe)?</t>
        </is>
      </c>
      <c r="E19" s="4" t="inlineStr">
        <is>
          <t>Ja, ein Platzhalter</t>
        </is>
      </c>
      <c r="F19" s="4" t="inlineStr">
        <is>
          <t>Weglassen; nur Freitext in der App</t>
        </is>
      </c>
      <c r="G19" s="4" t="inlineStr">
        <is>
          <t>Der zues-Katalog der App kennt „Weitere Komponente" ohne Logik.</t>
        </is>
      </c>
      <c r="H19" s="4" t="inlineStr"/>
      <c r="I19" s="3" t="inlineStr">
        <is>
          <t>Alternative</t>
        </is>
      </c>
      <c r="J19" s="3" t="inlineStr">
        <is>
          <t>Kein Platzhalter „weitere Komponente" im Katalog; weitere Komponenten nur als Freitext in der App. (Stand 2026-09-03)</t>
        </is>
      </c>
    </row>
    <row r="20">
      <c r="A20" s="2" t="inlineStr">
        <is>
          <t>K-C15</t>
        </is>
      </c>
      <c r="B20" s="2" t="inlineStr">
        <is>
          <t>Organisation</t>
        </is>
      </c>
      <c r="C20" s="2" t="inlineStr">
        <is>
          <t>Notfallmanagement</t>
        </is>
      </c>
      <c r="D20" s="2" t="inlineStr">
        <is>
          <t>Kein Notfallmanagement für Cybervorfälle: Mittel – und Hoch bei vernetzter Anlage?</t>
        </is>
      </c>
      <c r="E20" s="2" t="inlineStr">
        <is>
          <t>Mittel; Hoch bei Netz-/Fernanbindung</t>
        </is>
      </c>
      <c r="F20" s="2" t="inlineStr">
        <is>
          <t>Immer Mittel</t>
        </is>
      </c>
      <c r="G20" s="2" t="inlineStr">
        <is>
          <t>TRBS 1115-1 nennt Notfallmanagement als Mindestinhalt (4.5.2); bei Vernetzung ist ein Vorfall wahrscheinlicher und schneller wirksam.</t>
        </is>
      </c>
      <c r="H20" s="2" t="inlineStr">
        <is>
          <t>CY-O03</t>
        </is>
      </c>
      <c r="I20" s="3" t="inlineStr">
        <is>
          <t>Vorschlag</t>
        </is>
      </c>
      <c r="J20" s="3" t="inlineStr">
        <is>
          <t>Kein Notfallmanagement: Mittel; Hoch bei Netz-/Fernanbindung. (Stand 2026-09-03)</t>
        </is>
      </c>
    </row>
    <row r="21">
      <c r="A21" s="4" t="inlineStr">
        <is>
          <t>K-C16</t>
        </is>
      </c>
      <c r="B21" s="4" t="inlineStr">
        <is>
          <t>Organisation</t>
        </is>
      </c>
      <c r="C21" s="4" t="inlineStr">
        <is>
          <t>Unterweisung</t>
        </is>
      </c>
      <c r="D21" s="4" t="inlineStr">
        <is>
          <t>Fehlende Cyber-Unterweisung der Beschäftigten: Mittel (wie fehlende Unterweisung im 81-20-Typ, K-D04) – oder Niedrig?</t>
        </is>
      </c>
      <c r="E21" s="4" t="inlineStr">
        <is>
          <t>Mittel</t>
        </is>
      </c>
      <c r="F21" s="4" t="inlineStr">
        <is>
          <t>Niedrig</t>
        </is>
      </c>
      <c r="G21" s="4" t="inlineStr">
        <is>
          <t>BetrSichV § 12; B-002 Anhang 2 Nr. 11 fragt ausdrücklich danach.</t>
        </is>
      </c>
      <c r="H21" s="4" t="inlineStr">
        <is>
          <t>CY-O04</t>
        </is>
      </c>
      <c r="I21" s="3" t="inlineStr">
        <is>
          <t>Alternative</t>
        </is>
      </c>
      <c r="J21" s="3" t="inlineStr">
        <is>
          <t>Fehlende Cyber-Unterweisung: Niedrig (statt Mittel). (Stand 2026-09-03)</t>
        </is>
      </c>
    </row>
    <row r="22">
      <c r="A22" s="2" t="inlineStr">
        <is>
          <t>K-C17</t>
        </is>
      </c>
      <c r="B22" s="2" t="inlineStr">
        <is>
          <t>Organisation</t>
        </is>
      </c>
      <c r="C22" s="2" t="inlineStr">
        <is>
          <t>Nachweise fehlen vollständig</t>
        </is>
      </c>
      <c r="D22" s="2" t="inlineStr">
        <is>
          <t>Prüffristen, Wirksamkeitsnachweis und Funktionsbestätigung fehlen alle drei: Hoch – oder Mittel (organisatorischer Mangel)?</t>
        </is>
      </c>
      <c r="E22" s="2" t="inlineStr">
        <is>
          <t>Hoch</t>
        </is>
      </c>
      <c r="F22" s="2" t="inlineStr">
        <is>
          <t>Mittel</t>
        </is>
      </c>
      <c r="G22" s="2" t="inlineStr">
        <is>
          <t>Ohne jeden Nachweis ist nicht belegbar, dass überhaupt Maßnahmen wirken; die ZÜS wird die GBU als unvollständig werten (Anhang 2 Nr. 8, 12, 13).</t>
        </is>
      </c>
      <c r="H22" s="2" t="inlineStr">
        <is>
          <t>CY-O05</t>
        </is>
      </c>
      <c r="I22" s="3" t="inlineStr">
        <is>
          <t>Vorschlag</t>
        </is>
      </c>
      <c r="J22" s="3" t="inlineStr">
        <is>
          <t>Prüffristen, Wirksamkeitsnachweis und Funktionsbestätigung fehlen alle drei: Hoch. (Stand 2026-09-03)</t>
        </is>
      </c>
    </row>
    <row r="23">
      <c r="A23" s="4" t="inlineStr">
        <is>
          <t>K-C18</t>
        </is>
      </c>
      <c r="B23" s="4" t="inlineStr">
        <is>
          <t>Organisation</t>
        </is>
      </c>
      <c r="C23" s="4" t="inlineStr">
        <is>
          <t>Ungeprüfte Änderungen</t>
        </is>
      </c>
      <c r="D23" s="4" t="inlineStr">
        <is>
          <t>Prüfpflichtige Änderung mit Cyber-Einfluss ohne Prüfung: Hoch?</t>
        </is>
      </c>
      <c r="E23" s="4" t="inlineStr">
        <is>
          <t>Hoch</t>
        </is>
      </c>
      <c r="F23" s="4" t="inlineStr">
        <is>
          <t>Mittel</t>
        </is>
      </c>
      <c r="G23" s="4" t="inlineStr">
        <is>
          <t>Die Anlage befindet sich möglicherweise nicht mehr im geprüften Zustand (BetrSichV § 15/16; B-002 Anhang 2 Nr. 14).</t>
        </is>
      </c>
      <c r="H23" s="4" t="inlineStr">
        <is>
          <t>CY-O06</t>
        </is>
      </c>
      <c r="I23" s="3" t="inlineStr">
        <is>
          <t>Vorschlag</t>
        </is>
      </c>
      <c r="J23" s="3" t="inlineStr">
        <is>
          <t>Prüfpflichtige Änderung mit Cyber-Einfluss ohne Prüfung: Hoch. (Stand 2026-09-03)</t>
        </is>
      </c>
    </row>
    <row r="24">
      <c r="A24" s="2" t="inlineStr">
        <is>
          <t>K-C19</t>
        </is>
      </c>
      <c r="B24" s="2" t="inlineStr">
        <is>
          <t>Organisation</t>
        </is>
      </c>
      <c r="C24" s="2" t="inlineStr">
        <is>
          <t>Rückwirkungsfreiheit</t>
        </is>
      </c>
      <c r="D24" s="2" t="inlineStr">
        <is>
          <t>Rückwirkung der Cyber-Maßnahmen auf Sicherheitsfunktionen nicht ausgeschlossen: Hoch – oder Mittel?</t>
        </is>
      </c>
      <c r="E24" s="2" t="inlineStr">
        <is>
          <t>Hoch</t>
        </is>
      </c>
      <c r="F24" s="2" t="inlineStr">
        <is>
          <t>Mittel</t>
        </is>
      </c>
      <c r="G24" s="2" t="inlineStr">
        <is>
          <t>Eine Schutzmaßnahme, die den Notruf oder den Sicherheitskreis stören kann, ist selbst eine Gefährdung (B-002 Anhang 2 Nr. 9).</t>
        </is>
      </c>
      <c r="H24" s="2" t="inlineStr">
        <is>
          <t>CY-O07</t>
        </is>
      </c>
      <c r="I24" s="3" t="inlineStr">
        <is>
          <t>Vorschlag</t>
        </is>
      </c>
      <c r="J24" s="3" t="inlineStr">
        <is>
          <t>Rückwirkungsfreiheit der Cyber-Maßnahmen nicht sichergestellt: Hoch. (Stand 2026-09-03)</t>
        </is>
      </c>
    </row>
    <row r="25">
      <c r="A25" s="4" t="inlineStr">
        <is>
          <t>K-C20</t>
        </is>
      </c>
      <c r="B25" s="4" t="inlineStr">
        <is>
          <t>Organisation</t>
        </is>
      </c>
      <c r="C25" s="4" t="inlineStr">
        <is>
          <t>ZÜS-Prüfpunkte 1, 2, 3, 5 ohne Frage</t>
        </is>
      </c>
      <c r="D25" s="4" t="inlineStr">
        <is>
          <t>Die Prüfpunkte 1 (Cyberbedrohungen berücksichtigt), 2 (Komponenten erfasst), 3 (ÜAnlG-Annahme) und 5 (Stand der Technik) werden durch die Struktur des Katalogs erfüllt und im Bericht als erfüllt ausgewiesen – ohne eigene Frage. Einverstanden?</t>
        </is>
      </c>
      <c r="E25" s="4" t="inlineStr">
        <is>
          <t>Ja, strukturell erfüllt</t>
        </is>
      </c>
      <c r="F25" s="4" t="inlineStr">
        <is>
          <t>Als Dokumentationsfragen aufnehmen</t>
        </is>
      </c>
      <c r="G25" s="4" t="inlineStr">
        <is>
          <t>Eine Ja/Nein-Frage „Wurden Cyberbedrohungen berücksichtigt?" in der GBU, die genau das tut, wäre inhaltsleer.</t>
        </is>
      </c>
      <c r="H25" s="4" t="inlineStr"/>
      <c r="I25" s="3" t="inlineStr">
        <is>
          <t>Alternative</t>
        </is>
      </c>
      <c r="J25" s="3" t="inlineStr">
        <is>
          <t>ZÜS-Prüfpunkte 1, 2, 3 und 5 werden als Dokumentationsfragen aufgenommen (Pflicht, ohne eigene Stufe; Fragen 5.11–5.14). (Stand 2026-09-03)</t>
        </is>
      </c>
    </row>
    <row r="26">
      <c r="A26" s="2" t="inlineStr">
        <is>
          <t>K-C25</t>
        </is>
      </c>
      <c r="B26" s="2" t="inlineStr">
        <is>
          <t>Organisation</t>
        </is>
      </c>
      <c r="C26" s="2" t="inlineStr">
        <is>
          <t>Herstellervorgaben</t>
        </is>
      </c>
      <c r="D26" s="2" t="inlineStr">
        <is>
          <t>Herstellervorgaben vorhanden, aber nicht berücksichtigt: Mittel; nicht bekannt/nicht angefragt: Niedrig?</t>
        </is>
      </c>
      <c r="E26" s="2" t="inlineStr">
        <is>
          <t>Mittel / Niedrig</t>
        </is>
      </c>
      <c r="F26" s="2" t="inlineStr">
        <is>
          <t>Beides Mittel</t>
        </is>
      </c>
      <c r="G26" s="2" t="inlineStr">
        <is>
          <t>B-002 Anhang 2 Nr. 7; ohne Anfrage ist der Stand der Technik nicht vollständig herangezogen.</t>
        </is>
      </c>
      <c r="H26" s="2" t="inlineStr">
        <is>
          <t>CY-O02</t>
        </is>
      </c>
      <c r="I26" s="3" t="inlineStr">
        <is>
          <t>Vorschlag</t>
        </is>
      </c>
      <c r="J26" s="3" t="inlineStr">
        <is>
          <t>Herstellervorgaben nicht berücksichtigt: Mittel; nicht bekannt/nicht angefragt: Niedrig. (Stand 2026-09-03)</t>
        </is>
      </c>
    </row>
    <row r="28">
      <c r="A28" s="5" t="inlineStr">
        <is>
          <t>Stand der Gegenlesung</t>
        </is>
      </c>
    </row>
    <row r="29">
      <c r="A29" s="6" t="inlineStr">
        <is>
          <t>Klärungen gesamt</t>
        </is>
      </c>
      <c r="B29" s="6">
        <f>COUNTA(A2:A26)</f>
        <v/>
      </c>
    </row>
    <row r="30">
      <c r="A30" s="6" t="inlineStr">
        <is>
          <t>entschieden</t>
        </is>
      </c>
      <c r="B30" s="6">
        <f>COUNTA(I2:I26)</f>
        <v/>
      </c>
    </row>
    <row r="31">
      <c r="A31" s="6" t="inlineStr">
        <is>
          <t>offen</t>
        </is>
      </c>
      <c r="B31" s="6">
        <f>B29-B30</f>
        <v/>
      </c>
    </row>
    <row r="33">
      <c r="A33" s="7" t="inlineStr">
        <is>
          <t>Legende: gelbe Zellen ausfüllen (Entscheidung als Auswahl, Bemerkung frei). „Vorschlag" = so wie im Seed umgesetzt; „Alternative" = die genannte Alternative; „Anders" = Festlegung in der Bemerkung.</t>
        </is>
      </c>
    </row>
  </sheetData>
  <dataValidations count="1">
    <dataValidation sqref="I2:I26" showDropDown="0" showInputMessage="0" showErrorMessage="0" allowBlank="1" type="list">
      <formula1>"Vorschlag,Alternative,Anders (siehe Bemerkung)"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8" customWidth="1" min="2" max="2"/>
    <col width="22" customWidth="1" min="3" max="3"/>
    <col width="13" customWidth="1" min="4" max="4"/>
    <col width="6" customWidth="1" min="5" max="5"/>
    <col width="70" customWidth="1" min="6" max="6"/>
    <col width="13" customWidth="1" min="7" max="7"/>
    <col width="16" customWidth="1" min="8" max="8"/>
    <col width="12" customWidth="1" min="9" max="9"/>
    <col width="40" customWidth="1" min="10" max="10"/>
    <col width="40" customWidth="1" min="11" max="11"/>
    <col width="30" customWidth="1" min="12" max="12"/>
    <col width="11" customWidth="1" min="13" max="13"/>
    <col width="36" customWidth="1" min="14" max="14"/>
  </cols>
  <sheetData>
    <row r="1" ht="30" customHeight="1">
      <c r="A1" s="1" t="inlineStr">
        <is>
          <t>Gefährdung</t>
        </is>
      </c>
      <c r="B1" s="1" t="inlineStr">
        <is>
          <t>Titel</t>
        </is>
      </c>
      <c r="C1" s="1" t="inlineStr">
        <is>
          <t>Baugruppe</t>
        </is>
      </c>
      <c r="D1" s="1" t="inlineStr">
        <is>
          <t>Regel</t>
        </is>
      </c>
      <c r="E1" s="1" t="inlineStr">
        <is>
          <t>Prio</t>
        </is>
      </c>
      <c r="F1" s="1" t="inlineStr">
        <is>
          <t>Bedingung</t>
        </is>
      </c>
      <c r="G1" s="1" t="inlineStr">
        <is>
          <t>Stufe</t>
        </is>
      </c>
      <c r="H1" s="1" t="inlineStr">
        <is>
          <t>Evidenz</t>
        </is>
      </c>
      <c r="I1" s="1" t="inlineStr">
        <is>
          <t>Klärung</t>
        </is>
      </c>
      <c r="J1" s="1" t="inlineStr">
        <is>
          <t>Sofortmaßnahme</t>
        </is>
      </c>
      <c r="K1" s="1" t="inlineStr">
        <is>
          <t>Mittelfristige Maßnahme</t>
        </is>
      </c>
      <c r="L1" s="1" t="inlineStr">
        <is>
          <t>Hinweis</t>
        </is>
      </c>
      <c r="M1" s="1" t="inlineStr">
        <is>
          <t>Prüfung OK?</t>
        </is>
      </c>
      <c r="N1" s="1" t="inlineStr">
        <is>
          <t>Korrektur</t>
        </is>
      </c>
    </row>
    <row r="2">
      <c r="A2" s="2" t="inlineStr">
        <is>
          <t>CY-Z01</t>
        </is>
      </c>
      <c r="B2" s="2" t="inlineStr">
        <is>
          <t>Unbefugter physischer Zugang zur Aufzugssteuerung</t>
        </is>
      </c>
      <c r="C2" s="2" t="inlineStr">
        <is>
          <t>Zugang und Zugriff</t>
        </is>
      </c>
      <c r="D2" s="2" t="inlineStr">
        <is>
          <t>CY-Z01-R1</t>
        </is>
      </c>
      <c r="E2" s="2" t="n">
        <v>300</v>
      </c>
      <c r="F2" s="2" t="inlineStr">
        <is>
          <t>(2.1 Ist die Aufzugssteuerung (Steuerschrank, Bedien-/Serviceeinheit) für Unbefugte frei zugänglich? = Ja UND 2.4 Sind die Service- und Programmierschnittstellen (Serviceanschluss, USB, Speicherkarte, Diagnosestecker) gegen unbefugte Nutzung gesichert (verschlossene Abdeckung, Freigabe nur mit Schlüssel/Code)? = Nein)</t>
        </is>
      </c>
      <c r="G2" s="2" t="inlineStr">
        <is>
          <t>Hoch</t>
        </is>
      </c>
      <c r="H2" s="2" t="inlineStr">
        <is>
          <t>INFERRED</t>
        </is>
      </c>
      <c r="I2" s="2" t="inlineStr"/>
      <c r="J2" s="2" t="inlineStr">
        <is>
          <t>Steuerschrank verschließen bzw. Zugang beschränken; Service- und Programmierschnittstellen sofort gegen Nutzung sichern</t>
        </is>
      </c>
      <c r="K2" s="2" t="inlineStr">
        <is>
          <t>Verschließeinrichtung nachrüsten; Zugangskontrolle (Hardware) nach TRBS 1115-1 festlegen und dokumentieren</t>
        </is>
      </c>
      <c r="L2" s="2" t="inlineStr">
        <is>
          <t>Entschieden 2026-09-03: K-C12.</t>
        </is>
      </c>
      <c r="M2" s="3" t="n"/>
      <c r="N2" s="3" t="n"/>
    </row>
    <row r="3">
      <c r="A3" s="4" t="inlineStr">
        <is>
          <t>CY-Z01</t>
        </is>
      </c>
      <c r="B3" s="4" t="inlineStr">
        <is>
          <t>Unbefugter physischer Zugang zur Aufzugssteuerung</t>
        </is>
      </c>
      <c r="C3" s="4" t="inlineStr">
        <is>
          <t>Zugang und Zugriff</t>
        </is>
      </c>
      <c r="D3" s="4" t="inlineStr">
        <is>
          <t>CY-Z01-R2</t>
        </is>
      </c>
      <c r="E3" s="4" t="n">
        <v>250</v>
      </c>
      <c r="F3" s="4" t="inlineStr">
        <is>
          <t>2.1 Ist die Aufzugssteuerung (Steuerschrank, Bedien-/Serviceeinheit) für Unbefugte frei zugänglich? = Ja</t>
        </is>
      </c>
      <c r="G3" s="4" t="inlineStr">
        <is>
          <t>Mittel</t>
        </is>
      </c>
      <c r="H3" s="4" t="inlineStr">
        <is>
          <t>HIGH_CONFIDENCE</t>
        </is>
      </c>
      <c r="I3" s="4" t="inlineStr"/>
      <c r="J3" s="4" t="inlineStr">
        <is>
          <t>Zugang zur Steuerung auf Berechtigte beschränken (Schloss, Schlüsselregelung)</t>
        </is>
      </c>
      <c r="K3" s="4" t="inlineStr">
        <is>
          <t>Geeignete Verschließeinrichtung nachrüsten und Schlüsselverwaltung festlegen</t>
        </is>
      </c>
      <c r="L3" s="4" t="inlineStr">
        <is>
          <t>Entspricht dem beobachteten Ergebnis Schindler MC1 (Mittel). Entschieden 2026-09-03: K-C12.</t>
        </is>
      </c>
      <c r="M3" s="3" t="n"/>
      <c r="N3" s="3" t="n"/>
    </row>
    <row r="4">
      <c r="A4" s="2" t="inlineStr">
        <is>
          <t>CY-Z01</t>
        </is>
      </c>
      <c r="B4" s="2" t="inlineStr">
        <is>
          <t>Unbefugter physischer Zugang zur Aufzugssteuerung</t>
        </is>
      </c>
      <c r="C4" s="2" t="inlineStr">
        <is>
          <t>Zugang und Zugriff</t>
        </is>
      </c>
      <c r="D4" s="2" t="inlineStr">
        <is>
          <t>CY-Z01-R3</t>
        </is>
      </c>
      <c r="E4" s="2" t="n">
        <v>200</v>
      </c>
      <c r="F4" s="2" t="inlineStr">
        <is>
          <t>2.4 Sind die Service- und Programmierschnittstellen (Serviceanschluss, USB, Speicherkarte, Diagnosestecker) gegen unbefugte Nutzung gesichert (verschlossene Abdeckung, Freigabe nur mit Schlüssel/Code)? = Nein</t>
        </is>
      </c>
      <c r="G4" s="2" t="inlineStr">
        <is>
          <t>Niedrig</t>
        </is>
      </c>
      <c r="H4" s="2" t="inlineStr">
        <is>
          <t>INFERRED</t>
        </is>
      </c>
      <c r="I4" s="2" t="inlineStr"/>
      <c r="J4" s="2" t="inlineStr">
        <is>
          <t>Serviceschnittstellen abdecken/verschließen oder Freigabe nur mit Schlüssel/Code</t>
        </is>
      </c>
      <c r="K4" s="2" t="inlineStr">
        <is>
          <t>Zugangskontrolle (Hardware) für Service- und Programmierzugänge dauerhaft festlegen</t>
        </is>
      </c>
      <c r="L4" s="2" t="inlineStr">
        <is>
          <t>Freigegeben 2026-09-03.</t>
        </is>
      </c>
      <c r="M4" s="3" t="n"/>
      <c r="N4" s="3" t="n"/>
    </row>
    <row r="5">
      <c r="A5" s="4" t="inlineStr">
        <is>
          <t>CY-Z01</t>
        </is>
      </c>
      <c r="B5" s="4" t="inlineStr">
        <is>
          <t>Unbefugter physischer Zugang zur Aufzugssteuerung</t>
        </is>
      </c>
      <c r="C5" s="4" t="inlineStr">
        <is>
          <t>Zugang und Zugriff</t>
        </is>
      </c>
      <c r="D5" s="4" t="inlineStr">
        <is>
          <t>CY-Z01-R4</t>
        </is>
      </c>
      <c r="E5" s="4" t="n">
        <v>1</v>
      </c>
      <c r="F5" s="4" t="inlineStr">
        <is>
          <t>2.1 Ist die Aufzugssteuerung (Steuerschrank, Bedien-/Serviceeinheit) für Unbefugte frei zugänglich? beantwortet</t>
        </is>
      </c>
      <c r="G5" s="4" t="inlineStr">
        <is>
          <t>Kein Risiko</t>
        </is>
      </c>
      <c r="H5" s="4" t="inlineStr">
        <is>
          <t>HIGH_CONFIDENCE</t>
        </is>
      </c>
      <c r="I5" s="4" t="inlineStr"/>
      <c r="J5" s="4" t="inlineStr">
        <is>
          <t>Zustand erhalten; bei der wiederkehrenden Prüfung und der Betreiberkontrolle erneut prüfen</t>
        </is>
      </c>
      <c r="K5" s="4" t="inlineStr"/>
      <c r="L5" s="4" t="inlineStr">
        <is>
          <t>Kein Risiko: keine Mangelregel trifft zu, alle Pflichtfragen beantwortet. Freigegeben 2026-09-03.</t>
        </is>
      </c>
      <c r="M5" s="3" t="n"/>
      <c r="N5" s="3" t="n"/>
    </row>
    <row r="6">
      <c r="A6" s="2" t="inlineStr">
        <is>
          <t>CY-Z04</t>
        </is>
      </c>
      <c r="B6" s="2" t="inlineStr">
        <is>
          <t>Unzureichende logische Zugangskontrolle (Werkszugangsdaten, fehlende Rollen)</t>
        </is>
      </c>
      <c r="C6" s="2" t="inlineStr">
        <is>
          <t>Zugang und Zugriff</t>
        </is>
      </c>
      <c r="D6" s="2" t="inlineStr">
        <is>
          <t>CY-Z04-R1</t>
        </is>
      </c>
      <c r="E6" s="2" t="n">
        <v>300</v>
      </c>
      <c r="F6" s="2" t="inlineStr">
        <is>
          <t>(2.5 Werden Standard-/Werkszugangsdaten (Passwörter, PINs, Servicecodes) verwendet? = Ja UND 1.5 Anlage mit Netzwerk- oder Internetanbindung (Fernüberwachung, Fernwartung, Gateway/Router/Modem, Gebäudeleittechnik)? = Ja)</t>
        </is>
      </c>
      <c r="G6" s="2" t="inlineStr">
        <is>
          <t>Hoch</t>
        </is>
      </c>
      <c r="H6" s="2" t="inlineStr">
        <is>
          <t>INFERRED</t>
        </is>
      </c>
      <c r="I6" s="2" t="inlineStr"/>
      <c r="J6" s="2" t="inlineStr">
        <is>
          <t>Werkszugangsdaten unverzüglich ändern; Fernzugänge bis dahin deaktivieren</t>
        </is>
      </c>
      <c r="K6" s="2" t="inlineStr">
        <is>
          <t>Passwort-/Berechtigungskonzept (Zugangskontrolle Software) mit individuellen Zugängen einführen</t>
        </is>
      </c>
      <c r="L6" s="2" t="inlineStr">
        <is>
          <t>Entschieden 2026-09-03: K-C13.</t>
        </is>
      </c>
      <c r="M6" s="3" t="n"/>
      <c r="N6" s="3" t="n"/>
    </row>
    <row r="7">
      <c r="A7" s="4" t="inlineStr">
        <is>
          <t>CY-Z04</t>
        </is>
      </c>
      <c r="B7" s="4" t="inlineStr">
        <is>
          <t>Unzureichende logische Zugangskontrolle (Werkszugangsdaten, fehlende Rollen)</t>
        </is>
      </c>
      <c r="C7" s="4" t="inlineStr">
        <is>
          <t>Zugang und Zugriff</t>
        </is>
      </c>
      <c r="D7" s="4" t="inlineStr">
        <is>
          <t>CY-Z04-R2</t>
        </is>
      </c>
      <c r="E7" s="4" t="n">
        <v>250</v>
      </c>
      <c r="F7" s="4" t="inlineStr">
        <is>
          <t>2.5 Werden Standard-/Werkszugangsdaten (Passwörter, PINs, Servicecodes) verwendet? = Ja</t>
        </is>
      </c>
      <c r="G7" s="4" t="inlineStr">
        <is>
          <t>Mittel</t>
        </is>
      </c>
      <c r="H7" s="4" t="inlineStr">
        <is>
          <t>INFERRED</t>
        </is>
      </c>
      <c r="I7" s="4" t="inlineStr"/>
      <c r="J7" s="4" t="inlineStr">
        <is>
          <t>Werkszugangsdaten ändern und sicher verwahren</t>
        </is>
      </c>
      <c r="K7" s="4" t="inlineStr">
        <is>
          <t>Passwort-/Berechtigungskonzept einführen und Wechsel bei Personal- oder Firmenwechsel festlegen</t>
        </is>
      </c>
      <c r="L7" s="4" t="inlineStr">
        <is>
          <t>Entschieden 2026-09-03: K-C13.</t>
        </is>
      </c>
      <c r="M7" s="3" t="n"/>
      <c r="N7" s="3" t="n"/>
    </row>
    <row r="8">
      <c r="A8" s="2" t="inlineStr">
        <is>
          <t>CY-Z04</t>
        </is>
      </c>
      <c r="B8" s="2" t="inlineStr">
        <is>
          <t>Unzureichende logische Zugangskontrolle (Werkszugangsdaten, fehlende Rollen)</t>
        </is>
      </c>
      <c r="C8" s="2" t="inlineStr">
        <is>
          <t>Zugang und Zugriff</t>
        </is>
      </c>
      <c r="D8" s="2" t="inlineStr">
        <is>
          <t>CY-Z04-R3</t>
        </is>
      </c>
      <c r="E8" s="2" t="n">
        <v>220</v>
      </c>
      <c r="F8" s="2" t="inlineStr">
        <is>
          <t>2.5a Sind dem Betreiber die Zugangsdaten der Anlage bekannt und liegen sie gesichert vor (Übergabe durch Hersteller/Wartungsfirma dokumentiert)? = Nein</t>
        </is>
      </c>
      <c r="G8" s="2" t="inlineStr">
        <is>
          <t>Mittel</t>
        </is>
      </c>
      <c r="H8" s="2" t="inlineStr">
        <is>
          <t>INFERRED</t>
        </is>
      </c>
      <c r="I8" s="2" t="inlineStr"/>
      <c r="J8" s="2" t="inlineStr">
        <is>
          <t>Zugangsdaten bei Hersteller und Wartungsfirma anfordern und gesichert hinterlegen (Passwortverwaltung des Betreibers)</t>
        </is>
      </c>
      <c r="K8" s="2" t="inlineStr">
        <is>
          <t>Übergabe der Zugangsdaten vertraglich regeln; Zugänge des Betreibers bei jedem Firmenwechsel prüfen und erneuern</t>
        </is>
      </c>
      <c r="L8" s="2" t="inlineStr">
        <is>
          <t>Prüfbericht 20.09.2026: aus der bisherigen Doppelfrage 2.5 herausgelöst – „Zugangsdaten nicht bekannt" ist nicht mit „Werkszugangsdaten ändern" zu beheben und brauchte eine eigene Maßnahme. Freigegeben 2026-09-03.</t>
        </is>
      </c>
      <c r="M8" s="3" t="n"/>
      <c r="N8" s="3" t="n"/>
    </row>
    <row r="9">
      <c r="A9" s="4" t="inlineStr">
        <is>
          <t>CY-Z04</t>
        </is>
      </c>
      <c r="B9" s="4" t="inlineStr">
        <is>
          <t>Unzureichende logische Zugangskontrolle (Werkszugangsdaten, fehlende Rollen)</t>
        </is>
      </c>
      <c r="C9" s="4" t="inlineStr">
        <is>
          <t>Zugang und Zugriff</t>
        </is>
      </c>
      <c r="D9" s="4" t="inlineStr">
        <is>
          <t>CY-Z04-R4</t>
        </is>
      </c>
      <c r="E9" s="4" t="n">
        <v>200</v>
      </c>
      <c r="F9" s="4" t="inlineStr">
        <is>
          <t>2.6 Sind Zugriffsrechte rollenbasiert vergeben (Betreiber, Wartungsfirma, Hersteller) und werden sie bei Personal- oder Firmenwechsel entzogen? = Nein</t>
        </is>
      </c>
      <c r="G9" s="4" t="inlineStr">
        <is>
          <t>Niedrig</t>
        </is>
      </c>
      <c r="H9" s="4" t="inlineStr">
        <is>
          <t>INFERRED</t>
        </is>
      </c>
      <c r="I9" s="4" t="inlineStr"/>
      <c r="J9" s="4" t="inlineStr">
        <is>
          <t>Zugriffsrechte prüfen und nicht mehr benötigte Zugänge entziehen</t>
        </is>
      </c>
      <c r="K9" s="4" t="inlineStr">
        <is>
          <t>Rollenkonzept (Betreiber, Wartung, Hersteller) mit Entzug bei Wechsel festlegen</t>
        </is>
      </c>
      <c r="L9" s="4" t="inlineStr">
        <is>
          <t>Freigegeben 2026-09-03.</t>
        </is>
      </c>
      <c r="M9" s="3" t="n"/>
      <c r="N9" s="3" t="n"/>
    </row>
    <row r="10">
      <c r="A10" s="2" t="inlineStr">
        <is>
          <t>CY-Z04</t>
        </is>
      </c>
      <c r="B10" s="2" t="inlineStr">
        <is>
          <t>Unzureichende logische Zugangskontrolle (Werkszugangsdaten, fehlende Rollen)</t>
        </is>
      </c>
      <c r="C10" s="2" t="inlineStr">
        <is>
          <t>Zugang und Zugriff</t>
        </is>
      </c>
      <c r="D10" s="2" t="inlineStr">
        <is>
          <t>CY-Z04-R5</t>
        </is>
      </c>
      <c r="E10" s="2" t="n">
        <v>1</v>
      </c>
      <c r="F10" s="2" t="inlineStr">
        <is>
          <t>2.5 Werden Standard-/Werkszugangsdaten (Passwörter, PINs, Servicecodes) verwendet? beantwortet</t>
        </is>
      </c>
      <c r="G10" s="2" t="inlineStr">
        <is>
          <t>Kein Risiko</t>
        </is>
      </c>
      <c r="H10" s="2" t="inlineStr">
        <is>
          <t>HIGH_CONFIDENCE</t>
        </is>
      </c>
      <c r="I10" s="2" t="inlineStr"/>
      <c r="J10" s="2" t="inlineStr">
        <is>
          <t>Zustand erhalten; bei der wiederkehrenden Prüfung und der Betreiberkontrolle erneut prüfen</t>
        </is>
      </c>
      <c r="K10" s="2" t="inlineStr"/>
      <c r="L10" s="2" t="inlineStr">
        <is>
          <t>Kein Risiko: keine Mangelregel trifft zu, alle Pflichtfragen beantwortet. Freigegeben 2026-09-20.</t>
        </is>
      </c>
      <c r="M10" s="3" t="n"/>
      <c r="N10" s="3" t="n"/>
    </row>
    <row r="11">
      <c r="A11" s="4" t="inlineStr">
        <is>
          <t>CY-Z05</t>
        </is>
      </c>
      <c r="B11" s="4" t="inlineStr">
        <is>
          <t>Ungeregelte Servicegeräte und Wechseldatenträger</t>
        </is>
      </c>
      <c r="C11" s="4" t="inlineStr">
        <is>
          <t>Härtung und Servicegeräte</t>
        </is>
      </c>
      <c r="D11" s="4" t="inlineStr">
        <is>
          <t>CY-Z05-R1</t>
        </is>
      </c>
      <c r="E11" s="4" t="n">
        <v>250</v>
      </c>
      <c r="F11" s="4" t="inlineStr">
        <is>
          <t>2.7 Ist geregelt, welche Servicegeräte, Laptops und Wechseldatenträger an die Anlage angeschlossen werden dürfen (nur freigegebene, geprüfte Geräte; kein privater Datenträger)? = Nein</t>
        </is>
      </c>
      <c r="G11" s="4" t="inlineStr">
        <is>
          <t>Mittel</t>
        </is>
      </c>
      <c r="H11" s="4" t="inlineStr">
        <is>
          <t>INFERRED</t>
        </is>
      </c>
      <c r="I11" s="4" t="inlineStr"/>
      <c r="J11" s="4" t="inlineStr">
        <is>
          <t>Anschluss privater oder ungeprüfter Geräte und Datenträger untersagen</t>
        </is>
      </c>
      <c r="K11" s="4" t="inlineStr">
        <is>
          <t>Freigabeliste für Servicegeräte und Datenträger mit der Wartungsfirma vereinbaren (Härtung nach TRBS 1115-1)</t>
        </is>
      </c>
      <c r="L11" s="4" t="inlineStr">
        <is>
          <t>Freigegeben 2026-09-03.</t>
        </is>
      </c>
      <c r="M11" s="3" t="n"/>
      <c r="N11" s="3" t="n"/>
    </row>
    <row r="12">
      <c r="A12" s="2" t="inlineStr">
        <is>
          <t>CY-Z05</t>
        </is>
      </c>
      <c r="B12" s="2" t="inlineStr">
        <is>
          <t>Ungeregelte Servicegeräte und Wechseldatenträger</t>
        </is>
      </c>
      <c r="C12" s="2" t="inlineStr">
        <is>
          <t>Härtung und Servicegeräte</t>
        </is>
      </c>
      <c r="D12" s="2" t="inlineStr">
        <is>
          <t>CY-Z05-R2</t>
        </is>
      </c>
      <c r="E12" s="2" t="n">
        <v>1</v>
      </c>
      <c r="F12" s="2" t="inlineStr">
        <is>
          <t>2.7 Ist geregelt, welche Servicegeräte, Laptops und Wechseldatenträger an die Anlage angeschlossen werden dürfen (nur freigegebene, geprüfte Geräte; kein privater Datenträger)? beantwortet</t>
        </is>
      </c>
      <c r="G12" s="2" t="inlineStr">
        <is>
          <t>Kein Risiko</t>
        </is>
      </c>
      <c r="H12" s="2" t="inlineStr">
        <is>
          <t>HIGH_CONFIDENCE</t>
        </is>
      </c>
      <c r="I12" s="2" t="inlineStr"/>
      <c r="J12" s="2" t="inlineStr">
        <is>
          <t>Zustand erhalten; bei der wiederkehrenden Prüfung und der Betreiberkontrolle erneut prüfen</t>
        </is>
      </c>
      <c r="K12" s="2" t="inlineStr"/>
      <c r="L12" s="2" t="inlineStr">
        <is>
          <t>Kein Risiko: keine Mangelregel trifft zu, alle Pflichtfragen beantwortet. Freigegeben 2026-09-03.</t>
        </is>
      </c>
      <c r="M12" s="3" t="n"/>
      <c r="N12" s="3" t="n"/>
    </row>
    <row r="13">
      <c r="A13" s="4" t="inlineStr">
        <is>
          <t>CY-N01</t>
        </is>
      </c>
      <c r="B13" s="4" t="inlineStr">
        <is>
          <t>Unbekannte oder ungepatchte Schwachstellen (Softwarestand)</t>
        </is>
      </c>
      <c r="C13" s="4" t="inlineStr">
        <is>
          <t>Härtung und Servicegeräte</t>
        </is>
      </c>
      <c r="D13" s="4" t="inlineStr">
        <is>
          <t>CY-N01-R1</t>
        </is>
      </c>
      <c r="E13" s="4" t="n">
        <v>300</v>
      </c>
      <c r="F13" s="4" t="inlineStr">
        <is>
          <t>(4.5 Software-/Firmwarestand und bekannte Schwachstellen = „Stand bekannt, aber kein Verfahren für Updates/Schwachstellenhinweise" UND 1.5 Anlage mit Netzwerk- oder Internetanbindung (Fernüberwachung, Fernwartung, Gateway/Router/Modem, Gebäudeleittechnik)? = Ja)</t>
        </is>
      </c>
      <c r="G13" s="4" t="inlineStr">
        <is>
          <t>Hoch</t>
        </is>
      </c>
      <c r="H13" s="4" t="inlineStr">
        <is>
          <t>INFERRED</t>
        </is>
      </c>
      <c r="I13" s="4" t="inlineStr"/>
      <c r="J13" s="4" t="inlineStr">
        <is>
          <t>Bekannte Schwachstellen mit dem Hersteller abklären; Fernzugänge bis zur Klärung deaktivieren</t>
        </is>
      </c>
      <c r="K13" s="4" t="inlineStr">
        <is>
          <t>Update- und Schwachstellenverfahren mit Hersteller und Wartungsfirma vertraglich festlegen</t>
        </is>
      </c>
      <c r="L13" s="4" t="inlineStr">
        <is>
          <t>Freigegeben 2026-09-03.</t>
        </is>
      </c>
      <c r="M13" s="3" t="n"/>
      <c r="N13" s="3" t="n"/>
    </row>
    <row r="14">
      <c r="A14" s="2" t="inlineStr">
        <is>
          <t>CY-N01</t>
        </is>
      </c>
      <c r="B14" s="2" t="inlineStr">
        <is>
          <t>Unbekannte oder ungepatchte Schwachstellen (Softwarestand)</t>
        </is>
      </c>
      <c r="C14" s="2" t="inlineStr">
        <is>
          <t>Härtung und Servicegeräte</t>
        </is>
      </c>
      <c r="D14" s="2" t="inlineStr">
        <is>
          <t>CY-N01-R2</t>
        </is>
      </c>
      <c r="E14" s="2" t="n">
        <v>250</v>
      </c>
      <c r="F14" s="2" t="inlineStr">
        <is>
          <t>4.5 Software-/Firmwarestand und bekannte Schwachstellen = „Stand bekannt, aber kein Verfahren für Updates/Schwachstellenhinweise"</t>
        </is>
      </c>
      <c r="G14" s="2" t="inlineStr">
        <is>
          <t>Mittel</t>
        </is>
      </c>
      <c r="H14" s="2" t="inlineStr">
        <is>
          <t>INFERRED</t>
        </is>
      </c>
      <c r="I14" s="2" t="inlineStr"/>
      <c r="J14" s="2" t="inlineStr">
        <is>
          <t>Herstellerhinweise zu Schwachstellen einholen und bewerten</t>
        </is>
      </c>
      <c r="K14" s="2" t="inlineStr">
        <is>
          <t>Update- und Schwachstellenverfahren festlegen (Zuständigkeit, Fristen)</t>
        </is>
      </c>
      <c r="L14" s="2" t="inlineStr">
        <is>
          <t>Freigegeben 2026-09-03.</t>
        </is>
      </c>
      <c r="M14" s="3" t="n"/>
      <c r="N14" s="3" t="n"/>
    </row>
    <row r="15">
      <c r="A15" s="4" t="inlineStr">
        <is>
          <t>CY-N01</t>
        </is>
      </c>
      <c r="B15" s="4" t="inlineStr">
        <is>
          <t>Unbekannte oder ungepatchte Schwachstellen (Softwarestand)</t>
        </is>
      </c>
      <c r="C15" s="4" t="inlineStr">
        <is>
          <t>Härtung und Servicegeräte</t>
        </is>
      </c>
      <c r="D15" s="4" t="inlineStr">
        <is>
          <t>CY-N01-R3</t>
        </is>
      </c>
      <c r="E15" s="4" t="n">
        <v>245</v>
      </c>
      <c r="F15" s="4" t="inlineStr">
        <is>
          <t>(4.5 Software-/Firmwarestand und bekannte Schwachstellen = „Stand nicht bekannt / nicht dokumentiert" UND 1.5 Anlage mit Netzwerk- oder Internetanbindung (Fernüberwachung, Fernwartung, Gateway/Router/Modem, Gebäudeleittechnik)? = Ja)</t>
        </is>
      </c>
      <c r="G15" s="4" t="inlineStr">
        <is>
          <t>Hoch</t>
        </is>
      </c>
      <c r="H15" s="4" t="inlineStr">
        <is>
          <t>INFERRED</t>
        </is>
      </c>
      <c r="I15" s="4" t="inlineStr"/>
      <c r="J15" s="4" t="inlineStr">
        <is>
          <t>Software-/Firmwarestände aller programmierbaren Komponenten erfassen; Fernzugänge bis zur Klärung deaktivieren</t>
        </is>
      </c>
      <c r="K15" s="4" t="inlineStr">
        <is>
          <t>Versionsdokumentation einführen und mit Herstellerhinweisen abgleichen</t>
        </is>
      </c>
      <c r="L15" s="4" t="inlineStr">
        <is>
          <t>Prüfbericht 20.09.2026: Wer den Stand nicht kennt, kann auch kein Schwachstellenverfahren führen – der Fall darf nicht günstiger bewertet werden als „Stand bekannt, aber kein Verfahren" (vorher Niedrig). Entschieden 2026-09-03: K-C14.</t>
        </is>
      </c>
      <c r="M15" s="3" t="n"/>
      <c r="N15" s="3" t="n"/>
    </row>
    <row r="16">
      <c r="A16" s="2" t="inlineStr">
        <is>
          <t>CY-N01</t>
        </is>
      </c>
      <c r="B16" s="2" t="inlineStr">
        <is>
          <t>Unbekannte oder ungepatchte Schwachstellen (Softwarestand)</t>
        </is>
      </c>
      <c r="C16" s="2" t="inlineStr">
        <is>
          <t>Härtung und Servicegeräte</t>
        </is>
      </c>
      <c r="D16" s="2" t="inlineStr">
        <is>
          <t>CY-N01-R4</t>
        </is>
      </c>
      <c r="E16" s="2" t="n">
        <v>240</v>
      </c>
      <c r="F16" s="2" t="inlineStr">
        <is>
          <t>4.5 Software-/Firmwarestand und bekannte Schwachstellen = „Stand nicht bekannt / nicht dokumentiert"</t>
        </is>
      </c>
      <c r="G16" s="2" t="inlineStr">
        <is>
          <t>Mittel</t>
        </is>
      </c>
      <c r="H16" s="2" t="inlineStr">
        <is>
          <t>INFERRED</t>
        </is>
      </c>
      <c r="I16" s="2" t="inlineStr"/>
      <c r="J16" s="2" t="inlineStr">
        <is>
          <t>Software-/Firmwarestände aller programmierbaren Komponenten erfassen</t>
        </is>
      </c>
      <c r="K16" s="2" t="inlineStr">
        <is>
          <t>Versionsdokumentation einführen und mit Herstellerhinweisen abgleichen</t>
        </is>
      </c>
      <c r="L16" s="2" t="inlineStr">
        <is>
          <t>Prüfbericht 20.09.2026: Niedrig auf Mittel – entspricht jetzt dem Vorschlag der Klärung K-C14 („Mittel"), die Umsetzung stand auf Niedrig. Entschieden 2026-09-03: K-C14.</t>
        </is>
      </c>
      <c r="M16" s="3" t="n"/>
      <c r="N16" s="3" t="n"/>
    </row>
    <row r="17">
      <c r="A17" s="4" t="inlineStr">
        <is>
          <t>CY-N01</t>
        </is>
      </c>
      <c r="B17" s="4" t="inlineStr">
        <is>
          <t>Unbekannte oder ungepatchte Schwachstellen (Softwarestand)</t>
        </is>
      </c>
      <c r="C17" s="4" t="inlineStr">
        <is>
          <t>Härtung und Servicegeräte</t>
        </is>
      </c>
      <c r="D17" s="4" t="inlineStr">
        <is>
          <t>CY-N01-R5</t>
        </is>
      </c>
      <c r="E17" s="4" t="n">
        <v>1</v>
      </c>
      <c r="F17" s="4" t="inlineStr">
        <is>
          <t>4.5 Software-/Firmwarestand und bekannte Schwachstellen beantwortet</t>
        </is>
      </c>
      <c r="G17" s="4" t="inlineStr">
        <is>
          <t>Kein Risiko</t>
        </is>
      </c>
      <c r="H17" s="4" t="inlineStr">
        <is>
          <t>HIGH_CONFIDENCE</t>
        </is>
      </c>
      <c r="I17" s="4" t="inlineStr"/>
      <c r="J17" s="4" t="inlineStr">
        <is>
          <t>Zustand erhalten; bei der wiederkehrenden Prüfung und der Betreiberkontrolle erneut prüfen</t>
        </is>
      </c>
      <c r="K17" s="4" t="inlineStr"/>
      <c r="L17" s="4" t="inlineStr">
        <is>
          <t>Kein Risiko: keine Mangelregel trifft zu, alle Pflichtfragen beantwortet. Freigegeben 2026-09-20.</t>
        </is>
      </c>
      <c r="M17" s="3" t="n"/>
      <c r="N17" s="3" t="n"/>
    </row>
    <row r="18">
      <c r="A18" s="2" t="inlineStr">
        <is>
          <t>CY-N02</t>
        </is>
      </c>
      <c r="B18" s="2" t="inlineStr">
        <is>
          <t>Fehlende Härtung: nicht benötigte Funktionen und Schnittstellen aktiv</t>
        </is>
      </c>
      <c r="C18" s="2" t="inlineStr">
        <is>
          <t>Härtung und Servicegeräte</t>
        </is>
      </c>
      <c r="D18" s="2" t="inlineStr">
        <is>
          <t>CY-N02-R1</t>
        </is>
      </c>
      <c r="E18" s="2" t="n">
        <v>300</v>
      </c>
      <c r="F18" s="2" t="inlineStr">
        <is>
          <t>(4.6 Sind nicht benötigte Funktionen, Ports, Dienste und Schnittstellen deaktiviert (Funktionsreduzierung)? = Nein UND 1.5 Anlage mit Netzwerk- oder Internetanbindung (Fernüberwachung, Fernwartung, Gateway/Router/Modem, Gebäudeleittechnik)? = Ja)</t>
        </is>
      </c>
      <c r="G18" s="2" t="inlineStr">
        <is>
          <t>Mittel</t>
        </is>
      </c>
      <c r="H18" s="2" t="inlineStr">
        <is>
          <t>INFERRED</t>
        </is>
      </c>
      <c r="I18" s="2" t="inlineStr"/>
      <c r="J18" s="2" t="inlineStr">
        <is>
          <t>Nicht benötigte Netzdienste, Ports und Fernfunktionen deaktivieren</t>
        </is>
      </c>
      <c r="K18" s="2" t="inlineStr">
        <is>
          <t>Funktionsumfang je Komponente festlegen und dokumentieren (Funktionsreduzierung nach TRBS 1115-1)</t>
        </is>
      </c>
      <c r="L18" s="2" t="inlineStr">
        <is>
          <t>Entschieden 2026-09-03: K-C22.</t>
        </is>
      </c>
      <c r="M18" s="3" t="n"/>
      <c r="N18" s="3" t="n"/>
    </row>
    <row r="19">
      <c r="A19" s="4" t="inlineStr">
        <is>
          <t>CY-N02</t>
        </is>
      </c>
      <c r="B19" s="4" t="inlineStr">
        <is>
          <t>Fehlende Härtung: nicht benötigte Funktionen und Schnittstellen aktiv</t>
        </is>
      </c>
      <c r="C19" s="4" t="inlineStr">
        <is>
          <t>Härtung und Servicegeräte</t>
        </is>
      </c>
      <c r="D19" s="4" t="inlineStr">
        <is>
          <t>CY-N02-R2</t>
        </is>
      </c>
      <c r="E19" s="4" t="n">
        <v>250</v>
      </c>
      <c r="F19" s="4" t="inlineStr">
        <is>
          <t>4.6 Sind nicht benötigte Funktionen, Ports, Dienste und Schnittstellen deaktiviert (Funktionsreduzierung)? = Nein</t>
        </is>
      </c>
      <c r="G19" s="4" t="inlineStr">
        <is>
          <t>Niedrig</t>
        </is>
      </c>
      <c r="H19" s="4" t="inlineStr">
        <is>
          <t>INFERRED</t>
        </is>
      </c>
      <c r="I19" s="4" t="inlineStr"/>
      <c r="J19" s="4" t="inlineStr">
        <is>
          <t>Nicht benötigte lokale Schnittstellen und Funktionen deaktivieren</t>
        </is>
      </c>
      <c r="K19" s="4" t="inlineStr">
        <is>
          <t>Funktionsumfang je Komponente festlegen und dokumentieren</t>
        </is>
      </c>
      <c r="L19" s="4" t="inlineStr">
        <is>
          <t>Entschieden 2026-09-03: K-C22.</t>
        </is>
      </c>
      <c r="M19" s="3" t="n"/>
      <c r="N19" s="3" t="n"/>
    </row>
    <row r="20">
      <c r="A20" s="2" t="inlineStr">
        <is>
          <t>CY-N02</t>
        </is>
      </c>
      <c r="B20" s="2" t="inlineStr">
        <is>
          <t>Fehlende Härtung: nicht benötigte Funktionen und Schnittstellen aktiv</t>
        </is>
      </c>
      <c r="C20" s="2" t="inlineStr">
        <is>
          <t>Härtung und Servicegeräte</t>
        </is>
      </c>
      <c r="D20" s="2" t="inlineStr">
        <is>
          <t>CY-N02-R3</t>
        </is>
      </c>
      <c r="E20" s="2" t="n">
        <v>1</v>
      </c>
      <c r="F20" s="2" t="inlineStr">
        <is>
          <t>4.6 Sind nicht benötigte Funktionen, Ports, Dienste und Schnittstellen deaktiviert (Funktionsreduzierung)? beantwortet</t>
        </is>
      </c>
      <c r="G20" s="2" t="inlineStr">
        <is>
          <t>Kein Risiko</t>
        </is>
      </c>
      <c r="H20" s="2" t="inlineStr">
        <is>
          <t>HIGH_CONFIDENCE</t>
        </is>
      </c>
      <c r="I20" s="2" t="inlineStr"/>
      <c r="J20" s="2" t="inlineStr">
        <is>
          <t>Zustand erhalten; bei der wiederkehrenden Prüfung und der Betreiberkontrolle erneut prüfen</t>
        </is>
      </c>
      <c r="K20" s="2" t="inlineStr"/>
      <c r="L20" s="2" t="inlineStr">
        <is>
          <t>Kein Risiko: keine Mangelregel trifft zu, alle Pflichtfragen beantwortet. Freigegeben 2026-09-03.</t>
        </is>
      </c>
      <c r="M20" s="3" t="n"/>
      <c r="N20" s="3" t="n"/>
    </row>
    <row r="21">
      <c r="A21" s="4" t="inlineStr">
        <is>
          <t>CY-C01</t>
        </is>
      </c>
      <c r="B21" s="4" t="inlineStr">
        <is>
          <t>Manipulation oder Ausfall: Aufzugssteuerung</t>
        </is>
      </c>
      <c r="C21" s="4" t="inlineStr">
        <is>
          <t>Steuerung und Sicherheitslogik</t>
        </is>
      </c>
      <c r="D21" s="4" t="inlineStr">
        <is>
          <t>CY-C01-R1</t>
        </is>
      </c>
      <c r="E21" s="4" t="n">
        <v>600</v>
      </c>
      <c r="F21" s="4" t="inlineStr">
        <is>
          <t>3.1.2 Höchste vorhandene Schnittstellenkategorie der Komponente „Aufzugssteuerung" = „Keine bzw. nicht programmierbare Schnittstelle"</t>
        </is>
      </c>
      <c r="G21" s="4" t="inlineStr">
        <is>
          <t>Kein Risiko</t>
        </is>
      </c>
      <c r="H21" s="4" t="inlineStr">
        <is>
          <t>HIGH_CONFIDENCE</t>
        </is>
      </c>
      <c r="I21" s="4" t="inlineStr"/>
      <c r="J21" s="4" t="inlineStr">
        <is>
          <t>Keine kompromittierbare Schnittstelle – Feststellung dokumentieren (Vorscreening nach BA-017); bei Nachrüstung erneut bewerten</t>
        </is>
      </c>
      <c r="K21" s="4" t="inlineStr"/>
      <c r="L21" s="4" t="inlineStr">
        <is>
          <t>Vorscreening: Betrachtung abgeschlossen. Entschieden 2026-09-03: K-C02.</t>
        </is>
      </c>
      <c r="M21" s="3" t="n"/>
      <c r="N21" s="3" t="n"/>
    </row>
    <row r="22">
      <c r="A22" s="2" t="inlineStr">
        <is>
          <t>CY-C01</t>
        </is>
      </c>
      <c r="B22" s="2" t="inlineStr">
        <is>
          <t>Manipulation oder Ausfall: Aufzugssteuerung</t>
        </is>
      </c>
      <c r="C22" s="2" t="inlineStr">
        <is>
          <t>Steuerung und Sicherheitslogik</t>
        </is>
      </c>
      <c r="D22" s="2" t="inlineStr">
        <is>
          <t>CY-C01-R2</t>
        </is>
      </c>
      <c r="E22" s="2" t="n">
        <v>520</v>
      </c>
      <c r="F22" s="2" t="inlineStr">
        <is>
          <t>(3.1.4 Bleibt der Sicherheitskreis (Türkontakte, Endschalter, Fang-/Begrenzerkontakte) bei Manipulation der Steuerung durch eine unabhängige elektromechanische Kette wirksam? = Ja UND (3.1.2 Höchste vorhandene Schnittstellenkategorie der Komponente „Aufzugssteuerung" in [„Kabellos im Nahbereich (WLAN, Bluetooth, NFC, Mobilfunk/SIM)", „Fernzugriff (Internet/Cloud, Hersteller-Fernzugriff, Service-App)"] UND 3.1.3 Schutzmaßnahmen nach TRBS 1115-1 für „Aufzugssteuerung" ≠ „Festgelegt, umgesetzt und Wirksamkeit nachgewiesen (TRBS 1115-1 Abschn. 5)"))</t>
        </is>
      </c>
      <c r="G22" s="2" t="inlineStr">
        <is>
          <t>Mittel</t>
        </is>
      </c>
      <c r="H22" s="2" t="inlineStr">
        <is>
          <t>INFERRED</t>
        </is>
      </c>
      <c r="I22" s="2" t="inlineStr"/>
      <c r="J22" s="2" t="inlineStr">
        <is>
          <t>Fern-/Funkzugang der Komponente bis zur Umsetzung der Maßnahmen deaktivieren; unabhängige Sicherheitseinrichtung bei jeder Prüfung mitprüfen</t>
        </is>
      </c>
      <c r="K22" s="2" t="inlineStr">
        <is>
          <t>Zugang zu Schnittstellen vor Unbefugten schützen; nicht benötigte Schnittstellen deaktivieren; Parameteränderungen dokumentieren. Wirksamkeit nachweisen (TRBS 1115-1 Abschn. 5).</t>
        </is>
      </c>
      <c r="L22" s="2" t="inlineStr">
        <is>
          <t>Entschieden 2026-09-03: K-C08.</t>
        </is>
      </c>
      <c r="M22" s="3" t="n"/>
      <c r="N22" s="3" t="n"/>
    </row>
    <row r="23">
      <c r="A23" s="4" t="inlineStr">
        <is>
          <t>CY-C01</t>
        </is>
      </c>
      <c r="B23" s="4" t="inlineStr">
        <is>
          <t>Manipulation oder Ausfall: Aufzugssteuerung</t>
        </is>
      </c>
      <c r="C23" s="4" t="inlineStr">
        <is>
          <t>Steuerung und Sicherheitslogik</t>
        </is>
      </c>
      <c r="D23" s="4" t="inlineStr">
        <is>
          <t>CY-C01-R3</t>
        </is>
      </c>
      <c r="E23" s="4" t="n">
        <v>510</v>
      </c>
      <c r="F23" s="4" t="inlineStr">
        <is>
          <t>(3.1.4 Bleibt der Sicherheitskreis (Türkontakte, Endschalter, Fang-/Begrenzerkontakte) bei Manipulation der Steuerung durch eine unabhängige elektromechanische Kette wirksam? = Ja UND (3.1.2 Höchste vorhandene Schnittstellenkategorie der Komponente „Aufzugssteuerung" in [„Kabelgebunden, nur vor Ort (USB, RS232/485, CAN, Ethernet, Serviceanschluss, Speicherkarte)", „Benutzerschnittstelle (Bedienfeld, Eingabeterminal, Display mit Parametrierzugang)"] UND 3.1.3 Schutzmaßnahmen nach TRBS 1115-1 für „Aufzugssteuerung" = „Keine Schutzmaßnahmen festgelegt")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G23" s="4" t="inlineStr">
        <is>
          <t>Mittel</t>
        </is>
      </c>
      <c r="H23" s="4" t="inlineStr">
        <is>
          <t>INFERRED</t>
        </is>
      </c>
      <c r="I23" s="4" t="inlineStr"/>
      <c r="J23" s="4" t="inlineStr">
        <is>
          <t>Zugang zur Komponente sofort beschränken; Serviceschnittstellen sichern; unabhängige Sicherheitseinrichtung bei jeder Prüfung mitprüfen</t>
        </is>
      </c>
      <c r="K23" s="4" t="inlineStr">
        <is>
          <t>Zugang zu Schnittstellen vor Unbefugten schützen; nicht benötigte Schnittstellen deaktivieren; Parameteränderungen dokumentieren. Wirksamkeit nachweisen (TRBS 1115-1 Abschn. 5).</t>
        </is>
      </c>
      <c r="L23" s="4" t="inlineStr">
        <is>
          <t>Entschieden 2026-09-03: K-C08.</t>
        </is>
      </c>
      <c r="M23" s="3" t="n"/>
      <c r="N23" s="3" t="n"/>
    </row>
    <row r="24">
      <c r="A24" s="2" t="inlineStr">
        <is>
          <t>CY-C01</t>
        </is>
      </c>
      <c r="B24" s="2" t="inlineStr">
        <is>
          <t>Manipulation oder Ausfall: Aufzugssteuerung</t>
        </is>
      </c>
      <c r="C24" s="2" t="inlineStr">
        <is>
          <t>Steuerung und Sicherheitslogik</t>
        </is>
      </c>
      <c r="D24" s="2" t="inlineStr">
        <is>
          <t>CY-C01-R4</t>
        </is>
      </c>
      <c r="E24" s="2" t="n">
        <v>400</v>
      </c>
      <c r="F24" s="2" t="inlineStr">
        <is>
          <t>(3.1.2 Höchste vorhandene Schnittstellenkategorie der Komponente „Aufzugssteuerung" = „Fernzugriff (Internet/Cloud, Hersteller-Fernzugriff, Service-App)" UND 3.1.3 Schutzmaßnahmen nach TRBS 1115-1 für „Aufzugssteuerung" ≠ „Festgelegt, umgesetzt und Wirksamkeit nachgewiesen (TRBS 1115-1 Abschn. 5)")</t>
        </is>
      </c>
      <c r="G24" s="2" t="inlineStr">
        <is>
          <t>Hoch</t>
        </is>
      </c>
      <c r="H24" s="2" t="inlineStr">
        <is>
          <t>INFERRED</t>
        </is>
      </c>
      <c r="I24" s="2" t="inlineStr"/>
      <c r="J24" s="2" t="inlineStr">
        <is>
          <t>Fernzugang der Komponente „Aufzugssteuerung" deaktivieren oder physisch trennen, bis die Schutzmaßnahmen umgesetzt und nachgewiesen sind</t>
        </is>
      </c>
      <c r="K24" s="2" t="inlineStr">
        <is>
          <t>Zugang zu Schnittstellen vor Unbefugten schützen; nicht benötigte Schnittstellen deaktivieren; Parameteränderungen dokumentieren. Wirksamkeit nachweisen (TRBS 1115-1 Abschn. 5).</t>
        </is>
      </c>
      <c r="L24" s="2" t="inlineStr">
        <is>
          <t>Entschieden 2026-09-03: K-C01.</t>
        </is>
      </c>
      <c r="M24" s="3" t="n"/>
      <c r="N24" s="3" t="n"/>
    </row>
    <row r="25">
      <c r="A25" s="4" t="inlineStr">
        <is>
          <t>CY-C01</t>
        </is>
      </c>
      <c r="B25" s="4" t="inlineStr">
        <is>
          <t>Manipulation oder Ausfall: Aufzugssteuerung</t>
        </is>
      </c>
      <c r="C25" s="4" t="inlineStr">
        <is>
          <t>Steuerung und Sicherheitslogik</t>
        </is>
      </c>
      <c r="D25" s="4" t="inlineStr">
        <is>
          <t>CY-C01-R5</t>
        </is>
      </c>
      <c r="E25" s="4" t="n">
        <v>390</v>
      </c>
      <c r="F25" s="4" t="inlineStr">
        <is>
          <t>(3.1.2 Höchste vorhandene Schnittstellenkategorie der Komponente „Aufzugssteuerung" = „Kabellos im Nahbereich (WLAN, Bluetooth, NFC, Mobilfunk/SIM)" UND 3.1.3 Schutzmaßnahmen nach TRBS 1115-1 für „Aufzugssteuerung" ≠ „Festgelegt, umgesetzt und Wirksamkeit nachgewiesen (TRBS 1115-1 Abschn. 5)")</t>
        </is>
      </c>
      <c r="G25" s="4" t="inlineStr">
        <is>
          <t>Hoch</t>
        </is>
      </c>
      <c r="H25" s="4" t="inlineStr">
        <is>
          <t>INFERRED</t>
        </is>
      </c>
      <c r="I25" s="4" t="inlineStr"/>
      <c r="J25" s="4" t="inlineStr">
        <is>
          <t>Funkschnittstelle der Komponente „Aufzugssteuerung" deaktivieren oder auf das Notwendige beschränken, bis die Schutzmaßnahmen umgesetzt sind</t>
        </is>
      </c>
      <c r="K25" s="4" t="inlineStr">
        <is>
          <t>Zugang zu Schnittstellen vor Unbefugten schützen; nicht benötigte Schnittstellen deaktivieren; Parameteränderungen dokumentieren. Wirksamkeit nachweisen (TRBS 1115-1 Abschn. 5).</t>
        </is>
      </c>
      <c r="L25" s="4" t="inlineStr">
        <is>
          <t>Entschieden 2026-09-03: K-C01.</t>
        </is>
      </c>
      <c r="M25" s="3" t="n"/>
      <c r="N25" s="3" t="n"/>
    </row>
    <row r="26">
      <c r="A26" s="2" t="inlineStr">
        <is>
          <t>CY-C01</t>
        </is>
      </c>
      <c r="B26" s="2" t="inlineStr">
        <is>
          <t>Manipulation oder Ausfall: Aufzugssteuerung</t>
        </is>
      </c>
      <c r="C26" s="2" t="inlineStr">
        <is>
          <t>Steuerung und Sicherheitslogik</t>
        </is>
      </c>
      <c r="D26" s="2" t="inlineStr">
        <is>
          <t>CY-C01-R6</t>
        </is>
      </c>
      <c r="E26" s="2" t="n">
        <v>380</v>
      </c>
      <c r="F26" s="2" t="inlineStr">
        <is>
          <t>((3.1.2 Höchste vorhandene Schnittstellenkategorie der Komponente „Aufzugssteuerung" in [„Kabelgebunden, nur vor Ort (USB, RS232/485, CAN, Ethernet, Serviceanschluss, Speicherkarte)", „Benutzerschnittstelle (Bedienfeld, Eingabeterminal, Display mit Parametrierzugang)"] UND 3.1.3 Schutzmaßnahmen nach TRBS 1115-1 für „Aufzugssteuerung" = „Keine Schutzmaßnahmen festgelegt")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G26" s="2" t="inlineStr">
        <is>
          <t>Hoch</t>
        </is>
      </c>
      <c r="H26" s="2" t="inlineStr">
        <is>
          <t>INFERRED</t>
        </is>
      </c>
      <c r="I26" s="2" t="inlineStr"/>
      <c r="J26" s="2" t="inlineStr">
        <is>
          <t>Zugang zur Komponente/zum Steuerschrank sofort beschränken; Service- und Programmierschnittstellen sichern</t>
        </is>
      </c>
      <c r="K26" s="2" t="inlineStr">
        <is>
          <t>Zugang zu Schnittstellen vor Unbefugten schützen; nicht benötigte Schnittstellen deaktivieren; Parameteränderungen dokumentieren. Wirksamkeit nachweisen (TRBS 1115-1 Abschn. 5).</t>
        </is>
      </c>
      <c r="L26" s="2" t="inlineStr">
        <is>
          <t>Entschieden 2026-09-03: K-C05.</t>
        </is>
      </c>
      <c r="M26" s="3" t="n"/>
      <c r="N26" s="3" t="n"/>
    </row>
    <row r="27">
      <c r="A27" s="4" t="inlineStr">
        <is>
          <t>CY-C01</t>
        </is>
      </c>
      <c r="B27" s="4" t="inlineStr">
        <is>
          <t>Manipulation oder Ausfall: Aufzugssteuerung</t>
        </is>
      </c>
      <c r="C27" s="4" t="inlineStr">
        <is>
          <t>Steuerung und Sicherheitslogik</t>
        </is>
      </c>
      <c r="D27" s="4" t="inlineStr">
        <is>
          <t>CY-C01-R7</t>
        </is>
      </c>
      <c r="E27" s="4" t="n">
        <v>300</v>
      </c>
      <c r="F27" s="4" t="inlineStr">
        <is>
          <t>(3.1.2 Höchste vorhandene Schnittstellenkategorie der Komponente „Aufzugssteuerung" in [„Kabelgebunden, nur vor Ort (USB, RS232/485, CAN, Ethernet, Serviceanschluss, Speicherkarte)", „Benutzerschnittstelle (Bedienfeld, Eingabeterminal, Display mit Parametrierzugang)"] UND 3.1.3 Schutzmaßnahmen nach TRBS 1115-1 für „Aufzugssteuerung" = „Keine Schutzmaßnahmen festgelegt")</t>
        </is>
      </c>
      <c r="G27" s="4" t="inlineStr">
        <is>
          <t>Mittel</t>
        </is>
      </c>
      <c r="H27" s="4" t="inlineStr">
        <is>
          <t>INFERRED</t>
        </is>
      </c>
      <c r="I27" s="4" t="inlineStr"/>
      <c r="J27" s="4" t="inlineStr">
        <is>
          <t>Serviceschnittstellen der Komponente gegen unbefugte Nutzung sichern</t>
        </is>
      </c>
      <c r="K27" s="4" t="inlineStr">
        <is>
          <t>Zugang zu Schnittstellen vor Unbefugten schützen; nicht benötigte Schnittstellen deaktivieren; Parameteränderungen dokumentieren. Wirksamkeit nachweisen (TRBS 1115-1 Abschn. 5).</t>
        </is>
      </c>
      <c r="L27" s="4" t="inlineStr">
        <is>
          <t>Freigegeben 2026-09-03.</t>
        </is>
      </c>
      <c r="M27" s="3" t="n"/>
      <c r="N27" s="3" t="n"/>
    </row>
    <row r="28">
      <c r="A28" s="2" t="inlineStr">
        <is>
          <t>CY-C01</t>
        </is>
      </c>
      <c r="B28" s="2" t="inlineStr">
        <is>
          <t>Manipulation oder Ausfall: Aufzugssteuerung</t>
        </is>
      </c>
      <c r="C28" s="2" t="inlineStr">
        <is>
          <t>Steuerung und Sicherheitslogik</t>
        </is>
      </c>
      <c r="D28" s="2" t="inlineStr">
        <is>
          <t>CY-C01-R8</t>
        </is>
      </c>
      <c r="E28" s="2" t="n">
        <v>290</v>
      </c>
      <c r="F28" s="2" t="inlineStr">
        <is>
          <t>((3.1.2 Höchste vorhandene Schnittstellenkategorie der Komponente „Aufzugssteuerung" in [„Kabelgebunden, nur vor Ort (USB, RS232/485, CAN, Ethernet, Serviceanschluss, Speicherkarte)", „Benutzerschnittstelle (Bedienfeld, Eingabeterminal, Display mit Parametrierzugang)"] UND 3.1.3 Schutzmaßnahmen nach TRBS 1115-1 für „Aufzugssteuerung" = „Festgelegt, aber nicht vollständig umgesetzt oder ohne Wirksamkeitsnachweis")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G28" s="2" t="inlineStr">
        <is>
          <t>Mittel</t>
        </is>
      </c>
      <c r="H28" s="2" t="inlineStr">
        <is>
          <t>INFERRED</t>
        </is>
      </c>
      <c r="I28" s="2" t="inlineStr"/>
      <c r="J28" s="2" t="inlineStr">
        <is>
          <t>Zugang beschränken; offene Maßnahmen priorisiert umsetzen</t>
        </is>
      </c>
      <c r="K28" s="2" t="inlineStr">
        <is>
          <t>Festgelegte Maßnahmen vollständig umsetzen und Wirksamkeit nachweisen</t>
        </is>
      </c>
      <c r="L28" s="2" t="inlineStr">
        <is>
          <t>Freigegeben 2026-09-03.</t>
        </is>
      </c>
      <c r="M28" s="3" t="n"/>
      <c r="N28" s="3" t="n"/>
    </row>
    <row r="29">
      <c r="A29" s="4" t="inlineStr">
        <is>
          <t>CY-C01</t>
        </is>
      </c>
      <c r="B29" s="4" t="inlineStr">
        <is>
          <t>Manipulation oder Ausfall: Aufzugssteuerung</t>
        </is>
      </c>
      <c r="C29" s="4" t="inlineStr">
        <is>
          <t>Steuerung und Sicherheitslogik</t>
        </is>
      </c>
      <c r="D29" s="4" t="inlineStr">
        <is>
          <t>CY-C01-R9</t>
        </is>
      </c>
      <c r="E29" s="4" t="n">
        <v>280</v>
      </c>
      <c r="F29" s="4" t="inlineStr">
        <is>
          <t>(3.1.2 Höchste vorhandene Schnittstellenkategorie der Komponente „Aufzugssteuerung" in [„Kabelgebunden, nur vor Ort (USB, RS232/485, CAN, Ethernet, Serviceanschluss, Speicherkarte)", „Benutzerschnittstelle (Bedienfeld, Eingabeterminal, Display mit Parametrierzugang)"] UND 3.1.3 Schutzmaßnahmen nach TRBS 1115-1 für „Aufzugssteuerung" = „Festgelegt, aber nicht vollständig umgesetzt oder ohne Wirksamkeitsnachweis")</t>
        </is>
      </c>
      <c r="G29" s="4" t="inlineStr">
        <is>
          <t>Niedrig</t>
        </is>
      </c>
      <c r="H29" s="4" t="inlineStr">
        <is>
          <t>INFERRED</t>
        </is>
      </c>
      <c r="I29" s="4" t="inlineStr"/>
      <c r="J29" s="4" t="inlineStr">
        <is>
          <t>Offene Maßnahmen terminieren und Verantwortliche benennen</t>
        </is>
      </c>
      <c r="K29" s="4" t="inlineStr">
        <is>
          <t>Festgelegte Maßnahmen vollständig umsetzen und Wirksamkeit nachweisen</t>
        </is>
      </c>
      <c r="L29" s="4" t="inlineStr">
        <is>
          <t>Freigegeben 2026-09-03.</t>
        </is>
      </c>
      <c r="M29" s="3" t="n"/>
      <c r="N29" s="3" t="n"/>
    </row>
    <row r="30">
      <c r="A30" s="2" t="inlineStr">
        <is>
          <t>CY-C01</t>
        </is>
      </c>
      <c r="B30" s="2" t="inlineStr">
        <is>
          <t>Manipulation oder Ausfall: Aufzugssteuerung</t>
        </is>
      </c>
      <c r="C30" s="2" t="inlineStr">
        <is>
          <t>Steuerung und Sicherheitslogik</t>
        </is>
      </c>
      <c r="D30" s="2" t="inlineStr">
        <is>
          <t>CY-C01-R10</t>
        </is>
      </c>
      <c r="E30" s="2" t="n">
        <v>270</v>
      </c>
      <c r="F30" s="2" t="inlineStr">
        <is>
          <t>(3.1.2 Höchste vorhandene Schnittstellenkategorie der Komponente „Aufzugssteuerung" in [„Kabellos im Nahbereich (WLAN, Bluetooth, NFC, Mobilfunk/SIM)", „Fernzugriff (Internet/Cloud, Hersteller-Fernzugriff, Service-App)"] UND 3.1.3 Schutzmaßnahmen nach TRBS 1115-1 für „Aufzugssteuerung" = „Festgelegt, umgesetzt und Wirksamkeit nachgewiesen (TRBS 1115-1 Abschn. 5)")</t>
        </is>
      </c>
      <c r="G30" s="2" t="inlineStr">
        <is>
          <t>Kein Risiko</t>
        </is>
      </c>
      <c r="H30" s="2" t="inlineStr">
        <is>
          <t>HIGH_CONFIDENCE</t>
        </is>
      </c>
      <c r="I30" s="2" t="inlineStr"/>
      <c r="J30" s="2" t="inlineStr">
        <is>
          <t>Zustand erhalten; Fern-/Funkzugang regelmäßig auf Notwendigkeit prüfen, Wirksamkeit bei der wiederkehrenden Prüfung erneut nachweisen</t>
        </is>
      </c>
      <c r="K30" s="2" t="inlineStr"/>
      <c r="L30" s="2" t="inlineStr">
        <is>
          <t>Entschieden 2026-09-03: K-C06.</t>
        </is>
      </c>
      <c r="M30" s="3" t="n"/>
      <c r="N30" s="3" t="n"/>
    </row>
    <row r="31">
      <c r="A31" s="4" t="inlineStr">
        <is>
          <t>CY-C01</t>
        </is>
      </c>
      <c r="B31" s="4" t="inlineStr">
        <is>
          <t>Manipulation oder Ausfall: Aufzugssteuerung</t>
        </is>
      </c>
      <c r="C31" s="4" t="inlineStr">
        <is>
          <t>Steuerung und Sicherheitslogik</t>
        </is>
      </c>
      <c r="D31" s="4" t="inlineStr">
        <is>
          <t>CY-C01-R11</t>
        </is>
      </c>
      <c r="E31" s="4" t="n">
        <v>260</v>
      </c>
      <c r="F31" s="4" t="inlineStr">
        <is>
          <t>((3.1.2 Höchste vorhandene Schnittstellenkategorie der Komponente „Aufzugssteuerung" in [„Kabelgebunden, nur vor Ort (USB, RS232/485, CAN, Ethernet, Serviceanschluss, Speicherkarte)", „Benutzerschnittstelle (Bedienfeld, Eingabeterminal, Display mit Parametrierzugang)"] UND 3.1.3 Schutzmaßnahmen nach TRBS 1115-1 für „Aufzugssteuerung" = „Festgelegt, umgesetzt und Wirksamkeit nachgewiesen (TRBS 1115-1 Abschn. 5)")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G31" s="4" t="inlineStr">
        <is>
          <t>Niedrig</t>
        </is>
      </c>
      <c r="H31" s="4" t="inlineStr">
        <is>
          <t>INFERRED</t>
        </is>
      </c>
      <c r="I31" s="4" t="inlineStr"/>
      <c r="J31" s="4" t="inlineStr">
        <is>
          <t>Physischen Zugang zur Steuerung bzw. zum Raum beschränken (siehe Gefährdungen Zugang)</t>
        </is>
      </c>
      <c r="K31" s="4" t="inlineStr">
        <is>
          <t>Zugangskontrolle (Hardware) dauerhaft herstellen</t>
        </is>
      </c>
      <c r="L31" s="4" t="inlineStr">
        <is>
          <t>Freigegeben 2026-09-03.</t>
        </is>
      </c>
      <c r="M31" s="3" t="n"/>
      <c r="N31" s="3" t="n"/>
    </row>
    <row r="32">
      <c r="A32" s="2" t="inlineStr">
        <is>
          <t>CY-C01</t>
        </is>
      </c>
      <c r="B32" s="2" t="inlineStr">
        <is>
          <t>Manipulation oder Ausfall: Aufzugssteuerung</t>
        </is>
      </c>
      <c r="C32" s="2" t="inlineStr">
        <is>
          <t>Steuerung und Sicherheitslogik</t>
        </is>
      </c>
      <c r="D32" s="2" t="inlineStr">
        <is>
          <t>CY-C01-R12</t>
        </is>
      </c>
      <c r="E32" s="2" t="n">
        <v>250</v>
      </c>
      <c r="F32" s="2" t="inlineStr">
        <is>
          <t>(3.1.2 Höchste vorhandene Schnittstellenkategorie der Komponente „Aufzugssteuerung" in [„Kabelgebunden, nur vor Ort (USB, RS232/485, CAN, Ethernet, Serviceanschluss, Speicherkarte)", „Benutzerschnittstelle (Bedienfeld, Eingabeterminal, Display mit Parametrierzugang)"] UND 3.1.3 Schutzmaßnahmen nach TRBS 1115-1 für „Aufzugssteuerung" = „Festgelegt, umgesetzt und Wirksamkeit nachgewiesen (TRBS 1115-1 Abschn. 5)")</t>
        </is>
      </c>
      <c r="G32" s="2" t="inlineStr">
        <is>
          <t>Kein Risiko</t>
        </is>
      </c>
      <c r="H32" s="2" t="inlineStr">
        <is>
          <t>HIGH_CONFIDENCE</t>
        </is>
      </c>
      <c r="I32" s="2" t="inlineStr"/>
      <c r="J32" s="2" t="inlineStr">
        <is>
          <t>Zustand erhalten; Maßnahmen bei der wiederkehrenden Prüfung erneut nachweisen</t>
        </is>
      </c>
      <c r="K32" s="2" t="inlineStr"/>
      <c r="L32" s="2" t="inlineStr">
        <is>
          <t>Freigegeben 2026-09-03.</t>
        </is>
      </c>
      <c r="M32" s="3" t="n"/>
      <c r="N32" s="3" t="n"/>
    </row>
    <row r="33">
      <c r="A33" s="4" t="inlineStr">
        <is>
          <t>CY-C01</t>
        </is>
      </c>
      <c r="B33" s="4" t="inlineStr">
        <is>
          <t>Manipulation oder Ausfall: Aufzugssteuerung</t>
        </is>
      </c>
      <c r="C33" s="4" t="inlineStr">
        <is>
          <t>Steuerung und Sicherheitslogik</t>
        </is>
      </c>
      <c r="D33" s="4" t="inlineStr">
        <is>
          <t>CY-C01-R13</t>
        </is>
      </c>
      <c r="E33" s="4" t="n">
        <v>1</v>
      </c>
      <c r="F33" s="4" t="inlineStr">
        <is>
          <t>3.1.2 Höchste vorhandene Schnittstellenkategorie der Komponente „Aufzugssteuerung" beantwortet</t>
        </is>
      </c>
      <c r="G33" s="4" t="inlineStr">
        <is>
          <t>Kein Risiko</t>
        </is>
      </c>
      <c r="H33" s="4" t="inlineStr">
        <is>
          <t>HIGH_CONFIDENCE</t>
        </is>
      </c>
      <c r="I33" s="4" t="inlineStr"/>
      <c r="J33" s="4" t="inlineStr">
        <is>
          <t>Zustand erhalten; bei der wiederkehrenden Prüfung und der Betreiberkontrolle erneut prüfen</t>
        </is>
      </c>
      <c r="K33" s="4" t="inlineStr"/>
      <c r="L33" s="4" t="inlineStr">
        <is>
          <t>Kein Risiko: keine Mangelregel trifft zu, alle Pflichtfragen beantwortet. Freigegeben 2026-09-03.</t>
        </is>
      </c>
      <c r="M33" s="3" t="n"/>
      <c r="N33" s="3" t="n"/>
    </row>
    <row r="34">
      <c r="A34" s="2" t="inlineStr">
        <is>
          <t>CY-C02</t>
        </is>
      </c>
      <c r="B34" s="2" t="inlineStr">
        <is>
          <t>Manipulation oder Ausfall: PESSRAL (programmierbare Sicherheitsschaltung)</t>
        </is>
      </c>
      <c r="C34" s="2" t="inlineStr">
        <is>
          <t>Steuerung und Sicherheitslogik</t>
        </is>
      </c>
      <c r="D34" s="2" t="inlineStr">
        <is>
          <t>CY-C02-R1</t>
        </is>
      </c>
      <c r="E34" s="2" t="n">
        <v>600</v>
      </c>
      <c r="F34" s="2" t="inlineStr">
        <is>
          <t>3.2.2 Höchste vorhandene Schnittstellenkategorie der Komponente „PESSRAL (programmierbare Sicherheitsschaltung)" = „Keine bzw. nicht programmierbare Schnittstelle"</t>
        </is>
      </c>
      <c r="G34" s="2" t="inlineStr">
        <is>
          <t>Kein Risiko</t>
        </is>
      </c>
      <c r="H34" s="2" t="inlineStr">
        <is>
          <t>HIGH_CONFIDENCE</t>
        </is>
      </c>
      <c r="I34" s="2" t="inlineStr"/>
      <c r="J34" s="2" t="inlineStr">
        <is>
          <t>Keine kompromittierbare Schnittstelle – Feststellung dokumentieren (Vorscreening nach BA-017); bei Nachrüstung erneut bewerten</t>
        </is>
      </c>
      <c r="K34" s="2" t="inlineStr"/>
      <c r="L34" s="2" t="inlineStr">
        <is>
          <t>Vorscreening: Betrachtung abgeschlossen. Entschieden 2026-09-03: K-C02.</t>
        </is>
      </c>
      <c r="M34" s="3" t="n"/>
      <c r="N34" s="3" t="n"/>
    </row>
    <row r="35">
      <c r="A35" s="4" t="inlineStr">
        <is>
          <t>CY-C02</t>
        </is>
      </c>
      <c r="B35" s="4" t="inlineStr">
        <is>
          <t>Manipulation oder Ausfall: PESSRAL (programmierbare Sicherheitsschaltung)</t>
        </is>
      </c>
      <c r="C35" s="4" t="inlineStr">
        <is>
          <t>Steuerung und Sicherheitslogik</t>
        </is>
      </c>
      <c r="D35" s="4" t="inlineStr">
        <is>
          <t>CY-C02-R2</t>
        </is>
      </c>
      <c r="E35" s="4" t="n">
        <v>400</v>
      </c>
      <c r="F35" s="4" t="inlineStr">
        <is>
          <t>(3.2.2 Höchste vorhandene Schnittstellenkategorie der Komponente „PESSRAL (programmierbare Sicherheitsschaltung)" = „Fernzugriff (Internet/Cloud, Hersteller-Fernzugriff, Service-App)" UND 3.2.3 Schutzmaßnahmen nach TRBS 1115-1 für „PESSRAL (programmierbare Sicherheitsschaltung)" ≠ „Festgelegt, umgesetzt und Wirksamkeit nachgewiesen (TRBS 1115-1 Abschn. 5)")</t>
        </is>
      </c>
      <c r="G35" s="4" t="inlineStr">
        <is>
          <t>Hoch</t>
        </is>
      </c>
      <c r="H35" s="4" t="inlineStr">
        <is>
          <t>INFERRED</t>
        </is>
      </c>
      <c r="I35" s="4" t="inlineStr"/>
      <c r="J35" s="4" t="inlineStr">
        <is>
          <t>Fernzugang der Komponente „PESSRAL (programmierbare Sicherheitsschaltung)" deaktivieren oder physisch trennen, bis die Schutzmaßnahmen umgesetzt und nachgewiesen sind</t>
        </is>
      </c>
      <c r="K35" s="4" t="inlineStr">
        <is>
          <t>Serviceschnittstellen nur für Berechtigte; Parametrierung schützen; nach Eingriffen Sicherheitsfunktionen prüfen. Wirksamkeit nachweisen (TRBS 1115-1 Abschn. 5).</t>
        </is>
      </c>
      <c r="L35" s="4" t="inlineStr">
        <is>
          <t>Entschieden 2026-09-03: K-C01.</t>
        </is>
      </c>
      <c r="M35" s="3" t="n"/>
      <c r="N35" s="3" t="n"/>
    </row>
    <row r="36">
      <c r="A36" s="2" t="inlineStr">
        <is>
          <t>CY-C02</t>
        </is>
      </c>
      <c r="B36" s="2" t="inlineStr">
        <is>
          <t>Manipulation oder Ausfall: PESSRAL (programmierbare Sicherheitsschaltung)</t>
        </is>
      </c>
      <c r="C36" s="2" t="inlineStr">
        <is>
          <t>Steuerung und Sicherheitslogik</t>
        </is>
      </c>
      <c r="D36" s="2" t="inlineStr">
        <is>
          <t>CY-C02-R3</t>
        </is>
      </c>
      <c r="E36" s="2" t="n">
        <v>390</v>
      </c>
      <c r="F36" s="2" t="inlineStr">
        <is>
          <t>(3.2.2 Höchste vorhandene Schnittstellenkategorie der Komponente „PESSRAL (programmierbare Sicherheitsschaltung)" = „Kabellos im Nahbereich (WLAN, Bluetooth, NFC, Mobilfunk/SIM)" UND 3.2.3 Schutzmaßnahmen nach TRBS 1115-1 für „PESSRAL (programmierbare Sicherheitsschaltung)" ≠ „Festgelegt, umgesetzt und Wirksamkeit nachgewiesen (TRBS 1115-1 Abschn. 5)")</t>
        </is>
      </c>
      <c r="G36" s="2" t="inlineStr">
        <is>
          <t>Hoch</t>
        </is>
      </c>
      <c r="H36" s="2" t="inlineStr">
        <is>
          <t>INFERRED</t>
        </is>
      </c>
      <c r="I36" s="2" t="inlineStr"/>
      <c r="J36" s="2" t="inlineStr">
        <is>
          <t>Funkschnittstelle der Komponente „PESSRAL (programmierbare Sicherheitsschaltung)" deaktivieren oder auf das Notwendige beschränken, bis die Schutzmaßnahmen umgesetzt sind</t>
        </is>
      </c>
      <c r="K36" s="2" t="inlineStr">
        <is>
          <t>Serviceschnittstellen nur für Berechtigte; Parametrierung schützen; nach Eingriffen Sicherheitsfunktionen prüfen. Wirksamkeit nachweisen (TRBS 1115-1 Abschn. 5).</t>
        </is>
      </c>
      <c r="L36" s="2" t="inlineStr">
        <is>
          <t>Entschieden 2026-09-03: K-C01.</t>
        </is>
      </c>
      <c r="M36" s="3" t="n"/>
      <c r="N36" s="3" t="n"/>
    </row>
    <row r="37">
      <c r="A37" s="4" t="inlineStr">
        <is>
          <t>CY-C02</t>
        </is>
      </c>
      <c r="B37" s="4" t="inlineStr">
        <is>
          <t>Manipulation oder Ausfall: PESSRAL (programmierbare Sicherheitsschaltung)</t>
        </is>
      </c>
      <c r="C37" s="4" t="inlineStr">
        <is>
          <t>Steuerung und Sicherheitslogik</t>
        </is>
      </c>
      <c r="D37" s="4" t="inlineStr">
        <is>
          <t>CY-C02-R4</t>
        </is>
      </c>
      <c r="E37" s="4" t="n">
        <v>380</v>
      </c>
      <c r="F37" s="4" t="inlineStr">
        <is>
          <t>((3.2.2 Höchste vorhandene Schnittstellenkategorie der Komponente „PESSRAL (programmierbare Sicherheitsschaltung)" in [„Kabelgebunden, nur vor Ort (USB, RS232/485, CAN, Ethernet, Serviceanschluss, Speicherkarte)", „Benutzerschnittstelle (Bedienfeld, Eingabeterminal, Display mit Parametrierzugang)"] UND 3.2.3 Schutzmaßnahmen nach TRBS 1115-1 für „PESSRAL (programmierbare Sicherheitsschaltung)" = „Keine Schutzmaßnahmen festgelegt")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G37" s="4" t="inlineStr">
        <is>
          <t>Hoch</t>
        </is>
      </c>
      <c r="H37" s="4" t="inlineStr">
        <is>
          <t>INFERRED</t>
        </is>
      </c>
      <c r="I37" s="4" t="inlineStr"/>
      <c r="J37" s="4" t="inlineStr">
        <is>
          <t>Zugang zur Komponente/zum Steuerschrank sofort beschränken; Service- und Programmierschnittstellen sichern</t>
        </is>
      </c>
      <c r="K37" s="4" t="inlineStr">
        <is>
          <t>Serviceschnittstellen nur für Berechtigte; Parametrierung schützen; nach Eingriffen Sicherheitsfunktionen prüfen. Wirksamkeit nachweisen (TRBS 1115-1 Abschn. 5).</t>
        </is>
      </c>
      <c r="L37" s="4" t="inlineStr">
        <is>
          <t>Entschieden 2026-09-03: K-C05.</t>
        </is>
      </c>
      <c r="M37" s="3" t="n"/>
      <c r="N37" s="3" t="n"/>
    </row>
    <row r="38">
      <c r="A38" s="2" t="inlineStr">
        <is>
          <t>CY-C02</t>
        </is>
      </c>
      <c r="B38" s="2" t="inlineStr">
        <is>
          <t>Manipulation oder Ausfall: PESSRAL (programmierbare Sicherheitsschaltung)</t>
        </is>
      </c>
      <c r="C38" s="2" t="inlineStr">
        <is>
          <t>Steuerung und Sicherheitslogik</t>
        </is>
      </c>
      <c r="D38" s="2" t="inlineStr">
        <is>
          <t>CY-C02-R5</t>
        </is>
      </c>
      <c r="E38" s="2" t="n">
        <v>300</v>
      </c>
      <c r="F38" s="2" t="inlineStr">
        <is>
          <t>(3.2.2 Höchste vorhandene Schnittstellenkategorie der Komponente „PESSRAL (programmierbare Sicherheitsschaltung)" in [„Kabelgebunden, nur vor Ort (USB, RS232/485, CAN, Ethernet, Serviceanschluss, Speicherkarte)", „Benutzerschnittstelle (Bedienfeld, Eingabeterminal, Display mit Parametrierzugang)"] UND 3.2.3 Schutzmaßnahmen nach TRBS 1115-1 für „PESSRAL (programmierbare Sicherheitsschaltung)" = „Keine Schutzmaßnahmen festgelegt")</t>
        </is>
      </c>
      <c r="G38" s="2" t="inlineStr">
        <is>
          <t>Mittel</t>
        </is>
      </c>
      <c r="H38" s="2" t="inlineStr">
        <is>
          <t>INFERRED</t>
        </is>
      </c>
      <c r="I38" s="2" t="inlineStr"/>
      <c r="J38" s="2" t="inlineStr">
        <is>
          <t>Serviceschnittstellen der Komponente gegen unbefugte Nutzung sichern</t>
        </is>
      </c>
      <c r="K38" s="2" t="inlineStr">
        <is>
          <t>Serviceschnittstellen nur für Berechtigte; Parametrierung schützen; nach Eingriffen Sicherheitsfunktionen prüfen. Wirksamkeit nachweisen (TRBS 1115-1 Abschn. 5).</t>
        </is>
      </c>
      <c r="L38" s="2" t="inlineStr">
        <is>
          <t>Freigegeben 2026-09-03.</t>
        </is>
      </c>
      <c r="M38" s="3" t="n"/>
      <c r="N38" s="3" t="n"/>
    </row>
    <row r="39">
      <c r="A39" s="4" t="inlineStr">
        <is>
          <t>CY-C02</t>
        </is>
      </c>
      <c r="B39" s="4" t="inlineStr">
        <is>
          <t>Manipulation oder Ausfall: PESSRAL (programmierbare Sicherheitsschaltung)</t>
        </is>
      </c>
      <c r="C39" s="4" t="inlineStr">
        <is>
          <t>Steuerung und Sicherheitslogik</t>
        </is>
      </c>
      <c r="D39" s="4" t="inlineStr">
        <is>
          <t>CY-C02-R6</t>
        </is>
      </c>
      <c r="E39" s="4" t="n">
        <v>290</v>
      </c>
      <c r="F39" s="4" t="inlineStr">
        <is>
          <t>((3.2.2 Höchste vorhandene Schnittstellenkategorie der Komponente „PESSRAL (programmierbare Sicherheitsschaltung)" in [„Kabelgebunden, nur vor Ort (USB, RS232/485, CAN, Ethernet, Serviceanschluss, Speicherkarte)", „Benutzerschnittstelle (Bedienfeld, Eingabeterminal, Display mit Parametrierzugang)"] UND 3.2.3 Schutzmaßnahmen nach TRBS 1115-1 für „PESSRAL (programmierbare Sicherheitsschaltung)" = „Festgelegt, aber nicht vollständig umgesetzt oder ohne Wirksamkeitsnachweis")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G39" s="4" t="inlineStr">
        <is>
          <t>Mittel</t>
        </is>
      </c>
      <c r="H39" s="4" t="inlineStr">
        <is>
          <t>INFERRED</t>
        </is>
      </c>
      <c r="I39" s="4" t="inlineStr"/>
      <c r="J39" s="4" t="inlineStr">
        <is>
          <t>Zugang beschränken; offene Maßnahmen priorisiert umsetzen</t>
        </is>
      </c>
      <c r="K39" s="4" t="inlineStr">
        <is>
          <t>Festgelegte Maßnahmen vollständig umsetzen und Wirksamkeit nachweisen</t>
        </is>
      </c>
      <c r="L39" s="4" t="inlineStr">
        <is>
          <t>Freigegeben 2026-09-03.</t>
        </is>
      </c>
      <c r="M39" s="3" t="n"/>
      <c r="N39" s="3" t="n"/>
    </row>
    <row r="40">
      <c r="A40" s="2" t="inlineStr">
        <is>
          <t>CY-C02</t>
        </is>
      </c>
      <c r="B40" s="2" t="inlineStr">
        <is>
          <t>Manipulation oder Ausfall: PESSRAL (programmierbare Sicherheitsschaltung)</t>
        </is>
      </c>
      <c r="C40" s="2" t="inlineStr">
        <is>
          <t>Steuerung und Sicherheitslogik</t>
        </is>
      </c>
      <c r="D40" s="2" t="inlineStr">
        <is>
          <t>CY-C02-R7</t>
        </is>
      </c>
      <c r="E40" s="2" t="n">
        <v>280</v>
      </c>
      <c r="F40" s="2" t="inlineStr">
        <is>
          <t>(3.2.2 Höchste vorhandene Schnittstellenkategorie der Komponente „PESSRAL (programmierbare Sicherheitsschaltung)" in [„Kabelgebunden, nur vor Ort (USB, RS232/485, CAN, Ethernet, Serviceanschluss, Speicherkarte)", „Benutzerschnittstelle (Bedienfeld, Eingabeterminal, Display mit Parametrierzugang)"] UND 3.2.3 Schutzmaßnahmen nach TRBS 1115-1 für „PESSRAL (programmierbare Sicherheitsschaltung)" = „Festgelegt, aber nicht vollständig umgesetzt oder ohne Wirksamkeitsnachweis")</t>
        </is>
      </c>
      <c r="G40" s="2" t="inlineStr">
        <is>
          <t>Niedrig</t>
        </is>
      </c>
      <c r="H40" s="2" t="inlineStr">
        <is>
          <t>INFERRED</t>
        </is>
      </c>
      <c r="I40" s="2" t="inlineStr"/>
      <c r="J40" s="2" t="inlineStr">
        <is>
          <t>Offene Maßnahmen terminieren und Verantwortliche benennen</t>
        </is>
      </c>
      <c r="K40" s="2" t="inlineStr">
        <is>
          <t>Festgelegte Maßnahmen vollständig umsetzen und Wirksamkeit nachweisen</t>
        </is>
      </c>
      <c r="L40" s="2" t="inlineStr">
        <is>
          <t>Freigegeben 2026-09-03.</t>
        </is>
      </c>
      <c r="M40" s="3" t="n"/>
      <c r="N40" s="3" t="n"/>
    </row>
    <row r="41">
      <c r="A41" s="4" t="inlineStr">
        <is>
          <t>CY-C02</t>
        </is>
      </c>
      <c r="B41" s="4" t="inlineStr">
        <is>
          <t>Manipulation oder Ausfall: PESSRAL (programmierbare Sicherheitsschaltung)</t>
        </is>
      </c>
      <c r="C41" s="4" t="inlineStr">
        <is>
          <t>Steuerung und Sicherheitslogik</t>
        </is>
      </c>
      <c r="D41" s="4" t="inlineStr">
        <is>
          <t>CY-C02-R8</t>
        </is>
      </c>
      <c r="E41" s="4" t="n">
        <v>270</v>
      </c>
      <c r="F41" s="4" t="inlineStr">
        <is>
          <t>(3.2.2 Höchste vorhandene Schnittstellenkategorie der Komponente „PESSRAL (programmierbare Sicherheitsschaltung)" in [„Kabellos im Nahbereich (WLAN, Bluetooth, NFC, Mobilfunk/SIM)", „Fernzugriff (Internet/Cloud, Hersteller-Fernzugriff, Service-App)"] UND 3.2.3 Schutzmaßnahmen nach TRBS 1115-1 für „PESSRAL (programmierbare Sicherheitsschaltung)" = „Festgelegt, umgesetzt und Wirksamkeit nachgewiesen (TRBS 1115-1 Abschn. 5)")</t>
        </is>
      </c>
      <c r="G41" s="4" t="inlineStr">
        <is>
          <t>Kein Risiko</t>
        </is>
      </c>
      <c r="H41" s="4" t="inlineStr">
        <is>
          <t>HIGH_CONFIDENCE</t>
        </is>
      </c>
      <c r="I41" s="4" t="inlineStr"/>
      <c r="J41" s="4" t="inlineStr">
        <is>
          <t>Zustand erhalten; Fern-/Funkzugang regelmäßig auf Notwendigkeit prüfen, Wirksamkeit bei der wiederkehrenden Prüfung erneut nachweisen</t>
        </is>
      </c>
      <c r="K41" s="4" t="inlineStr"/>
      <c r="L41" s="4" t="inlineStr">
        <is>
          <t>Entschieden 2026-09-03: K-C06.</t>
        </is>
      </c>
      <c r="M41" s="3" t="n"/>
      <c r="N41" s="3" t="n"/>
    </row>
    <row r="42">
      <c r="A42" s="2" t="inlineStr">
        <is>
          <t>CY-C02</t>
        </is>
      </c>
      <c r="B42" s="2" t="inlineStr">
        <is>
          <t>Manipulation oder Ausfall: PESSRAL (programmierbare Sicherheitsschaltung)</t>
        </is>
      </c>
      <c r="C42" s="2" t="inlineStr">
        <is>
          <t>Steuerung und Sicherheitslogik</t>
        </is>
      </c>
      <c r="D42" s="2" t="inlineStr">
        <is>
          <t>CY-C02-R9</t>
        </is>
      </c>
      <c r="E42" s="2" t="n">
        <v>260</v>
      </c>
      <c r="F42" s="2" t="inlineStr">
        <is>
          <t>((3.2.2 Höchste vorhandene Schnittstellenkategorie der Komponente „PESSRAL (programmierbare Sicherheitsschaltung)" in [„Kabelgebunden, nur vor Ort (USB, RS232/485, CAN, Ethernet, Serviceanschluss, Speicherkarte)", „Benutzerschnittstelle (Bedienfeld, Eingabeterminal, Display mit Parametrierzugang)"] UND 3.2.3 Schutzmaßnahmen nach TRBS 1115-1 für „PESSRAL (programmierbare Sicherheitsschaltung)" = „Festgelegt, umgesetzt und Wirksamkeit nachgewiesen (TRBS 1115-1 Abschn. 5)")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G42" s="2" t="inlineStr">
        <is>
          <t>Niedrig</t>
        </is>
      </c>
      <c r="H42" s="2" t="inlineStr">
        <is>
          <t>INFERRED</t>
        </is>
      </c>
      <c r="I42" s="2" t="inlineStr"/>
      <c r="J42" s="2" t="inlineStr">
        <is>
          <t>Physischen Zugang zur Steuerung bzw. zum Raum beschränken (siehe Gefährdungen Zugang)</t>
        </is>
      </c>
      <c r="K42" s="2" t="inlineStr">
        <is>
          <t>Zugangskontrolle (Hardware) dauerhaft herstellen</t>
        </is>
      </c>
      <c r="L42" s="2" t="inlineStr">
        <is>
          <t>Freigegeben 2026-09-03.</t>
        </is>
      </c>
      <c r="M42" s="3" t="n"/>
      <c r="N42" s="3" t="n"/>
    </row>
    <row r="43">
      <c r="A43" s="4" t="inlineStr">
        <is>
          <t>CY-C02</t>
        </is>
      </c>
      <c r="B43" s="4" t="inlineStr">
        <is>
          <t>Manipulation oder Ausfall: PESSRAL (programmierbare Sicherheitsschaltung)</t>
        </is>
      </c>
      <c r="C43" s="4" t="inlineStr">
        <is>
          <t>Steuerung und Sicherheitslogik</t>
        </is>
      </c>
      <c r="D43" s="4" t="inlineStr">
        <is>
          <t>CY-C02-R10</t>
        </is>
      </c>
      <c r="E43" s="4" t="n">
        <v>250</v>
      </c>
      <c r="F43" s="4" t="inlineStr">
        <is>
          <t>(3.2.2 Höchste vorhandene Schnittstellenkategorie der Komponente „PESSRAL (programmierbare Sicherheitsschaltung)" in [„Kabelgebunden, nur vor Ort (USB, RS232/485, CAN, Ethernet, Serviceanschluss, Speicherkarte)", „Benutzerschnittstelle (Bedienfeld, Eingabeterminal, Display mit Parametrierzugang)"] UND 3.2.3 Schutzmaßnahmen nach TRBS 1115-1 für „PESSRAL (programmierbare Sicherheitsschaltung)" = „Festgelegt, umgesetzt und Wirksamkeit nachgewiesen (TRBS 1115-1 Abschn. 5)")</t>
        </is>
      </c>
      <c r="G43" s="4" t="inlineStr">
        <is>
          <t>Kein Risiko</t>
        </is>
      </c>
      <c r="H43" s="4" t="inlineStr">
        <is>
          <t>HIGH_CONFIDENCE</t>
        </is>
      </c>
      <c r="I43" s="4" t="inlineStr"/>
      <c r="J43" s="4" t="inlineStr">
        <is>
          <t>Zustand erhalten; Maßnahmen bei der wiederkehrenden Prüfung erneut nachweisen</t>
        </is>
      </c>
      <c r="K43" s="4" t="inlineStr"/>
      <c r="L43" s="4" t="inlineStr">
        <is>
          <t>Freigegeben 2026-09-03.</t>
        </is>
      </c>
      <c r="M43" s="3" t="n"/>
      <c r="N43" s="3" t="n"/>
    </row>
    <row r="44">
      <c r="A44" s="2" t="inlineStr">
        <is>
          <t>CY-C02</t>
        </is>
      </c>
      <c r="B44" s="2" t="inlineStr">
        <is>
          <t>Manipulation oder Ausfall: PESSRAL (programmierbare Sicherheitsschaltung)</t>
        </is>
      </c>
      <c r="C44" s="2" t="inlineStr">
        <is>
          <t>Steuerung und Sicherheitslogik</t>
        </is>
      </c>
      <c r="D44" s="2" t="inlineStr">
        <is>
          <t>CY-C02-R11</t>
        </is>
      </c>
      <c r="E44" s="2" t="n">
        <v>1</v>
      </c>
      <c r="F44" s="2" t="inlineStr">
        <is>
          <t>3.2.2 Höchste vorhandene Schnittstellenkategorie der Komponente „PESSRAL (programmierbare Sicherheitsschaltung)" beantwortet</t>
        </is>
      </c>
      <c r="G44" s="2" t="inlineStr">
        <is>
          <t>Kein Risiko</t>
        </is>
      </c>
      <c r="H44" s="2" t="inlineStr">
        <is>
          <t>HIGH_CONFIDENCE</t>
        </is>
      </c>
      <c r="I44" s="2" t="inlineStr"/>
      <c r="J44" s="2" t="inlineStr">
        <is>
          <t>Zustand erhalten; bei der wiederkehrenden Prüfung und der Betreiberkontrolle erneut prüfen</t>
        </is>
      </c>
      <c r="K44" s="2" t="inlineStr"/>
      <c r="L44" s="2" t="inlineStr">
        <is>
          <t>Kein Risiko: keine Mangelregel trifft zu, alle Pflichtfragen beantwortet. Freigegeben 2026-09-03.</t>
        </is>
      </c>
      <c r="M44" s="3" t="n"/>
      <c r="N44" s="3" t="n"/>
    </row>
    <row r="45">
      <c r="A45" s="4" t="inlineStr">
        <is>
          <t>CY-C03</t>
        </is>
      </c>
      <c r="B45" s="4" t="inlineStr">
        <is>
          <t>Manipulation oder Ausfall: Frequenzumrichter</t>
        </is>
      </c>
      <c r="C45" s="4" t="inlineStr">
        <is>
          <t>Antrieb und Türen</t>
        </is>
      </c>
      <c r="D45" s="4" t="inlineStr">
        <is>
          <t>CY-C03-R1</t>
        </is>
      </c>
      <c r="E45" s="4" t="n">
        <v>600</v>
      </c>
      <c r="F45" s="4" t="inlineStr">
        <is>
          <t>3.3.2 Höchste vorhandene Schnittstellenkategorie der Komponente „Frequenzumrichter" = „Keine bzw. nicht programmierbare Schnittstelle"</t>
        </is>
      </c>
      <c r="G45" s="4" t="inlineStr">
        <is>
          <t>Kein Risiko</t>
        </is>
      </c>
      <c r="H45" s="4" t="inlineStr">
        <is>
          <t>HIGH_CONFIDENCE</t>
        </is>
      </c>
      <c r="I45" s="4" t="inlineStr"/>
      <c r="J45" s="4" t="inlineStr">
        <is>
          <t>Keine kompromittierbare Schnittstelle – Feststellung dokumentieren (Vorscreening nach BA-017); bei Nachrüstung erneut bewerten</t>
        </is>
      </c>
      <c r="K45" s="4" t="inlineStr"/>
      <c r="L45" s="4" t="inlineStr">
        <is>
          <t>Vorscreening: Betrachtung abgeschlossen. Entschieden 2026-09-03: K-C02.</t>
        </is>
      </c>
      <c r="M45" s="3" t="n"/>
      <c r="N45" s="3" t="n"/>
    </row>
    <row r="46">
      <c r="A46" s="2" t="inlineStr">
        <is>
          <t>CY-C03</t>
        </is>
      </c>
      <c r="B46" s="2" t="inlineStr">
        <is>
          <t>Manipulation oder Ausfall: Frequenzumrichter</t>
        </is>
      </c>
      <c r="C46" s="2" t="inlineStr">
        <is>
          <t>Antrieb und Türen</t>
        </is>
      </c>
      <c r="D46" s="2" t="inlineStr">
        <is>
          <t>CY-C03-R2</t>
        </is>
      </c>
      <c r="E46" s="2" t="n">
        <v>520</v>
      </c>
      <c r="F46" s="2" t="inlineStr">
        <is>
          <t>(3.3.4 Wirkt bei Manipulation des Umrichters eine unabhängige Sicherheitskette (STO/sicher abgeschaltetes Moment, Bremse und Geschwindigkeitsbegrenzer unabhängig vom Umrichter)? = Ja UND 3.3.2 Höchste vorhandene Schnittstellenkategorie der Komponente „Frequenzumrichter" ≠ „Keine bzw. nicht programmierbare Schnittstelle" UND 3.3.3 Schutzmaßnahmen nach TRBS 1115-1 für „Frequenzumrichter" ≠ „Festgelegt, umgesetzt und Wirksamkeit nachgewiesen (TRBS 1115-1 Abschn. 5)")</t>
        </is>
      </c>
      <c r="G46" s="2" t="inlineStr">
        <is>
          <t>Niedrig</t>
        </is>
      </c>
      <c r="H46" s="2" t="inlineStr">
        <is>
          <t>INFERRED</t>
        </is>
      </c>
      <c r="I46" s="2" t="inlineStr"/>
      <c r="J46" s="2" t="inlineStr">
        <is>
          <t>Unabhängige Sicherheitskette bei jeder Prüfung mitprüfen</t>
        </is>
      </c>
      <c r="K46" s="2" t="inlineStr">
        <is>
          <t>Parameterzugriff schützen; zulässigen Parametersatz sichern; nach Änderungen Antrieb und Fahrverhalten prüfen. Wirksamkeit nachweisen (TRBS 1115-1 Abschn. 5).</t>
        </is>
      </c>
      <c r="L46" s="2" t="inlineStr">
        <is>
          <t>Entschieden 2026-09-03: K-C07.</t>
        </is>
      </c>
      <c r="M46" s="3" t="n"/>
      <c r="N46" s="3" t="n"/>
    </row>
    <row r="47">
      <c r="A47" s="4" t="inlineStr">
        <is>
          <t>CY-C03</t>
        </is>
      </c>
      <c r="B47" s="4" t="inlineStr">
        <is>
          <t>Manipulation oder Ausfall: Frequenzumrichter</t>
        </is>
      </c>
      <c r="C47" s="4" t="inlineStr">
        <is>
          <t>Antrieb und Türen</t>
        </is>
      </c>
      <c r="D47" s="4" t="inlineStr">
        <is>
          <t>CY-C03-R3</t>
        </is>
      </c>
      <c r="E47" s="4" t="n">
        <v>510</v>
      </c>
      <c r="F47" s="4" t="inlineStr">
        <is>
          <t>(3.3.4 Wirkt bei Manipulation des Umrichters eine unabhängige Sicherheitskette (STO/sicher abgeschaltetes Moment, Bremse und Geschwindigkeitsbegrenzer unabhängig vom Umrichter)? = Ja UND 3.3.2 Höchste vorhandene Schnittstellenkategorie der Komponente „Frequenzumrichter" ≠ „Keine bzw. nicht programmierbare Schnittstelle" UND 3.3.3 Schutzmaßnahmen nach TRBS 1115-1 für „Frequenzumrichter" = „Festgelegt, umgesetzt und Wirksamkeit nachgewiesen (TRBS 1115-1 Abschn. 5)")</t>
        </is>
      </c>
      <c r="G47" s="4" t="inlineStr">
        <is>
          <t>Kein Risiko</t>
        </is>
      </c>
      <c r="H47" s="4" t="inlineStr">
        <is>
          <t>INFERRED</t>
        </is>
      </c>
      <c r="I47" s="4" t="inlineStr"/>
      <c r="J47" s="4" t="inlineStr">
        <is>
          <t>Zustand erhalten; unabhängige Sicherheitskette und Maßnahmen bei der wiederkehrenden Prüfung erneut prüfen</t>
        </is>
      </c>
      <c r="K47" s="4" t="inlineStr"/>
      <c r="L47" s="4" t="inlineStr">
        <is>
          <t>Entschieden 2026-09-03: K-C07.</t>
        </is>
      </c>
      <c r="M47" s="3" t="n"/>
      <c r="N47" s="3" t="n"/>
    </row>
    <row r="48">
      <c r="A48" s="2" t="inlineStr">
        <is>
          <t>CY-C03</t>
        </is>
      </c>
      <c r="B48" s="2" t="inlineStr">
        <is>
          <t>Manipulation oder Ausfall: Frequenzumrichter</t>
        </is>
      </c>
      <c r="C48" s="2" t="inlineStr">
        <is>
          <t>Antrieb und Türen</t>
        </is>
      </c>
      <c r="D48" s="2" t="inlineStr">
        <is>
          <t>CY-C03-R4</t>
        </is>
      </c>
      <c r="E48" s="2" t="n">
        <v>400</v>
      </c>
      <c r="F48" s="2" t="inlineStr">
        <is>
          <t>(3.3.2 Höchste vorhandene Schnittstellenkategorie der Komponente „Frequenzumrichter" = „Fernzugriff (Internet/Cloud, Hersteller-Fernzugriff, Service-App)" UND 3.3.3 Schutzmaßnahmen nach TRBS 1115-1 für „Frequenzumrichter" ≠ „Festgelegt, umgesetzt und Wirksamkeit nachgewiesen (TRBS 1115-1 Abschn. 5)")</t>
        </is>
      </c>
      <c r="G48" s="2" t="inlineStr">
        <is>
          <t>Hoch</t>
        </is>
      </c>
      <c r="H48" s="2" t="inlineStr">
        <is>
          <t>INFERRED</t>
        </is>
      </c>
      <c r="I48" s="2" t="inlineStr"/>
      <c r="J48" s="2" t="inlineStr">
        <is>
          <t>Fernzugang der Komponente „Frequenzumrichter" deaktivieren oder physisch trennen, bis die Schutzmaßnahmen umgesetzt und nachgewiesen sind</t>
        </is>
      </c>
      <c r="K48" s="2" t="inlineStr">
        <is>
          <t>Parameterzugriff schützen; zulässigen Parametersatz sichern; nach Änderungen Antrieb und Fahrverhalten prüfen. Wirksamkeit nachweisen (TRBS 1115-1 Abschn. 5).</t>
        </is>
      </c>
      <c r="L48" s="2" t="inlineStr">
        <is>
          <t>Entschieden 2026-09-03: K-C01.</t>
        </is>
      </c>
      <c r="M48" s="3" t="n"/>
      <c r="N48" s="3" t="n"/>
    </row>
    <row r="49">
      <c r="A49" s="4" t="inlineStr">
        <is>
          <t>CY-C03</t>
        </is>
      </c>
      <c r="B49" s="4" t="inlineStr">
        <is>
          <t>Manipulation oder Ausfall: Frequenzumrichter</t>
        </is>
      </c>
      <c r="C49" s="4" t="inlineStr">
        <is>
          <t>Antrieb und Türen</t>
        </is>
      </c>
      <c r="D49" s="4" t="inlineStr">
        <is>
          <t>CY-C03-R5</t>
        </is>
      </c>
      <c r="E49" s="4" t="n">
        <v>390</v>
      </c>
      <c r="F49" s="4" t="inlineStr">
        <is>
          <t>(3.3.2 Höchste vorhandene Schnittstellenkategorie der Komponente „Frequenzumrichter" = „Kabellos im Nahbereich (WLAN, Bluetooth, NFC, Mobilfunk/SIM)" UND 3.3.3 Schutzmaßnahmen nach TRBS 1115-1 für „Frequenzumrichter" ≠ „Festgelegt, umgesetzt und Wirksamkeit nachgewiesen (TRBS 1115-1 Abschn. 5)")</t>
        </is>
      </c>
      <c r="G49" s="4" t="inlineStr">
        <is>
          <t>Hoch</t>
        </is>
      </c>
      <c r="H49" s="4" t="inlineStr">
        <is>
          <t>INFERRED</t>
        </is>
      </c>
      <c r="I49" s="4" t="inlineStr"/>
      <c r="J49" s="4" t="inlineStr">
        <is>
          <t>Funkschnittstelle der Komponente „Frequenzumrichter" deaktivieren oder auf das Notwendige beschränken, bis die Schutzmaßnahmen umgesetzt sind</t>
        </is>
      </c>
      <c r="K49" s="4" t="inlineStr">
        <is>
          <t>Parameterzugriff schützen; zulässigen Parametersatz sichern; nach Änderungen Antrieb und Fahrverhalten prüfen. Wirksamkeit nachweisen (TRBS 1115-1 Abschn. 5).</t>
        </is>
      </c>
      <c r="L49" s="4" t="inlineStr">
        <is>
          <t>Entschieden 2026-09-03: K-C01.</t>
        </is>
      </c>
      <c r="M49" s="3" t="n"/>
      <c r="N49" s="3" t="n"/>
    </row>
    <row r="50">
      <c r="A50" s="2" t="inlineStr">
        <is>
          <t>CY-C03</t>
        </is>
      </c>
      <c r="B50" s="2" t="inlineStr">
        <is>
          <t>Manipulation oder Ausfall: Frequenzumrichter</t>
        </is>
      </c>
      <c r="C50" s="2" t="inlineStr">
        <is>
          <t>Antrieb und Türen</t>
        </is>
      </c>
      <c r="D50" s="2" t="inlineStr">
        <is>
          <t>CY-C03-R6</t>
        </is>
      </c>
      <c r="E50" s="2" t="n">
        <v>380</v>
      </c>
      <c r="F50" s="2" t="inlineStr">
        <is>
          <t>((3.3.2 Höchste vorhandene Schnittstellenkategorie der Komponente „Frequenzumrichter" in [„Kabelgebunden, nur vor Ort (USB, RS232/485, CAN, Ethernet, Serviceanschluss, Speicherkarte)", „Benutzerschnittstelle (Bedienfeld, Eingabeterminal, Display mit Parametrierzugang)"] UND 3.3.3 Schutzmaßnahmen nach TRBS 1115-1 für „Frequenzumrichter" = „Keine Schutzmaßnahmen festgelegt")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G50" s="2" t="inlineStr">
        <is>
          <t>Hoch</t>
        </is>
      </c>
      <c r="H50" s="2" t="inlineStr">
        <is>
          <t>INFERRED</t>
        </is>
      </c>
      <c r="I50" s="2" t="inlineStr"/>
      <c r="J50" s="2" t="inlineStr">
        <is>
          <t>Zugang zur Komponente/zum Steuerschrank sofort beschränken; Service- und Programmierschnittstellen sichern</t>
        </is>
      </c>
      <c r="K50" s="2" t="inlineStr">
        <is>
          <t>Parameterzugriff schützen; zulässigen Parametersatz sichern; nach Änderungen Antrieb und Fahrverhalten prüfen. Wirksamkeit nachweisen (TRBS 1115-1 Abschn. 5).</t>
        </is>
      </c>
      <c r="L50" s="2" t="inlineStr">
        <is>
          <t>Entschieden 2026-09-03: K-C05.</t>
        </is>
      </c>
      <c r="M50" s="3" t="n"/>
      <c r="N50" s="3" t="n"/>
    </row>
    <row r="51">
      <c r="A51" s="4" t="inlineStr">
        <is>
          <t>CY-C03</t>
        </is>
      </c>
      <c r="B51" s="4" t="inlineStr">
        <is>
          <t>Manipulation oder Ausfall: Frequenzumrichter</t>
        </is>
      </c>
      <c r="C51" s="4" t="inlineStr">
        <is>
          <t>Antrieb und Türen</t>
        </is>
      </c>
      <c r="D51" s="4" t="inlineStr">
        <is>
          <t>CY-C03-R7</t>
        </is>
      </c>
      <c r="E51" s="4" t="n">
        <v>300</v>
      </c>
      <c r="F51" s="4" t="inlineStr">
        <is>
          <t>(3.3.2 Höchste vorhandene Schnittstellenkategorie der Komponente „Frequenzumrichter" in [„Kabelgebunden, nur vor Ort (USB, RS232/485, CAN, Ethernet, Serviceanschluss, Speicherkarte)", „Benutzerschnittstelle (Bedienfeld, Eingabeterminal, Display mit Parametrierzugang)"] UND 3.3.3 Schutzmaßnahmen nach TRBS 1115-1 für „Frequenzumrichter" = „Keine Schutzmaßnahmen festgelegt")</t>
        </is>
      </c>
      <c r="G51" s="4" t="inlineStr">
        <is>
          <t>Mittel</t>
        </is>
      </c>
      <c r="H51" s="4" t="inlineStr">
        <is>
          <t>INFERRED</t>
        </is>
      </c>
      <c r="I51" s="4" t="inlineStr"/>
      <c r="J51" s="4" t="inlineStr">
        <is>
          <t>Serviceschnittstellen der Komponente gegen unbefugte Nutzung sichern</t>
        </is>
      </c>
      <c r="K51" s="4" t="inlineStr">
        <is>
          <t>Parameterzugriff schützen; zulässigen Parametersatz sichern; nach Änderungen Antrieb und Fahrverhalten prüfen. Wirksamkeit nachweisen (TRBS 1115-1 Abschn. 5).</t>
        </is>
      </c>
      <c r="L51" s="4" t="inlineStr">
        <is>
          <t>Freigegeben 2026-09-03.</t>
        </is>
      </c>
      <c r="M51" s="3" t="n"/>
      <c r="N51" s="3" t="n"/>
    </row>
    <row r="52">
      <c r="A52" s="2" t="inlineStr">
        <is>
          <t>CY-C03</t>
        </is>
      </c>
      <c r="B52" s="2" t="inlineStr">
        <is>
          <t>Manipulation oder Ausfall: Frequenzumrichter</t>
        </is>
      </c>
      <c r="C52" s="2" t="inlineStr">
        <is>
          <t>Antrieb und Türen</t>
        </is>
      </c>
      <c r="D52" s="2" t="inlineStr">
        <is>
          <t>CY-C03-R8</t>
        </is>
      </c>
      <c r="E52" s="2" t="n">
        <v>290</v>
      </c>
      <c r="F52" s="2" t="inlineStr">
        <is>
          <t>((3.3.2 Höchste vorhandene Schnittstellenkategorie der Komponente „Frequenzumrichter" in [„Kabelgebunden, nur vor Ort (USB, RS232/485, CAN, Ethernet, Serviceanschluss, Speicherkarte)", „Benutzerschnittstelle (Bedienfeld, Eingabeterminal, Display mit Parametrierzugang)"] UND 3.3.3 Schutzmaßnahmen nach TRBS 1115-1 für „Frequenzumrichter" = „Festgelegt, aber nicht vollständig umgesetzt oder ohne Wirksamkeitsnachweis")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G52" s="2" t="inlineStr">
        <is>
          <t>Mittel</t>
        </is>
      </c>
      <c r="H52" s="2" t="inlineStr">
        <is>
          <t>INFERRED</t>
        </is>
      </c>
      <c r="I52" s="2" t="inlineStr"/>
      <c r="J52" s="2" t="inlineStr">
        <is>
          <t>Zugang beschränken; offene Maßnahmen priorisiert umsetzen</t>
        </is>
      </c>
      <c r="K52" s="2" t="inlineStr">
        <is>
          <t>Festgelegte Maßnahmen vollständig umsetzen und Wirksamkeit nachweisen</t>
        </is>
      </c>
      <c r="L52" s="2" t="inlineStr">
        <is>
          <t>Freigegeben 2026-09-03.</t>
        </is>
      </c>
      <c r="M52" s="3" t="n"/>
      <c r="N52" s="3" t="n"/>
    </row>
    <row r="53">
      <c r="A53" s="4" t="inlineStr">
        <is>
          <t>CY-C03</t>
        </is>
      </c>
      <c r="B53" s="4" t="inlineStr">
        <is>
          <t>Manipulation oder Ausfall: Frequenzumrichter</t>
        </is>
      </c>
      <c r="C53" s="4" t="inlineStr">
        <is>
          <t>Antrieb und Türen</t>
        </is>
      </c>
      <c r="D53" s="4" t="inlineStr">
        <is>
          <t>CY-C03-R9</t>
        </is>
      </c>
      <c r="E53" s="4" t="n">
        <v>280</v>
      </c>
      <c r="F53" s="4" t="inlineStr">
        <is>
          <t>(3.3.2 Höchste vorhandene Schnittstellenkategorie der Komponente „Frequenzumrichter" in [„Kabelgebunden, nur vor Ort (USB, RS232/485, CAN, Ethernet, Serviceanschluss, Speicherkarte)", „Benutzerschnittstelle (Bedienfeld, Eingabeterminal, Display mit Parametrierzugang)"] UND 3.3.3 Schutzmaßnahmen nach TRBS 1115-1 für „Frequenzumrichter" = „Festgelegt, aber nicht vollständig umgesetzt oder ohne Wirksamkeitsnachweis")</t>
        </is>
      </c>
      <c r="G53" s="4" t="inlineStr">
        <is>
          <t>Niedrig</t>
        </is>
      </c>
      <c r="H53" s="4" t="inlineStr">
        <is>
          <t>INFERRED</t>
        </is>
      </c>
      <c r="I53" s="4" t="inlineStr"/>
      <c r="J53" s="4" t="inlineStr">
        <is>
          <t>Offene Maßnahmen terminieren und Verantwortliche benennen</t>
        </is>
      </c>
      <c r="K53" s="4" t="inlineStr">
        <is>
          <t>Festgelegte Maßnahmen vollständig umsetzen und Wirksamkeit nachweisen</t>
        </is>
      </c>
      <c r="L53" s="4" t="inlineStr">
        <is>
          <t>Freigegeben 2026-09-03.</t>
        </is>
      </c>
      <c r="M53" s="3" t="n"/>
      <c r="N53" s="3" t="n"/>
    </row>
    <row r="54">
      <c r="A54" s="2" t="inlineStr">
        <is>
          <t>CY-C03</t>
        </is>
      </c>
      <c r="B54" s="2" t="inlineStr">
        <is>
          <t>Manipulation oder Ausfall: Frequenzumrichter</t>
        </is>
      </c>
      <c r="C54" s="2" t="inlineStr">
        <is>
          <t>Antrieb und Türen</t>
        </is>
      </c>
      <c r="D54" s="2" t="inlineStr">
        <is>
          <t>CY-C03-R10</t>
        </is>
      </c>
      <c r="E54" s="2" t="n">
        <v>270</v>
      </c>
      <c r="F54" s="2" t="inlineStr">
        <is>
          <t>(3.3.2 Höchste vorhandene Schnittstellenkategorie der Komponente „Frequenzumrichter" in [„Kabellos im Nahbereich (WLAN, Bluetooth, NFC, Mobilfunk/SIM)", „Fernzugriff (Internet/Cloud, Hersteller-Fernzugriff, Service-App)"] UND 3.3.3 Schutzmaßnahmen nach TRBS 1115-1 für „Frequenzumrichter" = „Festgelegt, umgesetzt und Wirksamkeit nachgewiesen (TRBS 1115-1 Abschn. 5)")</t>
        </is>
      </c>
      <c r="G54" s="2" t="inlineStr">
        <is>
          <t>Kein Risiko</t>
        </is>
      </c>
      <c r="H54" s="2" t="inlineStr">
        <is>
          <t>HIGH_CONFIDENCE</t>
        </is>
      </c>
      <c r="I54" s="2" t="inlineStr"/>
      <c r="J54" s="2" t="inlineStr">
        <is>
          <t>Zustand erhalten; Fern-/Funkzugang regelmäßig auf Notwendigkeit prüfen, Wirksamkeit bei der wiederkehrenden Prüfung erneut nachweisen</t>
        </is>
      </c>
      <c r="K54" s="2" t="inlineStr"/>
      <c r="L54" s="2" t="inlineStr">
        <is>
          <t>Entschieden 2026-09-03: K-C06.</t>
        </is>
      </c>
      <c r="M54" s="3" t="n"/>
      <c r="N54" s="3" t="n"/>
    </row>
    <row r="55">
      <c r="A55" s="4" t="inlineStr">
        <is>
          <t>CY-C03</t>
        </is>
      </c>
      <c r="B55" s="4" t="inlineStr">
        <is>
          <t>Manipulation oder Ausfall: Frequenzumrichter</t>
        </is>
      </c>
      <c r="C55" s="4" t="inlineStr">
        <is>
          <t>Antrieb und Türen</t>
        </is>
      </c>
      <c r="D55" s="4" t="inlineStr">
        <is>
          <t>CY-C03-R11</t>
        </is>
      </c>
      <c r="E55" s="4" t="n">
        <v>260</v>
      </c>
      <c r="F55" s="4" t="inlineStr">
        <is>
          <t>((3.3.2 Höchste vorhandene Schnittstellenkategorie der Komponente „Frequenzumrichter" in [„Kabelgebunden, nur vor Ort (USB, RS232/485, CAN, Ethernet, Serviceanschluss, Speicherkarte)", „Benutzerschnittstelle (Bedienfeld, Eingabeterminal, Display mit Parametrierzugang)"] UND 3.3.3 Schutzmaßnahmen nach TRBS 1115-1 für „Frequenzumrichter" = „Festgelegt, umgesetzt und Wirksamkeit nachgewiesen (TRBS 1115-1 Abschn. 5)")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G55" s="4" t="inlineStr">
        <is>
          <t>Niedrig</t>
        </is>
      </c>
      <c r="H55" s="4" t="inlineStr">
        <is>
          <t>INFERRED</t>
        </is>
      </c>
      <c r="I55" s="4" t="inlineStr"/>
      <c r="J55" s="4" t="inlineStr">
        <is>
          <t>Physischen Zugang zur Steuerung bzw. zum Raum beschränken (siehe Gefährdungen Zugang)</t>
        </is>
      </c>
      <c r="K55" s="4" t="inlineStr">
        <is>
          <t>Zugangskontrolle (Hardware) dauerhaft herstellen</t>
        </is>
      </c>
      <c r="L55" s="4" t="inlineStr">
        <is>
          <t>Freigegeben 2026-09-03.</t>
        </is>
      </c>
      <c r="M55" s="3" t="n"/>
      <c r="N55" s="3" t="n"/>
    </row>
    <row r="56">
      <c r="A56" s="2" t="inlineStr">
        <is>
          <t>CY-C03</t>
        </is>
      </c>
      <c r="B56" s="2" t="inlineStr">
        <is>
          <t>Manipulation oder Ausfall: Frequenzumrichter</t>
        </is>
      </c>
      <c r="C56" s="2" t="inlineStr">
        <is>
          <t>Antrieb und Türen</t>
        </is>
      </c>
      <c r="D56" s="2" t="inlineStr">
        <is>
          <t>CY-C03-R12</t>
        </is>
      </c>
      <c r="E56" s="2" t="n">
        <v>250</v>
      </c>
      <c r="F56" s="2" t="inlineStr">
        <is>
          <t>(3.3.2 Höchste vorhandene Schnittstellenkategorie der Komponente „Frequenzumrichter" in [„Kabelgebunden, nur vor Ort (USB, RS232/485, CAN, Ethernet, Serviceanschluss, Speicherkarte)", „Benutzerschnittstelle (Bedienfeld, Eingabeterminal, Display mit Parametrierzugang)"] UND 3.3.3 Schutzmaßnahmen nach TRBS 1115-1 für „Frequenzumrichter" = „Festgelegt, umgesetzt und Wirksamkeit nachgewiesen (TRBS 1115-1 Abschn. 5)")</t>
        </is>
      </c>
      <c r="G56" s="2" t="inlineStr">
        <is>
          <t>Kein Risiko</t>
        </is>
      </c>
      <c r="H56" s="2" t="inlineStr">
        <is>
          <t>HIGH_CONFIDENCE</t>
        </is>
      </c>
      <c r="I56" s="2" t="inlineStr"/>
      <c r="J56" s="2" t="inlineStr">
        <is>
          <t>Zustand erhalten; Maßnahmen bei der wiederkehrenden Prüfung erneut nachweisen</t>
        </is>
      </c>
      <c r="K56" s="2" t="inlineStr"/>
      <c r="L56" s="2" t="inlineStr">
        <is>
          <t>Freigegeben 2026-09-03.</t>
        </is>
      </c>
      <c r="M56" s="3" t="n"/>
      <c r="N56" s="3" t="n"/>
    </row>
    <row r="57">
      <c r="A57" s="4" t="inlineStr">
        <is>
          <t>CY-C03</t>
        </is>
      </c>
      <c r="B57" s="4" t="inlineStr">
        <is>
          <t>Manipulation oder Ausfall: Frequenzumrichter</t>
        </is>
      </c>
      <c r="C57" s="4" t="inlineStr">
        <is>
          <t>Antrieb und Türen</t>
        </is>
      </c>
      <c r="D57" s="4" t="inlineStr">
        <is>
          <t>CY-C03-R13</t>
        </is>
      </c>
      <c r="E57" s="4" t="n">
        <v>1</v>
      </c>
      <c r="F57" s="4" t="inlineStr">
        <is>
          <t>3.3.2 Höchste vorhandene Schnittstellenkategorie der Komponente „Frequenzumrichter" beantwortet</t>
        </is>
      </c>
      <c r="G57" s="4" t="inlineStr">
        <is>
          <t>Kein Risiko</t>
        </is>
      </c>
      <c r="H57" s="4" t="inlineStr">
        <is>
          <t>HIGH_CONFIDENCE</t>
        </is>
      </c>
      <c r="I57" s="4" t="inlineStr"/>
      <c r="J57" s="4" t="inlineStr">
        <is>
          <t>Zustand erhalten; bei der wiederkehrenden Prüfung und der Betreiberkontrolle erneut prüfen</t>
        </is>
      </c>
      <c r="K57" s="4" t="inlineStr"/>
      <c r="L57" s="4" t="inlineStr">
        <is>
          <t>Kein Risiko: keine Mangelregel trifft zu, alle Pflichtfragen beantwortet. Freigegeben 2026-09-03.</t>
        </is>
      </c>
      <c r="M57" s="3" t="n"/>
      <c r="N57" s="3" t="n"/>
    </row>
    <row r="58">
      <c r="A58" s="2" t="inlineStr">
        <is>
          <t>CY-C04</t>
        </is>
      </c>
      <c r="B58" s="2" t="inlineStr">
        <is>
          <t>Manipulation oder Ausfall: Notrufsystem (Zwei-Wege-Kommunikation)</t>
        </is>
      </c>
      <c r="C58" s="2" t="inlineStr">
        <is>
          <t>Notruf und Kommunikation</t>
        </is>
      </c>
      <c r="D58" s="2" t="inlineStr">
        <is>
          <t>CY-C04-R1</t>
        </is>
      </c>
      <c r="E58" s="2" t="n">
        <v>600</v>
      </c>
      <c r="F58" s="2" t="inlineStr">
        <is>
          <t>3.4.2 Höchste vorhandene Schnittstellenkategorie der Komponente „Notrufsystem (Zwei-Wege-Kommunikation)" = „Keine bzw. nicht programmierbare Schnittstelle"</t>
        </is>
      </c>
      <c r="G58" s="2" t="inlineStr">
        <is>
          <t>Kein Risiko</t>
        </is>
      </c>
      <c r="H58" s="2" t="inlineStr">
        <is>
          <t>HIGH_CONFIDENCE</t>
        </is>
      </c>
      <c r="I58" s="2" t="inlineStr"/>
      <c r="J58" s="2" t="inlineStr">
        <is>
          <t>Keine kompromittierbare Schnittstelle – Feststellung dokumentieren (Vorscreening nach BA-017); bei Nachrüstung erneut bewerten</t>
        </is>
      </c>
      <c r="K58" s="2" t="inlineStr"/>
      <c r="L58" s="2" t="inlineStr">
        <is>
          <t>Vorscreening: Betrachtung abgeschlossen. Entschieden 2026-09-03: K-C02.</t>
        </is>
      </c>
      <c r="M58" s="3" t="n"/>
      <c r="N58" s="3" t="n"/>
    </row>
    <row r="59">
      <c r="A59" s="4" t="inlineStr">
        <is>
          <t>CY-C04</t>
        </is>
      </c>
      <c r="B59" s="4" t="inlineStr">
        <is>
          <t>Manipulation oder Ausfall: Notrufsystem (Zwei-Wege-Kommunikation)</t>
        </is>
      </c>
      <c r="C59" s="4" t="inlineStr">
        <is>
          <t>Notruf und Kommunikation</t>
        </is>
      </c>
      <c r="D59" s="4" t="inlineStr">
        <is>
          <t>CY-C04-R2</t>
        </is>
      </c>
      <c r="E59" s="4" t="n">
        <v>520</v>
      </c>
      <c r="F59" s="4" t="inlineStr">
        <is>
          <t>(3.4.4 Automatischer Testruf mit Ausfallmeldung an die Notrufzentrale (EN 81-28) vorhanden und wirksam? = Ja UND (3.4.2 Höchste vorhandene Schnittstellenkategorie der Komponente „Notrufsystem (Zwei-Wege-Kommunikation)" in [„Kabellos im Nahbereich (WLAN, Bluetooth, NFC, Mobilfunk/SIM)", „Fernzugriff (Internet/Cloud, Hersteller-Fernzugriff, Service-App)"] UND 3.4.3 Schutzmaßnahmen nach TRBS 1115-1 für „Notrufsystem (Zwei-Wege-Kommunikation)" ≠ „Festgelegt, umgesetzt und Wirksamkeit nachgewiesen (TRBS 1115-1 Abschn. 5)"))</t>
        </is>
      </c>
      <c r="G59" s="4" t="inlineStr">
        <is>
          <t>Mittel</t>
        </is>
      </c>
      <c r="H59" s="4" t="inlineStr">
        <is>
          <t>INFERRED</t>
        </is>
      </c>
      <c r="I59" s="4" t="inlineStr"/>
      <c r="J59" s="4" t="inlineStr">
        <is>
          <t>Fern-/Funkzugang der Komponente bis zur Umsetzung der Maßnahmen deaktivieren; unabhängige Sicherheitseinrichtung bei jeder Prüfung mitprüfen</t>
        </is>
      </c>
      <c r="K59" s="4" t="inlineStr">
        <is>
          <t>Zugriff auf Schnittstellen verhindern/begrenzen; Werkszugangsdaten ändern; Notrufverbindung regelmäßig prüfen. Wirksamkeit nachweisen (TRBS 1115-1 Abschn. 5).</t>
        </is>
      </c>
      <c r="L59" s="4" t="inlineStr">
        <is>
          <t>Entschieden 2026-09-03: K-C08.</t>
        </is>
      </c>
      <c r="M59" s="3" t="n"/>
      <c r="N59" s="3" t="n"/>
    </row>
    <row r="60">
      <c r="A60" s="2" t="inlineStr">
        <is>
          <t>CY-C04</t>
        </is>
      </c>
      <c r="B60" s="2" t="inlineStr">
        <is>
          <t>Manipulation oder Ausfall: Notrufsystem (Zwei-Wege-Kommunikation)</t>
        </is>
      </c>
      <c r="C60" s="2" t="inlineStr">
        <is>
          <t>Notruf und Kommunikation</t>
        </is>
      </c>
      <c r="D60" s="2" t="inlineStr">
        <is>
          <t>CY-C04-R3</t>
        </is>
      </c>
      <c r="E60" s="2" t="n">
        <v>510</v>
      </c>
      <c r="F60" s="2" t="inlineStr">
        <is>
          <t>(3.4.4 Automatischer Testruf mit Ausfallmeldung an die Notrufzentrale (EN 81-28) vorhanden und wirksam? = Ja UND (3.4.2 Höchste vorhandene Schnittstellenkategorie der Komponente „Notrufsystem (Zwei-Wege-Kommunikation)" in [„Kabelgebunden, nur vor Ort (USB, RS232/485, CAN, Ethernet, Serviceanschluss, Speicherkarte)", „Benutzerschnittstelle (Bedienfeld, Eingabeterminal, Display mit Parametrierzugang)"] UND 3.4.3 Schutzmaßnahmen nach TRBS 1115-1 für „Notrufsystem (Zwei-Wege-Kommunikation)" = „Keine Schutzmaßnahmen festgelegt")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G60" s="2" t="inlineStr">
        <is>
          <t>Mittel</t>
        </is>
      </c>
      <c r="H60" s="2" t="inlineStr">
        <is>
          <t>INFERRED</t>
        </is>
      </c>
      <c r="I60" s="2" t="inlineStr"/>
      <c r="J60" s="2" t="inlineStr">
        <is>
          <t>Zugang zur Komponente sofort beschränken; Serviceschnittstellen sichern; unabhängige Sicherheitseinrichtung bei jeder Prüfung mitprüfen</t>
        </is>
      </c>
      <c r="K60" s="2" t="inlineStr">
        <is>
          <t>Zugriff auf Schnittstellen verhindern/begrenzen; Werkszugangsdaten ändern; Notrufverbindung regelmäßig prüfen. Wirksamkeit nachweisen (TRBS 1115-1 Abschn. 5).</t>
        </is>
      </c>
      <c r="L60" s="2" t="inlineStr">
        <is>
          <t>Entschieden 2026-09-03: K-C08.</t>
        </is>
      </c>
      <c r="M60" s="3" t="n"/>
      <c r="N60" s="3" t="n"/>
    </row>
    <row r="61">
      <c r="A61" s="4" t="inlineStr">
        <is>
          <t>CY-C04</t>
        </is>
      </c>
      <c r="B61" s="4" t="inlineStr">
        <is>
          <t>Manipulation oder Ausfall: Notrufsystem (Zwei-Wege-Kommunikation)</t>
        </is>
      </c>
      <c r="C61" s="4" t="inlineStr">
        <is>
          <t>Notruf und Kommunikation</t>
        </is>
      </c>
      <c r="D61" s="4" t="inlineStr">
        <is>
          <t>CY-C04-R4</t>
        </is>
      </c>
      <c r="E61" s="4" t="n">
        <v>400</v>
      </c>
      <c r="F61" s="4" t="inlineStr">
        <is>
          <t>(3.4.2 Höchste vorhandene Schnittstellenkategorie der Komponente „Notrufsystem (Zwei-Wege-Kommunikation)" = „Fernzugriff (Internet/Cloud, Hersteller-Fernzugriff, Service-App)" UND 3.4.3 Schutzmaßnahmen nach TRBS 1115-1 für „Notrufsystem (Zwei-Wege-Kommunikation)" ≠ „Festgelegt, umgesetzt und Wirksamkeit nachgewiesen (TRBS 1115-1 Abschn. 5)")</t>
        </is>
      </c>
      <c r="G61" s="4" t="inlineStr">
        <is>
          <t>Hoch</t>
        </is>
      </c>
      <c r="H61" s="4" t="inlineStr">
        <is>
          <t>INFERRED</t>
        </is>
      </c>
      <c r="I61" s="4" t="inlineStr"/>
      <c r="J61" s="4" t="inlineStr">
        <is>
          <t>Fernzugang der Komponente „Notrufsystem (Zwei-Wege-Kommunikation)" deaktivieren oder physisch trennen, bis die Schutzmaßnahmen umgesetzt und nachgewiesen sind</t>
        </is>
      </c>
      <c r="K61" s="4" t="inlineStr">
        <is>
          <t>Zugriff auf Schnittstellen verhindern/begrenzen; Werkszugangsdaten ändern; Notrufverbindung regelmäßig prüfen. Wirksamkeit nachweisen (TRBS 1115-1 Abschn. 5).</t>
        </is>
      </c>
      <c r="L61" s="4" t="inlineStr">
        <is>
          <t>Entschieden 2026-09-03: K-C01.</t>
        </is>
      </c>
      <c r="M61" s="3" t="n"/>
      <c r="N61" s="3" t="n"/>
    </row>
    <row r="62">
      <c r="A62" s="2" t="inlineStr">
        <is>
          <t>CY-C04</t>
        </is>
      </c>
      <c r="B62" s="2" t="inlineStr">
        <is>
          <t>Manipulation oder Ausfall: Notrufsystem (Zwei-Wege-Kommunikation)</t>
        </is>
      </c>
      <c r="C62" s="2" t="inlineStr">
        <is>
          <t>Notruf und Kommunikation</t>
        </is>
      </c>
      <c r="D62" s="2" t="inlineStr">
        <is>
          <t>CY-C04-R5</t>
        </is>
      </c>
      <c r="E62" s="2" t="n">
        <v>390</v>
      </c>
      <c r="F62" s="2" t="inlineStr">
        <is>
          <t>(3.4.2 Höchste vorhandene Schnittstellenkategorie der Komponente „Notrufsystem (Zwei-Wege-Kommunikation)" = „Kabellos im Nahbereich (WLAN, Bluetooth, NFC, Mobilfunk/SIM)" UND 3.4.3 Schutzmaßnahmen nach TRBS 1115-1 für „Notrufsystem (Zwei-Wege-Kommunikation)" ≠ „Festgelegt, umgesetzt und Wirksamkeit nachgewiesen (TRBS 1115-1 Abschn. 5)")</t>
        </is>
      </c>
      <c r="G62" s="2" t="inlineStr">
        <is>
          <t>Hoch</t>
        </is>
      </c>
      <c r="H62" s="2" t="inlineStr">
        <is>
          <t>INFERRED</t>
        </is>
      </c>
      <c r="I62" s="2" t="inlineStr"/>
      <c r="J62" s="2" t="inlineStr">
        <is>
          <t>Funkschnittstelle der Komponente „Notrufsystem (Zwei-Wege-Kommunikation)" deaktivieren oder auf das Notwendige beschränken, bis die Schutzmaßnahmen umgesetzt sind</t>
        </is>
      </c>
      <c r="K62" s="2" t="inlineStr">
        <is>
          <t>Zugriff auf Schnittstellen verhindern/begrenzen; Werkszugangsdaten ändern; Notrufverbindung regelmäßig prüfen. Wirksamkeit nachweisen (TRBS 1115-1 Abschn. 5).</t>
        </is>
      </c>
      <c r="L62" s="2" t="inlineStr">
        <is>
          <t>Entschieden 2026-09-03: K-C01.</t>
        </is>
      </c>
      <c r="M62" s="3" t="n"/>
      <c r="N62" s="3" t="n"/>
    </row>
    <row r="63">
      <c r="A63" s="4" t="inlineStr">
        <is>
          <t>CY-C04</t>
        </is>
      </c>
      <c r="B63" s="4" t="inlineStr">
        <is>
          <t>Manipulation oder Ausfall: Notrufsystem (Zwei-Wege-Kommunikation)</t>
        </is>
      </c>
      <c r="C63" s="4" t="inlineStr">
        <is>
          <t>Notruf und Kommunikation</t>
        </is>
      </c>
      <c r="D63" s="4" t="inlineStr">
        <is>
          <t>CY-C04-R6</t>
        </is>
      </c>
      <c r="E63" s="4" t="n">
        <v>380</v>
      </c>
      <c r="F63" s="4" t="inlineStr">
        <is>
          <t>((3.4.2 Höchste vorhandene Schnittstellenkategorie der Komponente „Notrufsystem (Zwei-Wege-Kommunikation)" in [„Kabelgebunden, nur vor Ort (USB, RS232/485, CAN, Ethernet, Serviceanschluss, Speicherkarte)", „Benutzerschnittstelle (Bedienfeld, Eingabeterminal, Display mit Parametrierzugang)"] UND 3.4.3 Schutzmaßnahmen nach TRBS 1115-1 für „Notrufsystem (Zwei-Wege-Kommunikation)" = „Keine Schutzmaßnahmen festgelegt")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G63" s="4" t="inlineStr">
        <is>
          <t>Hoch</t>
        </is>
      </c>
      <c r="H63" s="4" t="inlineStr">
        <is>
          <t>INFERRED</t>
        </is>
      </c>
      <c r="I63" s="4" t="inlineStr"/>
      <c r="J63" s="4" t="inlineStr">
        <is>
          <t>Zugang zur Komponente/zum Steuerschrank sofort beschränken; Service- und Programmierschnittstellen sichern</t>
        </is>
      </c>
      <c r="K63" s="4" t="inlineStr">
        <is>
          <t>Zugriff auf Schnittstellen verhindern/begrenzen; Werkszugangsdaten ändern; Notrufverbindung regelmäßig prüfen. Wirksamkeit nachweisen (TRBS 1115-1 Abschn. 5).</t>
        </is>
      </c>
      <c r="L63" s="4" t="inlineStr">
        <is>
          <t>Entschieden 2026-09-03: K-C05.</t>
        </is>
      </c>
      <c r="M63" s="3" t="n"/>
      <c r="N63" s="3" t="n"/>
    </row>
    <row r="64">
      <c r="A64" s="2" t="inlineStr">
        <is>
          <t>CY-C04</t>
        </is>
      </c>
      <c r="B64" s="2" t="inlineStr">
        <is>
          <t>Manipulation oder Ausfall: Notrufsystem (Zwei-Wege-Kommunikation)</t>
        </is>
      </c>
      <c r="C64" s="2" t="inlineStr">
        <is>
          <t>Notruf und Kommunikation</t>
        </is>
      </c>
      <c r="D64" s="2" t="inlineStr">
        <is>
          <t>CY-C04-R7</t>
        </is>
      </c>
      <c r="E64" s="2" t="n">
        <v>300</v>
      </c>
      <c r="F64" s="2" t="inlineStr">
        <is>
          <t>(3.4.2 Höchste vorhandene Schnittstellenkategorie der Komponente „Notrufsystem (Zwei-Wege-Kommunikation)" in [„Kabelgebunden, nur vor Ort (USB, RS232/485, CAN, Ethernet, Serviceanschluss, Speicherkarte)", „Benutzerschnittstelle (Bedienfeld, Eingabeterminal, Display mit Parametrierzugang)"] UND 3.4.3 Schutzmaßnahmen nach TRBS 1115-1 für „Notrufsystem (Zwei-Wege-Kommunikation)" = „Keine Schutzmaßnahmen festgelegt")</t>
        </is>
      </c>
      <c r="G64" s="2" t="inlineStr">
        <is>
          <t>Mittel</t>
        </is>
      </c>
      <c r="H64" s="2" t="inlineStr">
        <is>
          <t>INFERRED</t>
        </is>
      </c>
      <c r="I64" s="2" t="inlineStr"/>
      <c r="J64" s="2" t="inlineStr">
        <is>
          <t>Serviceschnittstellen der Komponente gegen unbefugte Nutzung sichern</t>
        </is>
      </c>
      <c r="K64" s="2" t="inlineStr">
        <is>
          <t>Zugriff auf Schnittstellen verhindern/begrenzen; Werkszugangsdaten ändern; Notrufverbindung regelmäßig prüfen. Wirksamkeit nachweisen (TRBS 1115-1 Abschn. 5).</t>
        </is>
      </c>
      <c r="L64" s="2" t="inlineStr">
        <is>
          <t>Freigegeben 2026-09-03.</t>
        </is>
      </c>
      <c r="M64" s="3" t="n"/>
      <c r="N64" s="3" t="n"/>
    </row>
    <row r="65">
      <c r="A65" s="4" t="inlineStr">
        <is>
          <t>CY-C04</t>
        </is>
      </c>
      <c r="B65" s="4" t="inlineStr">
        <is>
          <t>Manipulation oder Ausfall: Notrufsystem (Zwei-Wege-Kommunikation)</t>
        </is>
      </c>
      <c r="C65" s="4" t="inlineStr">
        <is>
          <t>Notruf und Kommunikation</t>
        </is>
      </c>
      <c r="D65" s="4" t="inlineStr">
        <is>
          <t>CY-C04-R8</t>
        </is>
      </c>
      <c r="E65" s="4" t="n">
        <v>290</v>
      </c>
      <c r="F65" s="4" t="inlineStr">
        <is>
          <t>((3.4.2 Höchste vorhandene Schnittstellenkategorie der Komponente „Notrufsystem (Zwei-Wege-Kommunikation)" in [„Kabelgebunden, nur vor Ort (USB, RS232/485, CAN, Ethernet, Serviceanschluss, Speicherkarte)", „Benutzerschnittstelle (Bedienfeld, Eingabeterminal, Display mit Parametrierzugang)"] UND 3.4.3 Schutzmaßnahmen nach TRBS 1115-1 für „Notrufsystem (Zwei-Wege-Kommunikation)" = „Festgelegt, aber nicht vollständig umgesetzt oder ohne Wirksamkeitsnachweis")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G65" s="4" t="inlineStr">
        <is>
          <t>Mittel</t>
        </is>
      </c>
      <c r="H65" s="4" t="inlineStr">
        <is>
          <t>INFERRED</t>
        </is>
      </c>
      <c r="I65" s="4" t="inlineStr"/>
      <c r="J65" s="4" t="inlineStr">
        <is>
          <t>Zugang beschränken; offene Maßnahmen priorisiert umsetzen</t>
        </is>
      </c>
      <c r="K65" s="4" t="inlineStr">
        <is>
          <t>Festgelegte Maßnahmen vollständig umsetzen und Wirksamkeit nachweisen</t>
        </is>
      </c>
      <c r="L65" s="4" t="inlineStr">
        <is>
          <t>Freigegeben 2026-09-03.</t>
        </is>
      </c>
      <c r="M65" s="3" t="n"/>
      <c r="N65" s="3" t="n"/>
    </row>
    <row r="66">
      <c r="A66" s="2" t="inlineStr">
        <is>
          <t>CY-C04</t>
        </is>
      </c>
      <c r="B66" s="2" t="inlineStr">
        <is>
          <t>Manipulation oder Ausfall: Notrufsystem (Zwei-Wege-Kommunikation)</t>
        </is>
      </c>
      <c r="C66" s="2" t="inlineStr">
        <is>
          <t>Notruf und Kommunikation</t>
        </is>
      </c>
      <c r="D66" s="2" t="inlineStr">
        <is>
          <t>CY-C04-R9</t>
        </is>
      </c>
      <c r="E66" s="2" t="n">
        <v>280</v>
      </c>
      <c r="F66" s="2" t="inlineStr">
        <is>
          <t>(3.4.2 Höchste vorhandene Schnittstellenkategorie der Komponente „Notrufsystem (Zwei-Wege-Kommunikation)" in [„Kabelgebunden, nur vor Ort (USB, RS232/485, CAN, Ethernet, Serviceanschluss, Speicherkarte)", „Benutzerschnittstelle (Bedienfeld, Eingabeterminal, Display mit Parametrierzugang)"] UND 3.4.3 Schutzmaßnahmen nach TRBS 1115-1 für „Notrufsystem (Zwei-Wege-Kommunikation)" = „Festgelegt, aber nicht vollständig umgesetzt oder ohne Wirksamkeitsnachweis")</t>
        </is>
      </c>
      <c r="G66" s="2" t="inlineStr">
        <is>
          <t>Niedrig</t>
        </is>
      </c>
      <c r="H66" s="2" t="inlineStr">
        <is>
          <t>INFERRED</t>
        </is>
      </c>
      <c r="I66" s="2" t="inlineStr"/>
      <c r="J66" s="2" t="inlineStr">
        <is>
          <t>Offene Maßnahmen terminieren und Verantwortliche benennen</t>
        </is>
      </c>
      <c r="K66" s="2" t="inlineStr">
        <is>
          <t>Festgelegte Maßnahmen vollständig umsetzen und Wirksamkeit nachweisen</t>
        </is>
      </c>
      <c r="L66" s="2" t="inlineStr">
        <is>
          <t>Freigegeben 2026-09-03.</t>
        </is>
      </c>
      <c r="M66" s="3" t="n"/>
      <c r="N66" s="3" t="n"/>
    </row>
    <row r="67">
      <c r="A67" s="4" t="inlineStr">
        <is>
          <t>CY-C04</t>
        </is>
      </c>
      <c r="B67" s="4" t="inlineStr">
        <is>
          <t>Manipulation oder Ausfall: Notrufsystem (Zwei-Wege-Kommunikation)</t>
        </is>
      </c>
      <c r="C67" s="4" t="inlineStr">
        <is>
          <t>Notruf und Kommunikation</t>
        </is>
      </c>
      <c r="D67" s="4" t="inlineStr">
        <is>
          <t>CY-C04-R10</t>
        </is>
      </c>
      <c r="E67" s="4" t="n">
        <v>270</v>
      </c>
      <c r="F67" s="4" t="inlineStr">
        <is>
          <t>(3.4.2 Höchste vorhandene Schnittstellenkategorie der Komponente „Notrufsystem (Zwei-Wege-Kommunikation)" in [„Kabellos im Nahbereich (WLAN, Bluetooth, NFC, Mobilfunk/SIM)", „Fernzugriff (Internet/Cloud, Hersteller-Fernzugriff, Service-App)"] UND 3.4.3 Schutzmaßnahmen nach TRBS 1115-1 für „Notrufsystem (Zwei-Wege-Kommunikation)" = „Festgelegt, umgesetzt und Wirksamkeit nachgewiesen (TRBS 1115-1 Abschn. 5)")</t>
        </is>
      </c>
      <c r="G67" s="4" t="inlineStr">
        <is>
          <t>Kein Risiko</t>
        </is>
      </c>
      <c r="H67" s="4" t="inlineStr">
        <is>
          <t>HIGH_CONFIDENCE</t>
        </is>
      </c>
      <c r="I67" s="4" t="inlineStr"/>
      <c r="J67" s="4" t="inlineStr">
        <is>
          <t>Zustand erhalten; Fern-/Funkzugang regelmäßig auf Notwendigkeit prüfen, Wirksamkeit bei der wiederkehrenden Prüfung erneut nachweisen</t>
        </is>
      </c>
      <c r="K67" s="4" t="inlineStr"/>
      <c r="L67" s="4" t="inlineStr">
        <is>
          <t>Entschieden 2026-09-03: K-C06.</t>
        </is>
      </c>
      <c r="M67" s="3" t="n"/>
      <c r="N67" s="3" t="n"/>
    </row>
    <row r="68">
      <c r="A68" s="2" t="inlineStr">
        <is>
          <t>CY-C04</t>
        </is>
      </c>
      <c r="B68" s="2" t="inlineStr">
        <is>
          <t>Manipulation oder Ausfall: Notrufsystem (Zwei-Wege-Kommunikation)</t>
        </is>
      </c>
      <c r="C68" s="2" t="inlineStr">
        <is>
          <t>Notruf und Kommunikation</t>
        </is>
      </c>
      <c r="D68" s="2" t="inlineStr">
        <is>
          <t>CY-C04-R11</t>
        </is>
      </c>
      <c r="E68" s="2" t="n">
        <v>260</v>
      </c>
      <c r="F68" s="2" t="inlineStr">
        <is>
          <t>((3.4.2 Höchste vorhandene Schnittstellenkategorie der Komponente „Notrufsystem (Zwei-Wege-Kommunikation)" in [„Kabelgebunden, nur vor Ort (USB, RS232/485, CAN, Ethernet, Serviceanschluss, Speicherkarte)", „Benutzerschnittstelle (Bedienfeld, Eingabeterminal, Display mit Parametrierzugang)"] UND 3.4.3 Schutzmaßnahmen nach TRBS 1115-1 für „Notrufsystem (Zwei-Wege-Kommunikation)" = „Festgelegt, umgesetzt und Wirksamkeit nachgewiesen (TRBS 1115-1 Abschn. 5)")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G68" s="2" t="inlineStr">
        <is>
          <t>Niedrig</t>
        </is>
      </c>
      <c r="H68" s="2" t="inlineStr">
        <is>
          <t>INFERRED</t>
        </is>
      </c>
      <c r="I68" s="2" t="inlineStr"/>
      <c r="J68" s="2" t="inlineStr">
        <is>
          <t>Physischen Zugang zur Steuerung bzw. zum Raum beschränken (siehe Gefährdungen Zugang)</t>
        </is>
      </c>
      <c r="K68" s="2" t="inlineStr">
        <is>
          <t>Zugangskontrolle (Hardware) dauerhaft herstellen</t>
        </is>
      </c>
      <c r="L68" s="2" t="inlineStr">
        <is>
          <t>Freigegeben 2026-09-03.</t>
        </is>
      </c>
      <c r="M68" s="3" t="n"/>
      <c r="N68" s="3" t="n"/>
    </row>
    <row r="69">
      <c r="A69" s="4" t="inlineStr">
        <is>
          <t>CY-C04</t>
        </is>
      </c>
      <c r="B69" s="4" t="inlineStr">
        <is>
          <t>Manipulation oder Ausfall: Notrufsystem (Zwei-Wege-Kommunikation)</t>
        </is>
      </c>
      <c r="C69" s="4" t="inlineStr">
        <is>
          <t>Notruf und Kommunikation</t>
        </is>
      </c>
      <c r="D69" s="4" t="inlineStr">
        <is>
          <t>CY-C04-R12</t>
        </is>
      </c>
      <c r="E69" s="4" t="n">
        <v>250</v>
      </c>
      <c r="F69" s="4" t="inlineStr">
        <is>
          <t>(3.4.2 Höchste vorhandene Schnittstellenkategorie der Komponente „Notrufsystem (Zwei-Wege-Kommunikation)" in [„Kabelgebunden, nur vor Ort (USB, RS232/485, CAN, Ethernet, Serviceanschluss, Speicherkarte)", „Benutzerschnittstelle (Bedienfeld, Eingabeterminal, Display mit Parametrierzugang)"] UND 3.4.3 Schutzmaßnahmen nach TRBS 1115-1 für „Notrufsystem (Zwei-Wege-Kommunikation)" = „Festgelegt, umgesetzt und Wirksamkeit nachgewiesen (TRBS 1115-1 Abschn. 5)")</t>
        </is>
      </c>
      <c r="G69" s="4" t="inlineStr">
        <is>
          <t>Kein Risiko</t>
        </is>
      </c>
      <c r="H69" s="4" t="inlineStr">
        <is>
          <t>HIGH_CONFIDENCE</t>
        </is>
      </c>
      <c r="I69" s="4" t="inlineStr"/>
      <c r="J69" s="4" t="inlineStr">
        <is>
          <t>Zustand erhalten; Maßnahmen bei der wiederkehrenden Prüfung erneut nachweisen</t>
        </is>
      </c>
      <c r="K69" s="4" t="inlineStr"/>
      <c r="L69" s="4" t="inlineStr">
        <is>
          <t>Freigegeben 2026-09-03.</t>
        </is>
      </c>
      <c r="M69" s="3" t="n"/>
      <c r="N69" s="3" t="n"/>
    </row>
    <row r="70">
      <c r="A70" s="2" t="inlineStr">
        <is>
          <t>CY-C04</t>
        </is>
      </c>
      <c r="B70" s="2" t="inlineStr">
        <is>
          <t>Manipulation oder Ausfall: Notrufsystem (Zwei-Wege-Kommunikation)</t>
        </is>
      </c>
      <c r="C70" s="2" t="inlineStr">
        <is>
          <t>Notruf und Kommunikation</t>
        </is>
      </c>
      <c r="D70" s="2" t="inlineStr">
        <is>
          <t>CY-C04-R13</t>
        </is>
      </c>
      <c r="E70" s="2" t="n">
        <v>1</v>
      </c>
      <c r="F70" s="2" t="inlineStr">
        <is>
          <t>3.4.2 Höchste vorhandene Schnittstellenkategorie der Komponente „Notrufsystem (Zwei-Wege-Kommunikation)" beantwortet</t>
        </is>
      </c>
      <c r="G70" s="2" t="inlineStr">
        <is>
          <t>Kein Risiko</t>
        </is>
      </c>
      <c r="H70" s="2" t="inlineStr">
        <is>
          <t>HIGH_CONFIDENCE</t>
        </is>
      </c>
      <c r="I70" s="2" t="inlineStr"/>
      <c r="J70" s="2" t="inlineStr">
        <is>
          <t>Zustand erhalten; bei der wiederkehrenden Prüfung und der Betreiberkontrolle erneut prüfen</t>
        </is>
      </c>
      <c r="K70" s="2" t="inlineStr"/>
      <c r="L70" s="2" t="inlineStr">
        <is>
          <t>Kein Risiko: keine Mangelregel trifft zu, alle Pflichtfragen beantwortet. Freigegeben 2026-09-03.</t>
        </is>
      </c>
      <c r="M70" s="3" t="n"/>
      <c r="N70" s="3" t="n"/>
    </row>
    <row r="71">
      <c r="A71" s="4" t="inlineStr">
        <is>
          <t>CY-C05</t>
        </is>
      </c>
      <c r="B71" s="4" t="inlineStr">
        <is>
          <t>Manipulation oder Ausfall: Schachtkopierung / Positionierung</t>
        </is>
      </c>
      <c r="C71" s="4" t="inlineStr">
        <is>
          <t>Steuerung und Sicherheitslogik</t>
        </is>
      </c>
      <c r="D71" s="4" t="inlineStr">
        <is>
          <t>CY-C05-R1</t>
        </is>
      </c>
      <c r="E71" s="4" t="n">
        <v>600</v>
      </c>
      <c r="F71" s="4" t="inlineStr">
        <is>
          <t>3.5.2 Höchste vorhandene Schnittstellenkategorie der Komponente „Schachtkopierung / Positionierung" = „Keine bzw. nicht programmierbare Schnittstelle"</t>
        </is>
      </c>
      <c r="G71" s="4" t="inlineStr">
        <is>
          <t>Kein Risiko</t>
        </is>
      </c>
      <c r="H71" s="4" t="inlineStr">
        <is>
          <t>HIGH_CONFIDENCE</t>
        </is>
      </c>
      <c r="I71" s="4" t="inlineStr"/>
      <c r="J71" s="4" t="inlineStr">
        <is>
          <t>Keine kompromittierbare Schnittstelle – Feststellung dokumentieren (Vorscreening nach BA-017); bei Nachrüstung erneut bewerten</t>
        </is>
      </c>
      <c r="K71" s="4" t="inlineStr"/>
      <c r="L71" s="4" t="inlineStr">
        <is>
          <t>Vorscreening: Betrachtung abgeschlossen. Entschieden 2026-09-03: K-C02.</t>
        </is>
      </c>
      <c r="M71" s="3" t="n"/>
      <c r="N71" s="3" t="n"/>
    </row>
    <row r="72">
      <c r="A72" s="2" t="inlineStr">
        <is>
          <t>CY-C05</t>
        </is>
      </c>
      <c r="B72" s="2" t="inlineStr">
        <is>
          <t>Manipulation oder Ausfall: Schachtkopierung / Positionierung</t>
        </is>
      </c>
      <c r="C72" s="2" t="inlineStr">
        <is>
          <t>Steuerung und Sicherheitslogik</t>
        </is>
      </c>
      <c r="D72" s="2" t="inlineStr">
        <is>
          <t>CY-C05-R2</t>
        </is>
      </c>
      <c r="E72" s="2" t="n">
        <v>520</v>
      </c>
      <c r="F72" s="2" t="inlineStr">
        <is>
          <t>(3.5.4 Bleiben Bündigkeit und Endlagen bei Manipulation der Kopierung durch unabhängige Schalter/Endschalter gesichert? = Ja UND (3.5.2 Höchste vorhandene Schnittstellenkategorie der Komponente „Schachtkopierung / Positionierung" in [„Kabellos im Nahbereich (WLAN, Bluetooth, NFC, Mobilfunk/SIM)", „Fernzugriff (Internet/Cloud, Hersteller-Fernzugriff, Service-App)"] UND 3.5.3 Schutzmaßnahmen nach TRBS 1115-1 für „Schachtkopierung / Positionierung" ≠ „Festgelegt, umgesetzt und Wirksamkeit nachgewiesen (TRBS 1115-1 Abschn. 5)"))</t>
        </is>
      </c>
      <c r="G72" s="2" t="inlineStr">
        <is>
          <t>Mittel</t>
        </is>
      </c>
      <c r="H72" s="2" t="inlineStr">
        <is>
          <t>INFERRED</t>
        </is>
      </c>
      <c r="I72" s="2" t="inlineStr"/>
      <c r="J72" s="2" t="inlineStr">
        <is>
          <t>Fern-/Funkzugang der Komponente bis zur Umsetzung der Maßnahmen deaktivieren; unabhängige Sicherheitseinrichtung bei jeder Prüfung mitprüfen</t>
        </is>
      </c>
      <c r="K72" s="2" t="inlineStr">
        <is>
          <t>Schnittstellen auf das Notwendige beschränken; unbefugte Änderung der Positions-/Schachtinformation verhindern. Wirksamkeit nachweisen (TRBS 1115-1 Abschn. 5).</t>
        </is>
      </c>
      <c r="L72" s="2" t="inlineStr">
        <is>
          <t>Entschieden 2026-09-03: K-C08.</t>
        </is>
      </c>
      <c r="M72" s="3" t="n"/>
      <c r="N72" s="3" t="n"/>
    </row>
    <row r="73">
      <c r="A73" s="4" t="inlineStr">
        <is>
          <t>CY-C05</t>
        </is>
      </c>
      <c r="B73" s="4" t="inlineStr">
        <is>
          <t>Manipulation oder Ausfall: Schachtkopierung / Positionierung</t>
        </is>
      </c>
      <c r="C73" s="4" t="inlineStr">
        <is>
          <t>Steuerung und Sicherheitslogik</t>
        </is>
      </c>
      <c r="D73" s="4" t="inlineStr">
        <is>
          <t>CY-C05-R3</t>
        </is>
      </c>
      <c r="E73" s="4" t="n">
        <v>510</v>
      </c>
      <c r="F73" s="4" t="inlineStr">
        <is>
          <t>(3.5.4 Bleiben Bündigkeit und Endlagen bei Manipulation der Kopierung durch unabhängige Schalter/Endschalter gesichert? = Ja UND (3.5.2 Höchste vorhandene Schnittstellenkategorie der Komponente „Schachtkopierung / Positionierung" in [„Kabelgebunden, nur vor Ort (USB, RS232/485, CAN, Ethernet, Serviceanschluss, Speicherkarte)", „Benutzerschnittstelle (Bedienfeld, Eingabeterminal, Display mit Parametrierzugang)"] UND 3.5.3 Schutzmaßnahmen nach TRBS 1115-1 für „Schachtkopierung / Positionierung" = „Keine Schutzmaßnahmen festgelegt")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G73" s="4" t="inlineStr">
        <is>
          <t>Mittel</t>
        </is>
      </c>
      <c r="H73" s="4" t="inlineStr">
        <is>
          <t>INFERRED</t>
        </is>
      </c>
      <c r="I73" s="4" t="inlineStr"/>
      <c r="J73" s="4" t="inlineStr">
        <is>
          <t>Zugang zur Komponente sofort beschränken; Serviceschnittstellen sichern; unabhängige Sicherheitseinrichtung bei jeder Prüfung mitprüfen</t>
        </is>
      </c>
      <c r="K73" s="4" t="inlineStr">
        <is>
          <t>Schnittstellen auf das Notwendige beschränken; unbefugte Änderung der Positions-/Schachtinformation verhindern. Wirksamkeit nachweisen (TRBS 1115-1 Abschn. 5).</t>
        </is>
      </c>
      <c r="L73" s="4" t="inlineStr">
        <is>
          <t>Entschieden 2026-09-03: K-C08.</t>
        </is>
      </c>
      <c r="M73" s="3" t="n"/>
      <c r="N73" s="3" t="n"/>
    </row>
    <row r="74">
      <c r="A74" s="2" t="inlineStr">
        <is>
          <t>CY-C05</t>
        </is>
      </c>
      <c r="B74" s="2" t="inlineStr">
        <is>
          <t>Manipulation oder Ausfall: Schachtkopierung / Positionierung</t>
        </is>
      </c>
      <c r="C74" s="2" t="inlineStr">
        <is>
          <t>Steuerung und Sicherheitslogik</t>
        </is>
      </c>
      <c r="D74" s="2" t="inlineStr">
        <is>
          <t>CY-C05-R4</t>
        </is>
      </c>
      <c r="E74" s="2" t="n">
        <v>400</v>
      </c>
      <c r="F74" s="2" t="inlineStr">
        <is>
          <t>(3.5.2 Höchste vorhandene Schnittstellenkategorie der Komponente „Schachtkopierung / Positionierung" = „Fernzugriff (Internet/Cloud, Hersteller-Fernzugriff, Service-App)" UND 3.5.3 Schutzmaßnahmen nach TRBS 1115-1 für „Schachtkopierung / Positionierung" ≠ „Festgelegt, umgesetzt und Wirksamkeit nachgewiesen (TRBS 1115-1 Abschn. 5)")</t>
        </is>
      </c>
      <c r="G74" s="2" t="inlineStr">
        <is>
          <t>Hoch</t>
        </is>
      </c>
      <c r="H74" s="2" t="inlineStr">
        <is>
          <t>INFERRED</t>
        </is>
      </c>
      <c r="I74" s="2" t="inlineStr"/>
      <c r="J74" s="2" t="inlineStr">
        <is>
          <t>Fernzugang der Komponente „Schachtkopierung / Positionierung" deaktivieren oder physisch trennen, bis die Schutzmaßnahmen umgesetzt und nachgewiesen sind</t>
        </is>
      </c>
      <c r="K74" s="2" t="inlineStr">
        <is>
          <t>Schnittstellen auf das Notwendige beschränken; unbefugte Änderung der Positions-/Schachtinformation verhindern. Wirksamkeit nachweisen (TRBS 1115-1 Abschn. 5).</t>
        </is>
      </c>
      <c r="L74" s="2" t="inlineStr">
        <is>
          <t>Entschieden 2026-09-03: K-C01.</t>
        </is>
      </c>
      <c r="M74" s="3" t="n"/>
      <c r="N74" s="3" t="n"/>
    </row>
    <row r="75">
      <c r="A75" s="4" t="inlineStr">
        <is>
          <t>CY-C05</t>
        </is>
      </c>
      <c r="B75" s="4" t="inlineStr">
        <is>
          <t>Manipulation oder Ausfall: Schachtkopierung / Positionierung</t>
        </is>
      </c>
      <c r="C75" s="4" t="inlineStr">
        <is>
          <t>Steuerung und Sicherheitslogik</t>
        </is>
      </c>
      <c r="D75" s="4" t="inlineStr">
        <is>
          <t>CY-C05-R5</t>
        </is>
      </c>
      <c r="E75" s="4" t="n">
        <v>390</v>
      </c>
      <c r="F75" s="4" t="inlineStr">
        <is>
          <t>(3.5.2 Höchste vorhandene Schnittstellenkategorie der Komponente „Schachtkopierung / Positionierung" = „Kabellos im Nahbereich (WLAN, Bluetooth, NFC, Mobilfunk/SIM)" UND 3.5.3 Schutzmaßnahmen nach TRBS 1115-1 für „Schachtkopierung / Positionierung" ≠ „Festgelegt, umgesetzt und Wirksamkeit nachgewiesen (TRBS 1115-1 Abschn. 5)")</t>
        </is>
      </c>
      <c r="G75" s="4" t="inlineStr">
        <is>
          <t>Hoch</t>
        </is>
      </c>
      <c r="H75" s="4" t="inlineStr">
        <is>
          <t>INFERRED</t>
        </is>
      </c>
      <c r="I75" s="4" t="inlineStr"/>
      <c r="J75" s="4" t="inlineStr">
        <is>
          <t>Funkschnittstelle der Komponente „Schachtkopierung / Positionierung" deaktivieren oder auf das Notwendige beschränken, bis die Schutzmaßnahmen umgesetzt sind</t>
        </is>
      </c>
      <c r="K75" s="4" t="inlineStr">
        <is>
          <t>Schnittstellen auf das Notwendige beschränken; unbefugte Änderung der Positions-/Schachtinformation verhindern. Wirksamkeit nachweisen (TRBS 1115-1 Abschn. 5).</t>
        </is>
      </c>
      <c r="L75" s="4" t="inlineStr">
        <is>
          <t>Entschieden 2026-09-03: K-C01.</t>
        </is>
      </c>
      <c r="M75" s="3" t="n"/>
      <c r="N75" s="3" t="n"/>
    </row>
    <row r="76">
      <c r="A76" s="2" t="inlineStr">
        <is>
          <t>CY-C05</t>
        </is>
      </c>
      <c r="B76" s="2" t="inlineStr">
        <is>
          <t>Manipulation oder Ausfall: Schachtkopierung / Positionierung</t>
        </is>
      </c>
      <c r="C76" s="2" t="inlineStr">
        <is>
          <t>Steuerung und Sicherheitslogik</t>
        </is>
      </c>
      <c r="D76" s="2" t="inlineStr">
        <is>
          <t>CY-C05-R6</t>
        </is>
      </c>
      <c r="E76" s="2" t="n">
        <v>380</v>
      </c>
      <c r="F76" s="2" t="inlineStr">
        <is>
          <t>((3.5.2 Höchste vorhandene Schnittstellenkategorie der Komponente „Schachtkopierung / Positionierung" in [„Kabelgebunden, nur vor Ort (USB, RS232/485, CAN, Ethernet, Serviceanschluss, Speicherkarte)", „Benutzerschnittstelle (Bedienfeld, Eingabeterminal, Display mit Parametrierzugang)"] UND 3.5.3 Schutzmaßnahmen nach TRBS 1115-1 für „Schachtkopierung / Positionierung" = „Keine Schutzmaßnahmen festgelegt")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G76" s="2" t="inlineStr">
        <is>
          <t>Hoch</t>
        </is>
      </c>
      <c r="H76" s="2" t="inlineStr">
        <is>
          <t>INFERRED</t>
        </is>
      </c>
      <c r="I76" s="2" t="inlineStr"/>
      <c r="J76" s="2" t="inlineStr">
        <is>
          <t>Zugang zur Komponente/zum Steuerschrank sofort beschränken; Service- und Programmierschnittstellen sichern</t>
        </is>
      </c>
      <c r="K76" s="2" t="inlineStr">
        <is>
          <t>Schnittstellen auf das Notwendige beschränken; unbefugte Änderung der Positions-/Schachtinformation verhindern. Wirksamkeit nachweisen (TRBS 1115-1 Abschn. 5).</t>
        </is>
      </c>
      <c r="L76" s="2" t="inlineStr">
        <is>
          <t>Entschieden 2026-09-03: K-C05.</t>
        </is>
      </c>
      <c r="M76" s="3" t="n"/>
      <c r="N76" s="3" t="n"/>
    </row>
    <row r="77">
      <c r="A77" s="4" t="inlineStr">
        <is>
          <t>CY-C05</t>
        </is>
      </c>
      <c r="B77" s="4" t="inlineStr">
        <is>
          <t>Manipulation oder Ausfall: Schachtkopierung / Positionierung</t>
        </is>
      </c>
      <c r="C77" s="4" t="inlineStr">
        <is>
          <t>Steuerung und Sicherheitslogik</t>
        </is>
      </c>
      <c r="D77" s="4" t="inlineStr">
        <is>
          <t>CY-C05-R7</t>
        </is>
      </c>
      <c r="E77" s="4" t="n">
        <v>300</v>
      </c>
      <c r="F77" s="4" t="inlineStr">
        <is>
          <t>(3.5.2 Höchste vorhandene Schnittstellenkategorie der Komponente „Schachtkopierung / Positionierung" in [„Kabelgebunden, nur vor Ort (USB, RS232/485, CAN, Ethernet, Serviceanschluss, Speicherkarte)", „Benutzerschnittstelle (Bedienfeld, Eingabeterminal, Display mit Parametrierzugang)"] UND 3.5.3 Schutzmaßnahmen nach TRBS 1115-1 für „Schachtkopierung / Positionierung" = „Keine Schutzmaßnahmen festgelegt")</t>
        </is>
      </c>
      <c r="G77" s="4" t="inlineStr">
        <is>
          <t>Mittel</t>
        </is>
      </c>
      <c r="H77" s="4" t="inlineStr">
        <is>
          <t>INFERRED</t>
        </is>
      </c>
      <c r="I77" s="4" t="inlineStr"/>
      <c r="J77" s="4" t="inlineStr">
        <is>
          <t>Serviceschnittstellen der Komponente gegen unbefugte Nutzung sichern</t>
        </is>
      </c>
      <c r="K77" s="4" t="inlineStr">
        <is>
          <t>Schnittstellen auf das Notwendige beschränken; unbefugte Änderung der Positions-/Schachtinformation verhindern. Wirksamkeit nachweisen (TRBS 1115-1 Abschn. 5).</t>
        </is>
      </c>
      <c r="L77" s="4" t="inlineStr">
        <is>
          <t>Freigegeben 2026-09-03.</t>
        </is>
      </c>
      <c r="M77" s="3" t="n"/>
      <c r="N77" s="3" t="n"/>
    </row>
    <row r="78">
      <c r="A78" s="2" t="inlineStr">
        <is>
          <t>CY-C05</t>
        </is>
      </c>
      <c r="B78" s="2" t="inlineStr">
        <is>
          <t>Manipulation oder Ausfall: Schachtkopierung / Positionierung</t>
        </is>
      </c>
      <c r="C78" s="2" t="inlineStr">
        <is>
          <t>Steuerung und Sicherheitslogik</t>
        </is>
      </c>
      <c r="D78" s="2" t="inlineStr">
        <is>
          <t>CY-C05-R8</t>
        </is>
      </c>
      <c r="E78" s="2" t="n">
        <v>290</v>
      </c>
      <c r="F78" s="2" t="inlineStr">
        <is>
          <t>((3.5.2 Höchste vorhandene Schnittstellenkategorie der Komponente „Schachtkopierung / Positionierung" in [„Kabelgebunden, nur vor Ort (USB, RS232/485, CAN, Ethernet, Serviceanschluss, Speicherkarte)", „Benutzerschnittstelle (Bedienfeld, Eingabeterminal, Display mit Parametrierzugang)"] UND 3.5.3 Schutzmaßnahmen nach TRBS 1115-1 für „Schachtkopierung / Positionierung" = „Festgelegt, aber nicht vollständig umgesetzt oder ohne Wirksamkeitsnachweis")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G78" s="2" t="inlineStr">
        <is>
          <t>Mittel</t>
        </is>
      </c>
      <c r="H78" s="2" t="inlineStr">
        <is>
          <t>INFERRED</t>
        </is>
      </c>
      <c r="I78" s="2" t="inlineStr"/>
      <c r="J78" s="2" t="inlineStr">
        <is>
          <t>Zugang beschränken; offene Maßnahmen priorisiert umsetzen</t>
        </is>
      </c>
      <c r="K78" s="2" t="inlineStr">
        <is>
          <t>Festgelegte Maßnahmen vollständig umsetzen und Wirksamkeit nachweisen</t>
        </is>
      </c>
      <c r="L78" s="2" t="inlineStr">
        <is>
          <t>Freigegeben 2026-09-03.</t>
        </is>
      </c>
      <c r="M78" s="3" t="n"/>
      <c r="N78" s="3" t="n"/>
    </row>
    <row r="79">
      <c r="A79" s="4" t="inlineStr">
        <is>
          <t>CY-C05</t>
        </is>
      </c>
      <c r="B79" s="4" t="inlineStr">
        <is>
          <t>Manipulation oder Ausfall: Schachtkopierung / Positionierung</t>
        </is>
      </c>
      <c r="C79" s="4" t="inlineStr">
        <is>
          <t>Steuerung und Sicherheitslogik</t>
        </is>
      </c>
      <c r="D79" s="4" t="inlineStr">
        <is>
          <t>CY-C05-R9</t>
        </is>
      </c>
      <c r="E79" s="4" t="n">
        <v>280</v>
      </c>
      <c r="F79" s="4" t="inlineStr">
        <is>
          <t>(3.5.2 Höchste vorhandene Schnittstellenkategorie der Komponente „Schachtkopierung / Positionierung" in [„Kabelgebunden, nur vor Ort (USB, RS232/485, CAN, Ethernet, Serviceanschluss, Speicherkarte)", „Benutzerschnittstelle (Bedienfeld, Eingabeterminal, Display mit Parametrierzugang)"] UND 3.5.3 Schutzmaßnahmen nach TRBS 1115-1 für „Schachtkopierung / Positionierung" = „Festgelegt, aber nicht vollständig umgesetzt oder ohne Wirksamkeitsnachweis")</t>
        </is>
      </c>
      <c r="G79" s="4" t="inlineStr">
        <is>
          <t>Niedrig</t>
        </is>
      </c>
      <c r="H79" s="4" t="inlineStr">
        <is>
          <t>INFERRED</t>
        </is>
      </c>
      <c r="I79" s="4" t="inlineStr"/>
      <c r="J79" s="4" t="inlineStr">
        <is>
          <t>Offene Maßnahmen terminieren und Verantwortliche benennen</t>
        </is>
      </c>
      <c r="K79" s="4" t="inlineStr">
        <is>
          <t>Festgelegte Maßnahmen vollständig umsetzen und Wirksamkeit nachweisen</t>
        </is>
      </c>
      <c r="L79" s="4" t="inlineStr">
        <is>
          <t>Freigegeben 2026-09-03.</t>
        </is>
      </c>
      <c r="M79" s="3" t="n"/>
      <c r="N79" s="3" t="n"/>
    </row>
    <row r="80">
      <c r="A80" s="2" t="inlineStr">
        <is>
          <t>CY-C05</t>
        </is>
      </c>
      <c r="B80" s="2" t="inlineStr">
        <is>
          <t>Manipulation oder Ausfall: Schachtkopierung / Positionierung</t>
        </is>
      </c>
      <c r="C80" s="2" t="inlineStr">
        <is>
          <t>Steuerung und Sicherheitslogik</t>
        </is>
      </c>
      <c r="D80" s="2" t="inlineStr">
        <is>
          <t>CY-C05-R10</t>
        </is>
      </c>
      <c r="E80" s="2" t="n">
        <v>270</v>
      </c>
      <c r="F80" s="2" t="inlineStr">
        <is>
          <t>(3.5.2 Höchste vorhandene Schnittstellenkategorie der Komponente „Schachtkopierung / Positionierung" in [„Kabellos im Nahbereich (WLAN, Bluetooth, NFC, Mobilfunk/SIM)", „Fernzugriff (Internet/Cloud, Hersteller-Fernzugriff, Service-App)"] UND 3.5.3 Schutzmaßnahmen nach TRBS 1115-1 für „Schachtkopierung / Positionierung" = „Festgelegt, umgesetzt und Wirksamkeit nachgewiesen (TRBS 1115-1 Abschn. 5)")</t>
        </is>
      </c>
      <c r="G80" s="2" t="inlineStr">
        <is>
          <t>Kein Risiko</t>
        </is>
      </c>
      <c r="H80" s="2" t="inlineStr">
        <is>
          <t>HIGH_CONFIDENCE</t>
        </is>
      </c>
      <c r="I80" s="2" t="inlineStr"/>
      <c r="J80" s="2" t="inlineStr">
        <is>
          <t>Zustand erhalten; Fern-/Funkzugang regelmäßig auf Notwendigkeit prüfen, Wirksamkeit bei der wiederkehrenden Prüfung erneut nachweisen</t>
        </is>
      </c>
      <c r="K80" s="2" t="inlineStr"/>
      <c r="L80" s="2" t="inlineStr">
        <is>
          <t>Entschieden 2026-09-03: K-C06.</t>
        </is>
      </c>
      <c r="M80" s="3" t="n"/>
      <c r="N80" s="3" t="n"/>
    </row>
    <row r="81">
      <c r="A81" s="4" t="inlineStr">
        <is>
          <t>CY-C05</t>
        </is>
      </c>
      <c r="B81" s="4" t="inlineStr">
        <is>
          <t>Manipulation oder Ausfall: Schachtkopierung / Positionierung</t>
        </is>
      </c>
      <c r="C81" s="4" t="inlineStr">
        <is>
          <t>Steuerung und Sicherheitslogik</t>
        </is>
      </c>
      <c r="D81" s="4" t="inlineStr">
        <is>
          <t>CY-C05-R11</t>
        </is>
      </c>
      <c r="E81" s="4" t="n">
        <v>260</v>
      </c>
      <c r="F81" s="4" t="inlineStr">
        <is>
          <t>((3.5.2 Höchste vorhandene Schnittstellenkategorie der Komponente „Schachtkopierung / Positionierung" in [„Kabelgebunden, nur vor Ort (USB, RS232/485, CAN, Ethernet, Serviceanschluss, Speicherkarte)", „Benutzerschnittstelle (Bedienfeld, Eingabeterminal, Display mit Parametrierzugang)"] UND 3.5.3 Schutzmaßnahmen nach TRBS 1115-1 für „Schachtkopierung / Positionierung" = „Festgelegt, umgesetzt und Wirksamkeit nachgewiesen (TRBS 1115-1 Abschn. 5)")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G81" s="4" t="inlineStr">
        <is>
          <t>Niedrig</t>
        </is>
      </c>
      <c r="H81" s="4" t="inlineStr">
        <is>
          <t>INFERRED</t>
        </is>
      </c>
      <c r="I81" s="4" t="inlineStr"/>
      <c r="J81" s="4" t="inlineStr">
        <is>
          <t>Physischen Zugang zur Steuerung bzw. zum Raum beschränken (siehe Gefährdungen Zugang)</t>
        </is>
      </c>
      <c r="K81" s="4" t="inlineStr">
        <is>
          <t>Zugangskontrolle (Hardware) dauerhaft herstellen</t>
        </is>
      </c>
      <c r="L81" s="4" t="inlineStr">
        <is>
          <t>Freigegeben 2026-09-03.</t>
        </is>
      </c>
      <c r="M81" s="3" t="n"/>
      <c r="N81" s="3" t="n"/>
    </row>
    <row r="82">
      <c r="A82" s="2" t="inlineStr">
        <is>
          <t>CY-C05</t>
        </is>
      </c>
      <c r="B82" s="2" t="inlineStr">
        <is>
          <t>Manipulation oder Ausfall: Schachtkopierung / Positionierung</t>
        </is>
      </c>
      <c r="C82" s="2" t="inlineStr">
        <is>
          <t>Steuerung und Sicherheitslogik</t>
        </is>
      </c>
      <c r="D82" s="2" t="inlineStr">
        <is>
          <t>CY-C05-R12</t>
        </is>
      </c>
      <c r="E82" s="2" t="n">
        <v>250</v>
      </c>
      <c r="F82" s="2" t="inlineStr">
        <is>
          <t>(3.5.2 Höchste vorhandene Schnittstellenkategorie der Komponente „Schachtkopierung / Positionierung" in [„Kabelgebunden, nur vor Ort (USB, RS232/485, CAN, Ethernet, Serviceanschluss, Speicherkarte)", „Benutzerschnittstelle (Bedienfeld, Eingabeterminal, Display mit Parametrierzugang)"] UND 3.5.3 Schutzmaßnahmen nach TRBS 1115-1 für „Schachtkopierung / Positionierung" = „Festgelegt, umgesetzt und Wirksamkeit nachgewiesen (TRBS 1115-1 Abschn. 5)")</t>
        </is>
      </c>
      <c r="G82" s="2" t="inlineStr">
        <is>
          <t>Kein Risiko</t>
        </is>
      </c>
      <c r="H82" s="2" t="inlineStr">
        <is>
          <t>HIGH_CONFIDENCE</t>
        </is>
      </c>
      <c r="I82" s="2" t="inlineStr"/>
      <c r="J82" s="2" t="inlineStr">
        <is>
          <t>Zustand erhalten; Maßnahmen bei der wiederkehrenden Prüfung erneut nachweisen</t>
        </is>
      </c>
      <c r="K82" s="2" t="inlineStr"/>
      <c r="L82" s="2" t="inlineStr">
        <is>
          <t>Freigegeben 2026-09-03.</t>
        </is>
      </c>
      <c r="M82" s="3" t="n"/>
      <c r="N82" s="3" t="n"/>
    </row>
    <row r="83">
      <c r="A83" s="4" t="inlineStr">
        <is>
          <t>CY-C05</t>
        </is>
      </c>
      <c r="B83" s="4" t="inlineStr">
        <is>
          <t>Manipulation oder Ausfall: Schachtkopierung / Positionierung</t>
        </is>
      </c>
      <c r="C83" s="4" t="inlineStr">
        <is>
          <t>Steuerung und Sicherheitslogik</t>
        </is>
      </c>
      <c r="D83" s="4" t="inlineStr">
        <is>
          <t>CY-C05-R13</t>
        </is>
      </c>
      <c r="E83" s="4" t="n">
        <v>1</v>
      </c>
      <c r="F83" s="4" t="inlineStr">
        <is>
          <t>3.5.2 Höchste vorhandene Schnittstellenkategorie der Komponente „Schachtkopierung / Positionierung" beantwortet</t>
        </is>
      </c>
      <c r="G83" s="4" t="inlineStr">
        <is>
          <t>Kein Risiko</t>
        </is>
      </c>
      <c r="H83" s="4" t="inlineStr">
        <is>
          <t>HIGH_CONFIDENCE</t>
        </is>
      </c>
      <c r="I83" s="4" t="inlineStr"/>
      <c r="J83" s="4" t="inlineStr">
        <is>
          <t>Zustand erhalten; bei der wiederkehrenden Prüfung und der Betreiberkontrolle erneut prüfen</t>
        </is>
      </c>
      <c r="K83" s="4" t="inlineStr"/>
      <c r="L83" s="4" t="inlineStr">
        <is>
          <t>Kein Risiko: keine Mangelregel trifft zu, alle Pflichtfragen beantwortet. Freigegeben 2026-09-03.</t>
        </is>
      </c>
      <c r="M83" s="3" t="n"/>
      <c r="N83" s="3" t="n"/>
    </row>
    <row r="84">
      <c r="A84" s="2" t="inlineStr">
        <is>
          <t>CY-C06</t>
        </is>
      </c>
      <c r="B84" s="2" t="inlineStr">
        <is>
          <t>Manipulation oder Ausfall: Türsteuerung</t>
        </is>
      </c>
      <c r="C84" s="2" t="inlineStr">
        <is>
          <t>Antrieb und Türen</t>
        </is>
      </c>
      <c r="D84" s="2" t="inlineStr">
        <is>
          <t>CY-C06-R1</t>
        </is>
      </c>
      <c r="E84" s="2" t="n">
        <v>600</v>
      </c>
      <c r="F84" s="2" t="inlineStr">
        <is>
          <t>3.6.2 Höchste vorhandene Schnittstellenkategorie der Komponente „Türsteuerung" = „Keine bzw. nicht programmierbare Schnittstelle"</t>
        </is>
      </c>
      <c r="G84" s="2" t="inlineStr">
        <is>
          <t>Kein Risiko</t>
        </is>
      </c>
      <c r="H84" s="2" t="inlineStr">
        <is>
          <t>HIGH_CONFIDENCE</t>
        </is>
      </c>
      <c r="I84" s="2" t="inlineStr"/>
      <c r="J84" s="2" t="inlineStr">
        <is>
          <t>Keine kompromittierbare Schnittstelle – Feststellung dokumentieren (Vorscreening nach BA-017); bei Nachrüstung erneut bewerten</t>
        </is>
      </c>
      <c r="K84" s="2" t="inlineStr"/>
      <c r="L84" s="2" t="inlineStr">
        <is>
          <t>Vorscreening: Betrachtung abgeschlossen. Entschieden 2026-09-03: K-C02.</t>
        </is>
      </c>
      <c r="M84" s="3" t="n"/>
      <c r="N84" s="3" t="n"/>
    </row>
    <row r="85">
      <c r="A85" s="4" t="inlineStr">
        <is>
          <t>CY-C06</t>
        </is>
      </c>
      <c r="B85" s="4" t="inlineStr">
        <is>
          <t>Manipulation oder Ausfall: Türsteuerung</t>
        </is>
      </c>
      <c r="C85" s="4" t="inlineStr">
        <is>
          <t>Antrieb und Türen</t>
        </is>
      </c>
      <c r="D85" s="4" t="inlineStr">
        <is>
          <t>CY-C06-R2</t>
        </is>
      </c>
      <c r="E85" s="4" t="n">
        <v>520</v>
      </c>
      <c r="F85" s="4" t="inlineStr">
        <is>
          <t>(3.6.4 Wirkt die Schließkraftbegrenzung/Reversierung unabhängig von der programmierbaren Türsteuerung (mechanisch oder separates Gerät)? = Ja UND (3.6.2 Höchste vorhandene Schnittstellenkategorie der Komponente „Türsteuerung" in [„Kabellos im Nahbereich (WLAN, Bluetooth, NFC, Mobilfunk/SIM)", „Fernzugriff (Internet/Cloud, Hersteller-Fernzugriff, Service-App)"] UND 3.6.3 Schutzmaßnahmen nach TRBS 1115-1 für „Türsteuerung" ≠ „Festgelegt, umgesetzt und Wirksamkeit nachgewiesen (TRBS 1115-1 Abschn. 5)"))</t>
        </is>
      </c>
      <c r="G85" s="4" t="inlineStr">
        <is>
          <t>Mittel</t>
        </is>
      </c>
      <c r="H85" s="4" t="inlineStr">
        <is>
          <t>INFERRED</t>
        </is>
      </c>
      <c r="I85" s="4" t="inlineStr"/>
      <c r="J85" s="4" t="inlineStr">
        <is>
          <t>Fern-/Funkzugang der Komponente bis zur Umsetzung der Maßnahmen deaktivieren; unabhängige Sicherheitseinrichtung bei jeder Prüfung mitprüfen</t>
        </is>
      </c>
      <c r="K85" s="4" t="inlineStr">
        <is>
          <t>Serviceschnittstellen nur für Berechtigte; Parameter sichern; nach Eingriffen Türfunktionen und Schutzeinrichtungen prüfen. Wirksamkeit nachweisen (TRBS 1115-1 Abschn. 5).</t>
        </is>
      </c>
      <c r="L85" s="4" t="inlineStr">
        <is>
          <t>Entschieden 2026-09-03: K-C08.</t>
        </is>
      </c>
      <c r="M85" s="3" t="n"/>
      <c r="N85" s="3" t="n"/>
    </row>
    <row r="86">
      <c r="A86" s="2" t="inlineStr">
        <is>
          <t>CY-C06</t>
        </is>
      </c>
      <c r="B86" s="2" t="inlineStr">
        <is>
          <t>Manipulation oder Ausfall: Türsteuerung</t>
        </is>
      </c>
      <c r="C86" s="2" t="inlineStr">
        <is>
          <t>Antrieb und Türen</t>
        </is>
      </c>
      <c r="D86" s="2" t="inlineStr">
        <is>
          <t>CY-C06-R3</t>
        </is>
      </c>
      <c r="E86" s="2" t="n">
        <v>510</v>
      </c>
      <c r="F86" s="2" t="inlineStr">
        <is>
          <t>(3.6.4 Wirkt die Schließkraftbegrenzung/Reversierung unabhängig von der programmierbaren Türsteuerung (mechanisch oder separates Gerät)? = Ja UND (3.6.2 Höchste vorhandene Schnittstellenkategorie der Komponente „Türsteuerung" in [„Kabelgebunden, nur vor Ort (USB, RS232/485, CAN, Ethernet, Serviceanschluss, Speicherkarte)", „Benutzerschnittstelle (Bedienfeld, Eingabeterminal, Display mit Parametrierzugang)"] UND 3.6.3 Schutzmaßnahmen nach TRBS 1115-1 für „Türsteuerung" = „Keine Schutzmaßnahmen festgelegt")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G86" s="2" t="inlineStr">
        <is>
          <t>Mittel</t>
        </is>
      </c>
      <c r="H86" s="2" t="inlineStr">
        <is>
          <t>INFERRED</t>
        </is>
      </c>
      <c r="I86" s="2" t="inlineStr"/>
      <c r="J86" s="2" t="inlineStr">
        <is>
          <t>Zugang zur Komponente sofort beschränken; Serviceschnittstellen sichern; unabhängige Sicherheitseinrichtung bei jeder Prüfung mitprüfen</t>
        </is>
      </c>
      <c r="K86" s="2" t="inlineStr">
        <is>
          <t>Serviceschnittstellen nur für Berechtigte; Parameter sichern; nach Eingriffen Türfunktionen und Schutzeinrichtungen prüfen. Wirksamkeit nachweisen (TRBS 1115-1 Abschn. 5).</t>
        </is>
      </c>
      <c r="L86" s="2" t="inlineStr">
        <is>
          <t>Entschieden 2026-09-03: K-C08.</t>
        </is>
      </c>
      <c r="M86" s="3" t="n"/>
      <c r="N86" s="3" t="n"/>
    </row>
    <row r="87">
      <c r="A87" s="4" t="inlineStr">
        <is>
          <t>CY-C06</t>
        </is>
      </c>
      <c r="B87" s="4" t="inlineStr">
        <is>
          <t>Manipulation oder Ausfall: Türsteuerung</t>
        </is>
      </c>
      <c r="C87" s="4" t="inlineStr">
        <is>
          <t>Antrieb und Türen</t>
        </is>
      </c>
      <c r="D87" s="4" t="inlineStr">
        <is>
          <t>CY-C06-R4</t>
        </is>
      </c>
      <c r="E87" s="4" t="n">
        <v>400</v>
      </c>
      <c r="F87" s="4" t="inlineStr">
        <is>
          <t>(3.6.2 Höchste vorhandene Schnittstellenkategorie der Komponente „Türsteuerung" = „Fernzugriff (Internet/Cloud, Hersteller-Fernzugriff, Service-App)" UND 3.6.3 Schutzmaßnahmen nach TRBS 1115-1 für „Türsteuerung" ≠ „Festgelegt, umgesetzt und Wirksamkeit nachgewiesen (TRBS 1115-1 Abschn. 5)")</t>
        </is>
      </c>
      <c r="G87" s="4" t="inlineStr">
        <is>
          <t>Hoch</t>
        </is>
      </c>
      <c r="H87" s="4" t="inlineStr">
        <is>
          <t>INFERRED</t>
        </is>
      </c>
      <c r="I87" s="4" t="inlineStr"/>
      <c r="J87" s="4" t="inlineStr">
        <is>
          <t>Fernzugang der Komponente „Türsteuerung" deaktivieren oder physisch trennen, bis die Schutzmaßnahmen umgesetzt und nachgewiesen sind</t>
        </is>
      </c>
      <c r="K87" s="4" t="inlineStr">
        <is>
          <t>Serviceschnittstellen nur für Berechtigte; Parameter sichern; nach Eingriffen Türfunktionen und Schutzeinrichtungen prüfen. Wirksamkeit nachweisen (TRBS 1115-1 Abschn. 5).</t>
        </is>
      </c>
      <c r="L87" s="4" t="inlineStr">
        <is>
          <t>Entschieden 2026-09-03: K-C01.</t>
        </is>
      </c>
      <c r="M87" s="3" t="n"/>
      <c r="N87" s="3" t="n"/>
    </row>
    <row r="88">
      <c r="A88" s="2" t="inlineStr">
        <is>
          <t>CY-C06</t>
        </is>
      </c>
      <c r="B88" s="2" t="inlineStr">
        <is>
          <t>Manipulation oder Ausfall: Türsteuerung</t>
        </is>
      </c>
      <c r="C88" s="2" t="inlineStr">
        <is>
          <t>Antrieb und Türen</t>
        </is>
      </c>
      <c r="D88" s="2" t="inlineStr">
        <is>
          <t>CY-C06-R5</t>
        </is>
      </c>
      <c r="E88" s="2" t="n">
        <v>390</v>
      </c>
      <c r="F88" s="2" t="inlineStr">
        <is>
          <t>(3.6.2 Höchste vorhandene Schnittstellenkategorie der Komponente „Türsteuerung" = „Kabellos im Nahbereich (WLAN, Bluetooth, NFC, Mobilfunk/SIM)" UND 3.6.3 Schutzmaßnahmen nach TRBS 1115-1 für „Türsteuerung" ≠ „Festgelegt, umgesetzt und Wirksamkeit nachgewiesen (TRBS 1115-1 Abschn. 5)")</t>
        </is>
      </c>
      <c r="G88" s="2" t="inlineStr">
        <is>
          <t>Hoch</t>
        </is>
      </c>
      <c r="H88" s="2" t="inlineStr">
        <is>
          <t>INFERRED</t>
        </is>
      </c>
      <c r="I88" s="2" t="inlineStr"/>
      <c r="J88" s="2" t="inlineStr">
        <is>
          <t>Funkschnittstelle der Komponente „Türsteuerung" deaktivieren oder auf das Notwendige beschränken, bis die Schutzmaßnahmen umgesetzt sind</t>
        </is>
      </c>
      <c r="K88" s="2" t="inlineStr">
        <is>
          <t>Serviceschnittstellen nur für Berechtigte; Parameter sichern; nach Eingriffen Türfunktionen und Schutzeinrichtungen prüfen. Wirksamkeit nachweisen (TRBS 1115-1 Abschn. 5).</t>
        </is>
      </c>
      <c r="L88" s="2" t="inlineStr">
        <is>
          <t>Entschieden 2026-09-03: K-C01.</t>
        </is>
      </c>
      <c r="M88" s="3" t="n"/>
      <c r="N88" s="3" t="n"/>
    </row>
    <row r="89">
      <c r="A89" s="4" t="inlineStr">
        <is>
          <t>CY-C06</t>
        </is>
      </c>
      <c r="B89" s="4" t="inlineStr">
        <is>
          <t>Manipulation oder Ausfall: Türsteuerung</t>
        </is>
      </c>
      <c r="C89" s="4" t="inlineStr">
        <is>
          <t>Antrieb und Türen</t>
        </is>
      </c>
      <c r="D89" s="4" t="inlineStr">
        <is>
          <t>CY-C06-R6</t>
        </is>
      </c>
      <c r="E89" s="4" t="n">
        <v>380</v>
      </c>
      <c r="F89" s="4" t="inlineStr">
        <is>
          <t>((3.6.2 Höchste vorhandene Schnittstellenkategorie der Komponente „Türsteuerung" in [„Kabelgebunden, nur vor Ort (USB, RS232/485, CAN, Ethernet, Serviceanschluss, Speicherkarte)", „Benutzerschnittstelle (Bedienfeld, Eingabeterminal, Display mit Parametrierzugang)"] UND 3.6.3 Schutzmaßnahmen nach TRBS 1115-1 für „Türsteuerung" = „Keine Schutzmaßnahmen festgelegt")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G89" s="4" t="inlineStr">
        <is>
          <t>Hoch</t>
        </is>
      </c>
      <c r="H89" s="4" t="inlineStr">
        <is>
          <t>INFERRED</t>
        </is>
      </c>
      <c r="I89" s="4" t="inlineStr"/>
      <c r="J89" s="4" t="inlineStr">
        <is>
          <t>Zugang zur Komponente/zum Steuerschrank sofort beschränken; Service- und Programmierschnittstellen sichern</t>
        </is>
      </c>
      <c r="K89" s="4" t="inlineStr">
        <is>
          <t>Serviceschnittstellen nur für Berechtigte; Parameter sichern; nach Eingriffen Türfunktionen und Schutzeinrichtungen prüfen. Wirksamkeit nachweisen (TRBS 1115-1 Abschn. 5).</t>
        </is>
      </c>
      <c r="L89" s="4" t="inlineStr">
        <is>
          <t>Entschieden 2026-09-03: K-C05.</t>
        </is>
      </c>
      <c r="M89" s="3" t="n"/>
      <c r="N89" s="3" t="n"/>
    </row>
    <row r="90">
      <c r="A90" s="2" t="inlineStr">
        <is>
          <t>CY-C06</t>
        </is>
      </c>
      <c r="B90" s="2" t="inlineStr">
        <is>
          <t>Manipulation oder Ausfall: Türsteuerung</t>
        </is>
      </c>
      <c r="C90" s="2" t="inlineStr">
        <is>
          <t>Antrieb und Türen</t>
        </is>
      </c>
      <c r="D90" s="2" t="inlineStr">
        <is>
          <t>CY-C06-R7</t>
        </is>
      </c>
      <c r="E90" s="2" t="n">
        <v>300</v>
      </c>
      <c r="F90" s="2" t="inlineStr">
        <is>
          <t>(3.6.2 Höchste vorhandene Schnittstellenkategorie der Komponente „Türsteuerung" in [„Kabelgebunden, nur vor Ort (USB, RS232/485, CAN, Ethernet, Serviceanschluss, Speicherkarte)", „Benutzerschnittstelle (Bedienfeld, Eingabeterminal, Display mit Parametrierzugang)"] UND 3.6.3 Schutzmaßnahmen nach TRBS 1115-1 für „Türsteuerung" = „Keine Schutzmaßnahmen festgelegt")</t>
        </is>
      </c>
      <c r="G90" s="2" t="inlineStr">
        <is>
          <t>Mittel</t>
        </is>
      </c>
      <c r="H90" s="2" t="inlineStr">
        <is>
          <t>INFERRED</t>
        </is>
      </c>
      <c r="I90" s="2" t="inlineStr"/>
      <c r="J90" s="2" t="inlineStr">
        <is>
          <t>Serviceschnittstellen der Komponente gegen unbefugte Nutzung sichern</t>
        </is>
      </c>
      <c r="K90" s="2" t="inlineStr">
        <is>
          <t>Serviceschnittstellen nur für Berechtigte; Parameter sichern; nach Eingriffen Türfunktionen und Schutzeinrichtungen prüfen. Wirksamkeit nachweisen (TRBS 1115-1 Abschn. 5).</t>
        </is>
      </c>
      <c r="L90" s="2" t="inlineStr">
        <is>
          <t>Freigegeben 2026-09-03.</t>
        </is>
      </c>
      <c r="M90" s="3" t="n"/>
      <c r="N90" s="3" t="n"/>
    </row>
    <row r="91">
      <c r="A91" s="4" t="inlineStr">
        <is>
          <t>CY-C06</t>
        </is>
      </c>
      <c r="B91" s="4" t="inlineStr">
        <is>
          <t>Manipulation oder Ausfall: Türsteuerung</t>
        </is>
      </c>
      <c r="C91" s="4" t="inlineStr">
        <is>
          <t>Antrieb und Türen</t>
        </is>
      </c>
      <c r="D91" s="4" t="inlineStr">
        <is>
          <t>CY-C06-R8</t>
        </is>
      </c>
      <c r="E91" s="4" t="n">
        <v>290</v>
      </c>
      <c r="F91" s="4" t="inlineStr">
        <is>
          <t>((3.6.2 Höchste vorhandene Schnittstellenkategorie der Komponente „Türsteuerung" in [„Kabelgebunden, nur vor Ort (USB, RS232/485, CAN, Ethernet, Serviceanschluss, Speicherkarte)", „Benutzerschnittstelle (Bedienfeld, Eingabeterminal, Display mit Parametrierzugang)"] UND 3.6.3 Schutzmaßnahmen nach TRBS 1115-1 für „Türsteuerung" = „Festgelegt, aber nicht vollständig umgesetzt oder ohne Wirksamkeitsnachweis")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G91" s="4" t="inlineStr">
        <is>
          <t>Mittel</t>
        </is>
      </c>
      <c r="H91" s="4" t="inlineStr">
        <is>
          <t>INFERRED</t>
        </is>
      </c>
      <c r="I91" s="4" t="inlineStr"/>
      <c r="J91" s="4" t="inlineStr">
        <is>
          <t>Zugang beschränken; offene Maßnahmen priorisiert umsetzen</t>
        </is>
      </c>
      <c r="K91" s="4" t="inlineStr">
        <is>
          <t>Festgelegte Maßnahmen vollständig umsetzen und Wirksamkeit nachweisen</t>
        </is>
      </c>
      <c r="L91" s="4" t="inlineStr">
        <is>
          <t>Freigegeben 2026-09-03.</t>
        </is>
      </c>
      <c r="M91" s="3" t="n"/>
      <c r="N91" s="3" t="n"/>
    </row>
    <row r="92">
      <c r="A92" s="2" t="inlineStr">
        <is>
          <t>CY-C06</t>
        </is>
      </c>
      <c r="B92" s="2" t="inlineStr">
        <is>
          <t>Manipulation oder Ausfall: Türsteuerung</t>
        </is>
      </c>
      <c r="C92" s="2" t="inlineStr">
        <is>
          <t>Antrieb und Türen</t>
        </is>
      </c>
      <c r="D92" s="2" t="inlineStr">
        <is>
          <t>CY-C06-R9</t>
        </is>
      </c>
      <c r="E92" s="2" t="n">
        <v>280</v>
      </c>
      <c r="F92" s="2" t="inlineStr">
        <is>
          <t>(3.6.2 Höchste vorhandene Schnittstellenkategorie der Komponente „Türsteuerung" in [„Kabelgebunden, nur vor Ort (USB, RS232/485, CAN, Ethernet, Serviceanschluss, Speicherkarte)", „Benutzerschnittstelle (Bedienfeld, Eingabeterminal, Display mit Parametrierzugang)"] UND 3.6.3 Schutzmaßnahmen nach TRBS 1115-1 für „Türsteuerung" = „Festgelegt, aber nicht vollständig umgesetzt oder ohne Wirksamkeitsnachweis")</t>
        </is>
      </c>
      <c r="G92" s="2" t="inlineStr">
        <is>
          <t>Niedrig</t>
        </is>
      </c>
      <c r="H92" s="2" t="inlineStr">
        <is>
          <t>INFERRED</t>
        </is>
      </c>
      <c r="I92" s="2" t="inlineStr"/>
      <c r="J92" s="2" t="inlineStr">
        <is>
          <t>Offene Maßnahmen terminieren und Verantwortliche benennen</t>
        </is>
      </c>
      <c r="K92" s="2" t="inlineStr">
        <is>
          <t>Festgelegte Maßnahmen vollständig umsetzen und Wirksamkeit nachweisen</t>
        </is>
      </c>
      <c r="L92" s="2" t="inlineStr">
        <is>
          <t>Freigegeben 2026-09-03.</t>
        </is>
      </c>
      <c r="M92" s="3" t="n"/>
      <c r="N92" s="3" t="n"/>
    </row>
    <row r="93">
      <c r="A93" s="4" t="inlineStr">
        <is>
          <t>CY-C06</t>
        </is>
      </c>
      <c r="B93" s="4" t="inlineStr">
        <is>
          <t>Manipulation oder Ausfall: Türsteuerung</t>
        </is>
      </c>
      <c r="C93" s="4" t="inlineStr">
        <is>
          <t>Antrieb und Türen</t>
        </is>
      </c>
      <c r="D93" s="4" t="inlineStr">
        <is>
          <t>CY-C06-R10</t>
        </is>
      </c>
      <c r="E93" s="4" t="n">
        <v>270</v>
      </c>
      <c r="F93" s="4" t="inlineStr">
        <is>
          <t>(3.6.2 Höchste vorhandene Schnittstellenkategorie der Komponente „Türsteuerung" in [„Kabellos im Nahbereich (WLAN, Bluetooth, NFC, Mobilfunk/SIM)", „Fernzugriff (Internet/Cloud, Hersteller-Fernzugriff, Service-App)"] UND 3.6.3 Schutzmaßnahmen nach TRBS 1115-1 für „Türsteuerung" = „Festgelegt, umgesetzt und Wirksamkeit nachgewiesen (TRBS 1115-1 Abschn. 5)")</t>
        </is>
      </c>
      <c r="G93" s="4" t="inlineStr">
        <is>
          <t>Kein Risiko</t>
        </is>
      </c>
      <c r="H93" s="4" t="inlineStr">
        <is>
          <t>HIGH_CONFIDENCE</t>
        </is>
      </c>
      <c r="I93" s="4" t="inlineStr"/>
      <c r="J93" s="4" t="inlineStr">
        <is>
          <t>Zustand erhalten; Fern-/Funkzugang regelmäßig auf Notwendigkeit prüfen, Wirksamkeit bei der wiederkehrenden Prüfung erneut nachweisen</t>
        </is>
      </c>
      <c r="K93" s="4" t="inlineStr"/>
      <c r="L93" s="4" t="inlineStr">
        <is>
          <t>Entschieden 2026-09-03: K-C06.</t>
        </is>
      </c>
      <c r="M93" s="3" t="n"/>
      <c r="N93" s="3" t="n"/>
    </row>
    <row r="94">
      <c r="A94" s="2" t="inlineStr">
        <is>
          <t>CY-C06</t>
        </is>
      </c>
      <c r="B94" s="2" t="inlineStr">
        <is>
          <t>Manipulation oder Ausfall: Türsteuerung</t>
        </is>
      </c>
      <c r="C94" s="2" t="inlineStr">
        <is>
          <t>Antrieb und Türen</t>
        </is>
      </c>
      <c r="D94" s="2" t="inlineStr">
        <is>
          <t>CY-C06-R11</t>
        </is>
      </c>
      <c r="E94" s="2" t="n">
        <v>260</v>
      </c>
      <c r="F94" s="2" t="inlineStr">
        <is>
          <t>((3.6.2 Höchste vorhandene Schnittstellenkategorie der Komponente „Türsteuerung" in [„Kabelgebunden, nur vor Ort (USB, RS232/485, CAN, Ethernet, Serviceanschluss, Speicherkarte)", „Benutzerschnittstelle (Bedienfeld, Eingabeterminal, Display mit Parametrierzugang)"] UND 3.6.3 Schutzmaßnahmen nach TRBS 1115-1 für „Türsteuerung" = „Festgelegt, umgesetzt und Wirksamkeit nachgewiesen (TRBS 1115-1 Abschn. 5)")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G94" s="2" t="inlineStr">
        <is>
          <t>Niedrig</t>
        </is>
      </c>
      <c r="H94" s="2" t="inlineStr">
        <is>
          <t>INFERRED</t>
        </is>
      </c>
      <c r="I94" s="2" t="inlineStr"/>
      <c r="J94" s="2" t="inlineStr">
        <is>
          <t>Physischen Zugang zur Steuerung bzw. zum Raum beschränken (siehe Gefährdungen Zugang)</t>
        </is>
      </c>
      <c r="K94" s="2" t="inlineStr">
        <is>
          <t>Zugangskontrolle (Hardware) dauerhaft herstellen</t>
        </is>
      </c>
      <c r="L94" s="2" t="inlineStr">
        <is>
          <t>Freigegeben 2026-09-03.</t>
        </is>
      </c>
      <c r="M94" s="3" t="n"/>
      <c r="N94" s="3" t="n"/>
    </row>
    <row r="95">
      <c r="A95" s="4" t="inlineStr">
        <is>
          <t>CY-C06</t>
        </is>
      </c>
      <c r="B95" s="4" t="inlineStr">
        <is>
          <t>Manipulation oder Ausfall: Türsteuerung</t>
        </is>
      </c>
      <c r="C95" s="4" t="inlineStr">
        <is>
          <t>Antrieb und Türen</t>
        </is>
      </c>
      <c r="D95" s="4" t="inlineStr">
        <is>
          <t>CY-C06-R12</t>
        </is>
      </c>
      <c r="E95" s="4" t="n">
        <v>250</v>
      </c>
      <c r="F95" s="4" t="inlineStr">
        <is>
          <t>(3.6.2 Höchste vorhandene Schnittstellenkategorie der Komponente „Türsteuerung" in [„Kabelgebunden, nur vor Ort (USB, RS232/485, CAN, Ethernet, Serviceanschluss, Speicherkarte)", „Benutzerschnittstelle (Bedienfeld, Eingabeterminal, Display mit Parametrierzugang)"] UND 3.6.3 Schutzmaßnahmen nach TRBS 1115-1 für „Türsteuerung" = „Festgelegt, umgesetzt und Wirksamkeit nachgewiesen (TRBS 1115-1 Abschn. 5)")</t>
        </is>
      </c>
      <c r="G95" s="4" t="inlineStr">
        <is>
          <t>Kein Risiko</t>
        </is>
      </c>
      <c r="H95" s="4" t="inlineStr">
        <is>
          <t>HIGH_CONFIDENCE</t>
        </is>
      </c>
      <c r="I95" s="4" t="inlineStr"/>
      <c r="J95" s="4" t="inlineStr">
        <is>
          <t>Zustand erhalten; Maßnahmen bei der wiederkehrenden Prüfung erneut nachweisen</t>
        </is>
      </c>
      <c r="K95" s="4" t="inlineStr"/>
      <c r="L95" s="4" t="inlineStr">
        <is>
          <t>Freigegeben 2026-09-03.</t>
        </is>
      </c>
      <c r="M95" s="3" t="n"/>
      <c r="N95" s="3" t="n"/>
    </row>
    <row r="96">
      <c r="A96" s="2" t="inlineStr">
        <is>
          <t>CY-C06</t>
        </is>
      </c>
      <c r="B96" s="2" t="inlineStr">
        <is>
          <t>Manipulation oder Ausfall: Türsteuerung</t>
        </is>
      </c>
      <c r="C96" s="2" t="inlineStr">
        <is>
          <t>Antrieb und Türen</t>
        </is>
      </c>
      <c r="D96" s="2" t="inlineStr">
        <is>
          <t>CY-C06-R13</t>
        </is>
      </c>
      <c r="E96" s="2" t="n">
        <v>1</v>
      </c>
      <c r="F96" s="2" t="inlineStr">
        <is>
          <t>3.6.2 Höchste vorhandene Schnittstellenkategorie der Komponente „Türsteuerung" beantwortet</t>
        </is>
      </c>
      <c r="G96" s="2" t="inlineStr">
        <is>
          <t>Kein Risiko</t>
        </is>
      </c>
      <c r="H96" s="2" t="inlineStr">
        <is>
          <t>HIGH_CONFIDENCE</t>
        </is>
      </c>
      <c r="I96" s="2" t="inlineStr"/>
      <c r="J96" s="2" t="inlineStr">
        <is>
          <t>Zustand erhalten; bei der wiederkehrenden Prüfung und der Betreiberkontrolle erneut prüfen</t>
        </is>
      </c>
      <c r="K96" s="2" t="inlineStr"/>
      <c r="L96" s="2" t="inlineStr">
        <is>
          <t>Kein Risiko: keine Mangelregel trifft zu, alle Pflichtfragen beantwortet. Freigegeben 2026-09-03.</t>
        </is>
      </c>
      <c r="M96" s="3" t="n"/>
      <c r="N96" s="3" t="n"/>
    </row>
    <row r="97">
      <c r="A97" s="4" t="inlineStr">
        <is>
          <t>CY-C07</t>
        </is>
      </c>
      <c r="B97" s="4" t="inlineStr">
        <is>
          <t>Manipulation oder Ausfall: UCM-Erkennung</t>
        </is>
      </c>
      <c r="C97" s="4" t="inlineStr">
        <is>
          <t>Steuerung und Sicherheitslogik</t>
        </is>
      </c>
      <c r="D97" s="4" t="inlineStr">
        <is>
          <t>CY-C07-R1</t>
        </is>
      </c>
      <c r="E97" s="4" t="n">
        <v>600</v>
      </c>
      <c r="F97" s="4" t="inlineStr">
        <is>
          <t>3.7.2 Höchste vorhandene Schnittstellenkategorie der Komponente „UCM-Erkennung" = „Keine bzw. nicht programmierbare Schnittstelle"</t>
        </is>
      </c>
      <c r="G97" s="4" t="inlineStr">
        <is>
          <t>Kein Risiko</t>
        </is>
      </c>
      <c r="H97" s="4" t="inlineStr">
        <is>
          <t>HIGH_CONFIDENCE</t>
        </is>
      </c>
      <c r="I97" s="4" t="inlineStr"/>
      <c r="J97" s="4" t="inlineStr">
        <is>
          <t>Keine kompromittierbare Schnittstelle – Feststellung dokumentieren (Vorscreening nach BA-017); bei Nachrüstung erneut bewerten</t>
        </is>
      </c>
      <c r="K97" s="4" t="inlineStr"/>
      <c r="L97" s="4" t="inlineStr">
        <is>
          <t>Vorscreening: Betrachtung abgeschlossen. Entschieden 2026-09-03: K-C02.</t>
        </is>
      </c>
      <c r="M97" s="3" t="n"/>
      <c r="N97" s="3" t="n"/>
    </row>
    <row r="98">
      <c r="A98" s="2" t="inlineStr">
        <is>
          <t>CY-C07</t>
        </is>
      </c>
      <c r="B98" s="2" t="inlineStr">
        <is>
          <t>Manipulation oder Ausfall: UCM-Erkennung</t>
        </is>
      </c>
      <c r="C98" s="2" t="inlineStr">
        <is>
          <t>Steuerung und Sicherheitslogik</t>
        </is>
      </c>
      <c r="D98" s="2" t="inlineStr">
        <is>
          <t>CY-C07-R2</t>
        </is>
      </c>
      <c r="E98" s="2" t="n">
        <v>520</v>
      </c>
      <c r="F98" s="2" t="inlineStr">
        <is>
          <t>(3.7.4 Wirkt das UCM-Bremselement (Bremse/Fangvorrichtung) über eine unabhängige, nicht programmierbare Auslösung? = Ja UND (3.7.2 Höchste vorhandene Schnittstellenkategorie der Komponente „UCM-Erkennung" in [„Kabellos im Nahbereich (WLAN, Bluetooth, NFC, Mobilfunk/SIM)", „Fernzugriff (Internet/Cloud, Hersteller-Fernzugriff, Service-App)"] UND 3.7.3 Schutzmaßnahmen nach TRBS 1115-1 für „UCM-Erkennung" ≠ „Festgelegt, umgesetzt und Wirksamkeit nachgewiesen (TRBS 1115-1 Abschn. 5)"))</t>
        </is>
      </c>
      <c r="G98" s="2" t="inlineStr">
        <is>
          <t>Mittel</t>
        </is>
      </c>
      <c r="H98" s="2" t="inlineStr">
        <is>
          <t>INFERRED</t>
        </is>
      </c>
      <c r="I98" s="2" t="inlineStr"/>
      <c r="J98" s="2" t="inlineStr">
        <is>
          <t>Fern-/Funkzugang der Komponente bis zur Umsetzung der Maßnahmen deaktivieren; unabhängige Sicherheitseinrichtung bei jeder Prüfung mitprüfen</t>
        </is>
      </c>
      <c r="K98" s="2" t="inlineStr">
        <is>
          <t>Zugang zu Schnittstellen vor Unbefugten schützen; Funktionsumfang auf das Erforderliche reduzieren. Wirksamkeit nachweisen (TRBS 1115-1 Abschn. 5).</t>
        </is>
      </c>
      <c r="L98" s="2" t="inlineStr">
        <is>
          <t>Entschieden 2026-09-03: K-C08.</t>
        </is>
      </c>
      <c r="M98" s="3" t="n"/>
      <c r="N98" s="3" t="n"/>
    </row>
    <row r="99">
      <c r="A99" s="4" t="inlineStr">
        <is>
          <t>CY-C07</t>
        </is>
      </c>
      <c r="B99" s="4" t="inlineStr">
        <is>
          <t>Manipulation oder Ausfall: UCM-Erkennung</t>
        </is>
      </c>
      <c r="C99" s="4" t="inlineStr">
        <is>
          <t>Steuerung und Sicherheitslogik</t>
        </is>
      </c>
      <c r="D99" s="4" t="inlineStr">
        <is>
          <t>CY-C07-R3</t>
        </is>
      </c>
      <c r="E99" s="4" t="n">
        <v>510</v>
      </c>
      <c r="F99" s="4" t="inlineStr">
        <is>
          <t>(3.7.4 Wirkt das UCM-Bremselement (Bremse/Fangvorrichtung) über eine unabhängige, nicht programmierbare Auslösung? = Ja UND (3.7.2 Höchste vorhandene Schnittstellenkategorie der Komponente „UCM-Erkennung" in [„Kabelgebunden, nur vor Ort (USB, RS232/485, CAN, Ethernet, Serviceanschluss, Speicherkarte)", „Benutzerschnittstelle (Bedienfeld, Eingabeterminal, Display mit Parametrierzugang)"] UND 3.7.3 Schutzmaßnahmen nach TRBS 1115-1 für „UCM-Erkennung" = „Keine Schutzmaßnahmen festgelegt")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G99" s="4" t="inlineStr">
        <is>
          <t>Mittel</t>
        </is>
      </c>
      <c r="H99" s="4" t="inlineStr">
        <is>
          <t>INFERRED</t>
        </is>
      </c>
      <c r="I99" s="4" t="inlineStr"/>
      <c r="J99" s="4" t="inlineStr">
        <is>
          <t>Zugang zur Komponente sofort beschränken; Serviceschnittstellen sichern; unabhängige Sicherheitseinrichtung bei jeder Prüfung mitprüfen</t>
        </is>
      </c>
      <c r="K99" s="4" t="inlineStr">
        <is>
          <t>Zugang zu Schnittstellen vor Unbefugten schützen; Funktionsumfang auf das Erforderliche reduzieren. Wirksamkeit nachweisen (TRBS 1115-1 Abschn. 5).</t>
        </is>
      </c>
      <c r="L99" s="4" t="inlineStr">
        <is>
          <t>Entschieden 2026-09-03: K-C08.</t>
        </is>
      </c>
      <c r="M99" s="3" t="n"/>
      <c r="N99" s="3" t="n"/>
    </row>
    <row r="100">
      <c r="A100" s="2" t="inlineStr">
        <is>
          <t>CY-C07</t>
        </is>
      </c>
      <c r="B100" s="2" t="inlineStr">
        <is>
          <t>Manipulation oder Ausfall: UCM-Erkennung</t>
        </is>
      </c>
      <c r="C100" s="2" t="inlineStr">
        <is>
          <t>Steuerung und Sicherheitslogik</t>
        </is>
      </c>
      <c r="D100" s="2" t="inlineStr">
        <is>
          <t>CY-C07-R4</t>
        </is>
      </c>
      <c r="E100" s="2" t="n">
        <v>400</v>
      </c>
      <c r="F100" s="2" t="inlineStr">
        <is>
          <t>(3.7.2 Höchste vorhandene Schnittstellenkategorie der Komponente „UCM-Erkennung" = „Fernzugriff (Internet/Cloud, Hersteller-Fernzugriff, Service-App)" UND 3.7.3 Schutzmaßnahmen nach TRBS 1115-1 für „UCM-Erkennung" ≠ „Festgelegt, umgesetzt und Wirksamkeit nachgewiesen (TRBS 1115-1 Abschn. 5)")</t>
        </is>
      </c>
      <c r="G100" s="2" t="inlineStr">
        <is>
          <t>Hoch</t>
        </is>
      </c>
      <c r="H100" s="2" t="inlineStr">
        <is>
          <t>INFERRED</t>
        </is>
      </c>
      <c r="I100" s="2" t="inlineStr"/>
      <c r="J100" s="2" t="inlineStr">
        <is>
          <t>Fernzugang der Komponente „UCM-Erkennung" deaktivieren oder physisch trennen, bis die Schutzmaßnahmen umgesetzt und nachgewiesen sind</t>
        </is>
      </c>
      <c r="K100" s="2" t="inlineStr">
        <is>
          <t>Zugang zu Schnittstellen vor Unbefugten schützen; Funktionsumfang auf das Erforderliche reduzieren. Wirksamkeit nachweisen (TRBS 1115-1 Abschn. 5).</t>
        </is>
      </c>
      <c r="L100" s="2" t="inlineStr">
        <is>
          <t>Entschieden 2026-09-03: K-C01.</t>
        </is>
      </c>
      <c r="M100" s="3" t="n"/>
      <c r="N100" s="3" t="n"/>
    </row>
    <row r="101">
      <c r="A101" s="4" t="inlineStr">
        <is>
          <t>CY-C07</t>
        </is>
      </c>
      <c r="B101" s="4" t="inlineStr">
        <is>
          <t>Manipulation oder Ausfall: UCM-Erkennung</t>
        </is>
      </c>
      <c r="C101" s="4" t="inlineStr">
        <is>
          <t>Steuerung und Sicherheitslogik</t>
        </is>
      </c>
      <c r="D101" s="4" t="inlineStr">
        <is>
          <t>CY-C07-R5</t>
        </is>
      </c>
      <c r="E101" s="4" t="n">
        <v>390</v>
      </c>
      <c r="F101" s="4" t="inlineStr">
        <is>
          <t>(3.7.2 Höchste vorhandene Schnittstellenkategorie der Komponente „UCM-Erkennung" = „Kabellos im Nahbereich (WLAN, Bluetooth, NFC, Mobilfunk/SIM)" UND 3.7.3 Schutzmaßnahmen nach TRBS 1115-1 für „UCM-Erkennung" ≠ „Festgelegt, umgesetzt und Wirksamkeit nachgewiesen (TRBS 1115-1 Abschn. 5)")</t>
        </is>
      </c>
      <c r="G101" s="4" t="inlineStr">
        <is>
          <t>Hoch</t>
        </is>
      </c>
      <c r="H101" s="4" t="inlineStr">
        <is>
          <t>INFERRED</t>
        </is>
      </c>
      <c r="I101" s="4" t="inlineStr"/>
      <c r="J101" s="4" t="inlineStr">
        <is>
          <t>Funkschnittstelle der Komponente „UCM-Erkennung" deaktivieren oder auf das Notwendige beschränken, bis die Schutzmaßnahmen umgesetzt sind</t>
        </is>
      </c>
      <c r="K101" s="4" t="inlineStr">
        <is>
          <t>Zugang zu Schnittstellen vor Unbefugten schützen; Funktionsumfang auf das Erforderliche reduzieren. Wirksamkeit nachweisen (TRBS 1115-1 Abschn. 5).</t>
        </is>
      </c>
      <c r="L101" s="4" t="inlineStr">
        <is>
          <t>Entschieden 2026-09-03: K-C01.</t>
        </is>
      </c>
      <c r="M101" s="3" t="n"/>
      <c r="N101" s="3" t="n"/>
    </row>
    <row r="102">
      <c r="A102" s="2" t="inlineStr">
        <is>
          <t>CY-C07</t>
        </is>
      </c>
      <c r="B102" s="2" t="inlineStr">
        <is>
          <t>Manipulation oder Ausfall: UCM-Erkennung</t>
        </is>
      </c>
      <c r="C102" s="2" t="inlineStr">
        <is>
          <t>Steuerung und Sicherheitslogik</t>
        </is>
      </c>
      <c r="D102" s="2" t="inlineStr">
        <is>
          <t>CY-C07-R6</t>
        </is>
      </c>
      <c r="E102" s="2" t="n">
        <v>380</v>
      </c>
      <c r="F102" s="2" t="inlineStr">
        <is>
          <t>((3.7.2 Höchste vorhandene Schnittstellenkategorie der Komponente „UCM-Erkennung" in [„Kabelgebunden, nur vor Ort (USB, RS232/485, CAN, Ethernet, Serviceanschluss, Speicherkarte)", „Benutzerschnittstelle (Bedienfeld, Eingabeterminal, Display mit Parametrierzugang)"] UND 3.7.3 Schutzmaßnahmen nach TRBS 1115-1 für „UCM-Erkennung" = „Keine Schutzmaßnahmen festgelegt")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G102" s="2" t="inlineStr">
        <is>
          <t>Hoch</t>
        </is>
      </c>
      <c r="H102" s="2" t="inlineStr">
        <is>
          <t>INFERRED</t>
        </is>
      </c>
      <c r="I102" s="2" t="inlineStr"/>
      <c r="J102" s="2" t="inlineStr">
        <is>
          <t>Zugang zur Komponente/zum Steuerschrank sofort beschränken; Service- und Programmierschnittstellen sichern</t>
        </is>
      </c>
      <c r="K102" s="2" t="inlineStr">
        <is>
          <t>Zugang zu Schnittstellen vor Unbefugten schützen; Funktionsumfang auf das Erforderliche reduzieren. Wirksamkeit nachweisen (TRBS 1115-1 Abschn. 5).</t>
        </is>
      </c>
      <c r="L102" s="2" t="inlineStr">
        <is>
          <t>Entschieden 2026-09-03: K-C05.</t>
        </is>
      </c>
      <c r="M102" s="3" t="n"/>
      <c r="N102" s="3" t="n"/>
    </row>
    <row r="103">
      <c r="A103" s="4" t="inlineStr">
        <is>
          <t>CY-C07</t>
        </is>
      </c>
      <c r="B103" s="4" t="inlineStr">
        <is>
          <t>Manipulation oder Ausfall: UCM-Erkennung</t>
        </is>
      </c>
      <c r="C103" s="4" t="inlineStr">
        <is>
          <t>Steuerung und Sicherheitslogik</t>
        </is>
      </c>
      <c r="D103" s="4" t="inlineStr">
        <is>
          <t>CY-C07-R7</t>
        </is>
      </c>
      <c r="E103" s="4" t="n">
        <v>300</v>
      </c>
      <c r="F103" s="4" t="inlineStr">
        <is>
          <t>(3.7.2 Höchste vorhandene Schnittstellenkategorie der Komponente „UCM-Erkennung" in [„Kabelgebunden, nur vor Ort (USB, RS232/485, CAN, Ethernet, Serviceanschluss, Speicherkarte)", „Benutzerschnittstelle (Bedienfeld, Eingabeterminal, Display mit Parametrierzugang)"] UND 3.7.3 Schutzmaßnahmen nach TRBS 1115-1 für „UCM-Erkennung" = „Keine Schutzmaßnahmen festgelegt")</t>
        </is>
      </c>
      <c r="G103" s="4" t="inlineStr">
        <is>
          <t>Mittel</t>
        </is>
      </c>
      <c r="H103" s="4" t="inlineStr">
        <is>
          <t>INFERRED</t>
        </is>
      </c>
      <c r="I103" s="4" t="inlineStr"/>
      <c r="J103" s="4" t="inlineStr">
        <is>
          <t>Serviceschnittstellen der Komponente gegen unbefugte Nutzung sichern</t>
        </is>
      </c>
      <c r="K103" s="4" t="inlineStr">
        <is>
          <t>Zugang zu Schnittstellen vor Unbefugten schützen; Funktionsumfang auf das Erforderliche reduzieren. Wirksamkeit nachweisen (TRBS 1115-1 Abschn. 5).</t>
        </is>
      </c>
      <c r="L103" s="4" t="inlineStr">
        <is>
          <t>Freigegeben 2026-09-03.</t>
        </is>
      </c>
      <c r="M103" s="3" t="n"/>
      <c r="N103" s="3" t="n"/>
    </row>
    <row r="104">
      <c r="A104" s="2" t="inlineStr">
        <is>
          <t>CY-C07</t>
        </is>
      </c>
      <c r="B104" s="2" t="inlineStr">
        <is>
          <t>Manipulation oder Ausfall: UCM-Erkennung</t>
        </is>
      </c>
      <c r="C104" s="2" t="inlineStr">
        <is>
          <t>Steuerung und Sicherheitslogik</t>
        </is>
      </c>
      <c r="D104" s="2" t="inlineStr">
        <is>
          <t>CY-C07-R8</t>
        </is>
      </c>
      <c r="E104" s="2" t="n">
        <v>290</v>
      </c>
      <c r="F104" s="2" t="inlineStr">
        <is>
          <t>((3.7.2 Höchste vorhandene Schnittstellenkategorie der Komponente „UCM-Erkennung" in [„Kabelgebunden, nur vor Ort (USB, RS232/485, CAN, Ethernet, Serviceanschluss, Speicherkarte)", „Benutzerschnittstelle (Bedienfeld, Eingabeterminal, Display mit Parametrierzugang)"] UND 3.7.3 Schutzmaßnahmen nach TRBS 1115-1 für „UCM-Erkennung" = „Festgelegt, aber nicht vollständig umgesetzt oder ohne Wirksamkeitsnachweis")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G104" s="2" t="inlineStr">
        <is>
          <t>Mittel</t>
        </is>
      </c>
      <c r="H104" s="2" t="inlineStr">
        <is>
          <t>INFERRED</t>
        </is>
      </c>
      <c r="I104" s="2" t="inlineStr"/>
      <c r="J104" s="2" t="inlineStr">
        <is>
          <t>Zugang beschränken; offene Maßnahmen priorisiert umsetzen</t>
        </is>
      </c>
      <c r="K104" s="2" t="inlineStr">
        <is>
          <t>Festgelegte Maßnahmen vollständig umsetzen und Wirksamkeit nachweisen</t>
        </is>
      </c>
      <c r="L104" s="2" t="inlineStr">
        <is>
          <t>Freigegeben 2026-09-03.</t>
        </is>
      </c>
      <c r="M104" s="3" t="n"/>
      <c r="N104" s="3" t="n"/>
    </row>
    <row r="105">
      <c r="A105" s="4" t="inlineStr">
        <is>
          <t>CY-C07</t>
        </is>
      </c>
      <c r="B105" s="4" t="inlineStr">
        <is>
          <t>Manipulation oder Ausfall: UCM-Erkennung</t>
        </is>
      </c>
      <c r="C105" s="4" t="inlineStr">
        <is>
          <t>Steuerung und Sicherheitslogik</t>
        </is>
      </c>
      <c r="D105" s="4" t="inlineStr">
        <is>
          <t>CY-C07-R9</t>
        </is>
      </c>
      <c r="E105" s="4" t="n">
        <v>280</v>
      </c>
      <c r="F105" s="4" t="inlineStr">
        <is>
          <t>(3.7.2 Höchste vorhandene Schnittstellenkategorie der Komponente „UCM-Erkennung" in [„Kabelgebunden, nur vor Ort (USB, RS232/485, CAN, Ethernet, Serviceanschluss, Speicherkarte)", „Benutzerschnittstelle (Bedienfeld, Eingabeterminal, Display mit Parametrierzugang)"] UND 3.7.3 Schutzmaßnahmen nach TRBS 1115-1 für „UCM-Erkennung" = „Festgelegt, aber nicht vollständig umgesetzt oder ohne Wirksamkeitsnachweis")</t>
        </is>
      </c>
      <c r="G105" s="4" t="inlineStr">
        <is>
          <t>Niedrig</t>
        </is>
      </c>
      <c r="H105" s="4" t="inlineStr">
        <is>
          <t>INFERRED</t>
        </is>
      </c>
      <c r="I105" s="4" t="inlineStr"/>
      <c r="J105" s="4" t="inlineStr">
        <is>
          <t>Offene Maßnahmen terminieren und Verantwortliche benennen</t>
        </is>
      </c>
      <c r="K105" s="4" t="inlineStr">
        <is>
          <t>Festgelegte Maßnahmen vollständig umsetzen und Wirksamkeit nachweisen</t>
        </is>
      </c>
      <c r="L105" s="4" t="inlineStr">
        <is>
          <t>Freigegeben 2026-09-03.</t>
        </is>
      </c>
      <c r="M105" s="3" t="n"/>
      <c r="N105" s="3" t="n"/>
    </row>
    <row r="106">
      <c r="A106" s="2" t="inlineStr">
        <is>
          <t>CY-C07</t>
        </is>
      </c>
      <c r="B106" s="2" t="inlineStr">
        <is>
          <t>Manipulation oder Ausfall: UCM-Erkennung</t>
        </is>
      </c>
      <c r="C106" s="2" t="inlineStr">
        <is>
          <t>Steuerung und Sicherheitslogik</t>
        </is>
      </c>
      <c r="D106" s="2" t="inlineStr">
        <is>
          <t>CY-C07-R10</t>
        </is>
      </c>
      <c r="E106" s="2" t="n">
        <v>270</v>
      </c>
      <c r="F106" s="2" t="inlineStr">
        <is>
          <t>(3.7.2 Höchste vorhandene Schnittstellenkategorie der Komponente „UCM-Erkennung" in [„Kabellos im Nahbereich (WLAN, Bluetooth, NFC, Mobilfunk/SIM)", „Fernzugriff (Internet/Cloud, Hersteller-Fernzugriff, Service-App)"] UND 3.7.3 Schutzmaßnahmen nach TRBS 1115-1 für „UCM-Erkennung" = „Festgelegt, umgesetzt und Wirksamkeit nachgewiesen (TRBS 1115-1 Abschn. 5)")</t>
        </is>
      </c>
      <c r="G106" s="2" t="inlineStr">
        <is>
          <t>Kein Risiko</t>
        </is>
      </c>
      <c r="H106" s="2" t="inlineStr">
        <is>
          <t>HIGH_CONFIDENCE</t>
        </is>
      </c>
      <c r="I106" s="2" t="inlineStr"/>
      <c r="J106" s="2" t="inlineStr">
        <is>
          <t>Zustand erhalten; Fern-/Funkzugang regelmäßig auf Notwendigkeit prüfen, Wirksamkeit bei der wiederkehrenden Prüfung erneut nachweisen</t>
        </is>
      </c>
      <c r="K106" s="2" t="inlineStr"/>
      <c r="L106" s="2" t="inlineStr">
        <is>
          <t>Entschieden 2026-09-03: K-C06.</t>
        </is>
      </c>
      <c r="M106" s="3" t="n"/>
      <c r="N106" s="3" t="n"/>
    </row>
    <row r="107">
      <c r="A107" s="4" t="inlineStr">
        <is>
          <t>CY-C07</t>
        </is>
      </c>
      <c r="B107" s="4" t="inlineStr">
        <is>
          <t>Manipulation oder Ausfall: UCM-Erkennung</t>
        </is>
      </c>
      <c r="C107" s="4" t="inlineStr">
        <is>
          <t>Steuerung und Sicherheitslogik</t>
        </is>
      </c>
      <c r="D107" s="4" t="inlineStr">
        <is>
          <t>CY-C07-R11</t>
        </is>
      </c>
      <c r="E107" s="4" t="n">
        <v>260</v>
      </c>
      <c r="F107" s="4" t="inlineStr">
        <is>
          <t>((3.7.2 Höchste vorhandene Schnittstellenkategorie der Komponente „UCM-Erkennung" in [„Kabelgebunden, nur vor Ort (USB, RS232/485, CAN, Ethernet, Serviceanschluss, Speicherkarte)", „Benutzerschnittstelle (Bedienfeld, Eingabeterminal, Display mit Parametrierzugang)"] UND 3.7.3 Schutzmaßnahmen nach TRBS 1115-1 für „UCM-Erkennung" = „Festgelegt, umgesetzt und Wirksamkeit nachgewiesen (TRBS 1115-1 Abschn. 5)")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G107" s="4" t="inlineStr">
        <is>
          <t>Niedrig</t>
        </is>
      </c>
      <c r="H107" s="4" t="inlineStr">
        <is>
          <t>INFERRED</t>
        </is>
      </c>
      <c r="I107" s="4" t="inlineStr"/>
      <c r="J107" s="4" t="inlineStr">
        <is>
          <t>Physischen Zugang zur Steuerung bzw. zum Raum beschränken (siehe Gefährdungen Zugang)</t>
        </is>
      </c>
      <c r="K107" s="4" t="inlineStr">
        <is>
          <t>Zugangskontrolle (Hardware) dauerhaft herstellen</t>
        </is>
      </c>
      <c r="L107" s="4" t="inlineStr">
        <is>
          <t>Freigegeben 2026-09-03.</t>
        </is>
      </c>
      <c r="M107" s="3" t="n"/>
      <c r="N107" s="3" t="n"/>
    </row>
    <row r="108">
      <c r="A108" s="2" t="inlineStr">
        <is>
          <t>CY-C07</t>
        </is>
      </c>
      <c r="B108" s="2" t="inlineStr">
        <is>
          <t>Manipulation oder Ausfall: UCM-Erkennung</t>
        </is>
      </c>
      <c r="C108" s="2" t="inlineStr">
        <is>
          <t>Steuerung und Sicherheitslogik</t>
        </is>
      </c>
      <c r="D108" s="2" t="inlineStr">
        <is>
          <t>CY-C07-R12</t>
        </is>
      </c>
      <c r="E108" s="2" t="n">
        <v>250</v>
      </c>
      <c r="F108" s="2" t="inlineStr">
        <is>
          <t>(3.7.2 Höchste vorhandene Schnittstellenkategorie der Komponente „UCM-Erkennung" in [„Kabelgebunden, nur vor Ort (USB, RS232/485, CAN, Ethernet, Serviceanschluss, Speicherkarte)", „Benutzerschnittstelle (Bedienfeld, Eingabeterminal, Display mit Parametrierzugang)"] UND 3.7.3 Schutzmaßnahmen nach TRBS 1115-1 für „UCM-Erkennung" = „Festgelegt, umgesetzt und Wirksamkeit nachgewiesen (TRBS 1115-1 Abschn. 5)")</t>
        </is>
      </c>
      <c r="G108" s="2" t="inlineStr">
        <is>
          <t>Kein Risiko</t>
        </is>
      </c>
      <c r="H108" s="2" t="inlineStr">
        <is>
          <t>HIGH_CONFIDENCE</t>
        </is>
      </c>
      <c r="I108" s="2" t="inlineStr"/>
      <c r="J108" s="2" t="inlineStr">
        <is>
          <t>Zustand erhalten; Maßnahmen bei der wiederkehrenden Prüfung erneut nachweisen</t>
        </is>
      </c>
      <c r="K108" s="2" t="inlineStr"/>
      <c r="L108" s="2" t="inlineStr">
        <is>
          <t>Freigegeben 2026-09-03.</t>
        </is>
      </c>
      <c r="M108" s="3" t="n"/>
      <c r="N108" s="3" t="n"/>
    </row>
    <row r="109">
      <c r="A109" s="4" t="inlineStr">
        <is>
          <t>CY-C07</t>
        </is>
      </c>
      <c r="B109" s="4" t="inlineStr">
        <is>
          <t>Manipulation oder Ausfall: UCM-Erkennung</t>
        </is>
      </c>
      <c r="C109" s="4" t="inlineStr">
        <is>
          <t>Steuerung und Sicherheitslogik</t>
        </is>
      </c>
      <c r="D109" s="4" t="inlineStr">
        <is>
          <t>CY-C07-R13</t>
        </is>
      </c>
      <c r="E109" s="4" t="n">
        <v>1</v>
      </c>
      <c r="F109" s="4" t="inlineStr">
        <is>
          <t>3.7.2 Höchste vorhandene Schnittstellenkategorie der Komponente „UCM-Erkennung" beantwortet</t>
        </is>
      </c>
      <c r="G109" s="4" t="inlineStr">
        <is>
          <t>Kein Risiko</t>
        </is>
      </c>
      <c r="H109" s="4" t="inlineStr">
        <is>
          <t>HIGH_CONFIDENCE</t>
        </is>
      </c>
      <c r="I109" s="4" t="inlineStr"/>
      <c r="J109" s="4" t="inlineStr">
        <is>
          <t>Zustand erhalten; bei der wiederkehrenden Prüfung und der Betreiberkontrolle erneut prüfen</t>
        </is>
      </c>
      <c r="K109" s="4" t="inlineStr"/>
      <c r="L109" s="4" t="inlineStr">
        <is>
          <t>Kein Risiko: keine Mangelregel trifft zu, alle Pflichtfragen beantwortet. Freigegeben 2026-09-03.</t>
        </is>
      </c>
      <c r="M109" s="3" t="n"/>
      <c r="N109" s="3" t="n"/>
    </row>
    <row r="110">
      <c r="A110" s="2" t="inlineStr">
        <is>
          <t>CY-C08</t>
        </is>
      </c>
      <c r="B110" s="2" t="inlineStr">
        <is>
          <t>Manipulation oder Ausfall: SAFÜ (Schutz gegen Übergeschwindigkeit)</t>
        </is>
      </c>
      <c r="C110" s="2" t="inlineStr">
        <is>
          <t>Steuerung und Sicherheitslogik</t>
        </is>
      </c>
      <c r="D110" s="2" t="inlineStr">
        <is>
          <t>CY-C08-R1</t>
        </is>
      </c>
      <c r="E110" s="2" t="n">
        <v>600</v>
      </c>
      <c r="F110" s="2" t="inlineStr">
        <is>
          <t>3.8.2 Höchste vorhandene Schnittstellenkategorie der Komponente „SAFÜ (Schutz gegen Übergeschwindigkeit)" = „Keine bzw. nicht programmierbare Schnittstelle"</t>
        </is>
      </c>
      <c r="G110" s="2" t="inlineStr">
        <is>
          <t>Kein Risiko</t>
        </is>
      </c>
      <c r="H110" s="2" t="inlineStr">
        <is>
          <t>HIGH_CONFIDENCE</t>
        </is>
      </c>
      <c r="I110" s="2" t="inlineStr"/>
      <c r="J110" s="2" t="inlineStr">
        <is>
          <t>Keine kompromittierbare Schnittstelle – Feststellung dokumentieren (Vorscreening nach BA-017); bei Nachrüstung erneut bewerten</t>
        </is>
      </c>
      <c r="K110" s="2" t="inlineStr"/>
      <c r="L110" s="2" t="inlineStr">
        <is>
          <t>Vorscreening: Betrachtung abgeschlossen. Entschieden 2026-09-03: K-C02.</t>
        </is>
      </c>
      <c r="M110" s="3" t="n"/>
      <c r="N110" s="3" t="n"/>
    </row>
    <row r="111">
      <c r="A111" s="4" t="inlineStr">
        <is>
          <t>CY-C08</t>
        </is>
      </c>
      <c r="B111" s="4" t="inlineStr">
        <is>
          <t>Manipulation oder Ausfall: SAFÜ (Schutz gegen Übergeschwindigkeit)</t>
        </is>
      </c>
      <c r="C111" s="4" t="inlineStr">
        <is>
          <t>Steuerung und Sicherheitslogik</t>
        </is>
      </c>
      <c r="D111" s="4" t="inlineStr">
        <is>
          <t>CY-C08-R2</t>
        </is>
      </c>
      <c r="E111" s="4" t="n">
        <v>520</v>
      </c>
      <c r="F111" s="4" t="inlineStr">
        <is>
          <t>(3.8.4 Bleibt die Fangvorrichtung bei Manipulation der elektronischen Überwachung durch einen mechanischen Begrenzer auslösbar? = Ja UND (3.8.2 Höchste vorhandene Schnittstellenkategorie der Komponente „SAFÜ (Schutz gegen Übergeschwindigkeit)" in [„Kabellos im Nahbereich (WLAN, Bluetooth, NFC, Mobilfunk/SIM)", „Fernzugriff (Internet/Cloud, Hersteller-Fernzugriff, Service-App)"] UND 3.8.3 Schutzmaßnahmen nach TRBS 1115-1 für „SAFÜ (Schutz gegen Übergeschwindigkeit)" ≠ „Festgelegt, umgesetzt und Wirksamkeit nachgewiesen (TRBS 1115-1 Abschn. 5)"))</t>
        </is>
      </c>
      <c r="G111" s="4" t="inlineStr">
        <is>
          <t>Mittel</t>
        </is>
      </c>
      <c r="H111" s="4" t="inlineStr">
        <is>
          <t>INFERRED</t>
        </is>
      </c>
      <c r="I111" s="4" t="inlineStr"/>
      <c r="J111" s="4" t="inlineStr">
        <is>
          <t>Fern-/Funkzugang der Komponente bis zur Umsetzung der Maßnahmen deaktivieren; unabhängige Sicherheitseinrichtung bei jeder Prüfung mitprüfen</t>
        </is>
      </c>
      <c r="K111" s="4" t="inlineStr">
        <is>
          <t>Zugang zu Schnittstellen vor Unbefugten schützen; Parametrierung gegen unbefugte Änderung sichern. Wirksamkeit nachweisen (TRBS 1115-1 Abschn. 5).</t>
        </is>
      </c>
      <c r="L111" s="4" t="inlineStr">
        <is>
          <t>Entschieden 2026-09-03: K-C08.</t>
        </is>
      </c>
      <c r="M111" s="3" t="n"/>
      <c r="N111" s="3" t="n"/>
    </row>
    <row r="112">
      <c r="A112" s="2" t="inlineStr">
        <is>
          <t>CY-C08</t>
        </is>
      </c>
      <c r="B112" s="2" t="inlineStr">
        <is>
          <t>Manipulation oder Ausfall: SAFÜ (Schutz gegen Übergeschwindigkeit)</t>
        </is>
      </c>
      <c r="C112" s="2" t="inlineStr">
        <is>
          <t>Steuerung und Sicherheitslogik</t>
        </is>
      </c>
      <c r="D112" s="2" t="inlineStr">
        <is>
          <t>CY-C08-R3</t>
        </is>
      </c>
      <c r="E112" s="2" t="n">
        <v>510</v>
      </c>
      <c r="F112" s="2" t="inlineStr">
        <is>
          <t>(3.8.4 Bleibt die Fangvorrichtung bei Manipulation der elektronischen Überwachung durch einen mechanischen Begrenzer auslösbar? = Ja UND (3.8.2 Höchste vorhandene Schnittstellenkategorie der Komponente „SAFÜ (Schutz gegen Übergeschwindigkeit)" in [„Kabelgebunden, nur vor Ort (USB, RS232/485, CAN, Ethernet, Serviceanschluss, Speicherkarte)", „Benutzerschnittstelle (Bedienfeld, Eingabeterminal, Display mit Parametrierzugang)"] UND 3.8.3 Schutzmaßnahmen nach TRBS 1115-1 für „SAFÜ (Schutz gegen Übergeschwindigkeit)" = „Keine Schutzmaßnahmen festgelegt")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G112" s="2" t="inlineStr">
        <is>
          <t>Mittel</t>
        </is>
      </c>
      <c r="H112" s="2" t="inlineStr">
        <is>
          <t>INFERRED</t>
        </is>
      </c>
      <c r="I112" s="2" t="inlineStr"/>
      <c r="J112" s="2" t="inlineStr">
        <is>
          <t>Zugang zur Komponente sofort beschränken; Serviceschnittstellen sichern; unabhängige Sicherheitseinrichtung bei jeder Prüfung mitprüfen</t>
        </is>
      </c>
      <c r="K112" s="2" t="inlineStr">
        <is>
          <t>Zugang zu Schnittstellen vor Unbefugten schützen; Parametrierung gegen unbefugte Änderung sichern. Wirksamkeit nachweisen (TRBS 1115-1 Abschn. 5).</t>
        </is>
      </c>
      <c r="L112" s="2" t="inlineStr">
        <is>
          <t>Entschieden 2026-09-03: K-C08.</t>
        </is>
      </c>
      <c r="M112" s="3" t="n"/>
      <c r="N112" s="3" t="n"/>
    </row>
    <row r="113">
      <c r="A113" s="4" t="inlineStr">
        <is>
          <t>CY-C08</t>
        </is>
      </c>
      <c r="B113" s="4" t="inlineStr">
        <is>
          <t>Manipulation oder Ausfall: SAFÜ (Schutz gegen Übergeschwindigkeit)</t>
        </is>
      </c>
      <c r="C113" s="4" t="inlineStr">
        <is>
          <t>Steuerung und Sicherheitslogik</t>
        </is>
      </c>
      <c r="D113" s="4" t="inlineStr">
        <is>
          <t>CY-C08-R4</t>
        </is>
      </c>
      <c r="E113" s="4" t="n">
        <v>400</v>
      </c>
      <c r="F113" s="4" t="inlineStr">
        <is>
          <t>(3.8.2 Höchste vorhandene Schnittstellenkategorie der Komponente „SAFÜ (Schutz gegen Übergeschwindigkeit)" = „Fernzugriff (Internet/Cloud, Hersteller-Fernzugriff, Service-App)" UND 3.8.3 Schutzmaßnahmen nach TRBS 1115-1 für „SAFÜ (Schutz gegen Übergeschwindigkeit)" ≠ „Festgelegt, umgesetzt und Wirksamkeit nachgewiesen (TRBS 1115-1 Abschn. 5)")</t>
        </is>
      </c>
      <c r="G113" s="4" t="inlineStr">
        <is>
          <t>Hoch</t>
        </is>
      </c>
      <c r="H113" s="4" t="inlineStr">
        <is>
          <t>INFERRED</t>
        </is>
      </c>
      <c r="I113" s="4" t="inlineStr"/>
      <c r="J113" s="4" t="inlineStr">
        <is>
          <t>Fernzugang der Komponente „SAFÜ (Schutz gegen Übergeschwindigkeit)" deaktivieren oder physisch trennen, bis die Schutzmaßnahmen umgesetzt und nachgewiesen sind</t>
        </is>
      </c>
      <c r="K113" s="4" t="inlineStr">
        <is>
          <t>Zugang zu Schnittstellen vor Unbefugten schützen; Parametrierung gegen unbefugte Änderung sichern. Wirksamkeit nachweisen (TRBS 1115-1 Abschn. 5).</t>
        </is>
      </c>
      <c r="L113" s="4" t="inlineStr">
        <is>
          <t>Entschieden 2026-09-03: K-C01.</t>
        </is>
      </c>
      <c r="M113" s="3" t="n"/>
      <c r="N113" s="3" t="n"/>
    </row>
    <row r="114">
      <c r="A114" s="2" t="inlineStr">
        <is>
          <t>CY-C08</t>
        </is>
      </c>
      <c r="B114" s="2" t="inlineStr">
        <is>
          <t>Manipulation oder Ausfall: SAFÜ (Schutz gegen Übergeschwindigkeit)</t>
        </is>
      </c>
      <c r="C114" s="2" t="inlineStr">
        <is>
          <t>Steuerung und Sicherheitslogik</t>
        </is>
      </c>
      <c r="D114" s="2" t="inlineStr">
        <is>
          <t>CY-C08-R5</t>
        </is>
      </c>
      <c r="E114" s="2" t="n">
        <v>390</v>
      </c>
      <c r="F114" s="2" t="inlineStr">
        <is>
          <t>(3.8.2 Höchste vorhandene Schnittstellenkategorie der Komponente „SAFÜ (Schutz gegen Übergeschwindigkeit)" = „Kabellos im Nahbereich (WLAN, Bluetooth, NFC, Mobilfunk/SIM)" UND 3.8.3 Schutzmaßnahmen nach TRBS 1115-1 für „SAFÜ (Schutz gegen Übergeschwindigkeit)" ≠ „Festgelegt, umgesetzt und Wirksamkeit nachgewiesen (TRBS 1115-1 Abschn. 5)")</t>
        </is>
      </c>
      <c r="G114" s="2" t="inlineStr">
        <is>
          <t>Hoch</t>
        </is>
      </c>
      <c r="H114" s="2" t="inlineStr">
        <is>
          <t>INFERRED</t>
        </is>
      </c>
      <c r="I114" s="2" t="inlineStr"/>
      <c r="J114" s="2" t="inlineStr">
        <is>
          <t>Funkschnittstelle der Komponente „SAFÜ (Schutz gegen Übergeschwindigkeit)" deaktivieren oder auf das Notwendige beschränken, bis die Schutzmaßnahmen umgesetzt sind</t>
        </is>
      </c>
      <c r="K114" s="2" t="inlineStr">
        <is>
          <t>Zugang zu Schnittstellen vor Unbefugten schützen; Parametrierung gegen unbefugte Änderung sichern. Wirksamkeit nachweisen (TRBS 1115-1 Abschn. 5).</t>
        </is>
      </c>
      <c r="L114" s="2" t="inlineStr">
        <is>
          <t>Entschieden 2026-09-03: K-C01.</t>
        </is>
      </c>
      <c r="M114" s="3" t="n"/>
      <c r="N114" s="3" t="n"/>
    </row>
    <row r="115">
      <c r="A115" s="4" t="inlineStr">
        <is>
          <t>CY-C08</t>
        </is>
      </c>
      <c r="B115" s="4" t="inlineStr">
        <is>
          <t>Manipulation oder Ausfall: SAFÜ (Schutz gegen Übergeschwindigkeit)</t>
        </is>
      </c>
      <c r="C115" s="4" t="inlineStr">
        <is>
          <t>Steuerung und Sicherheitslogik</t>
        </is>
      </c>
      <c r="D115" s="4" t="inlineStr">
        <is>
          <t>CY-C08-R6</t>
        </is>
      </c>
      <c r="E115" s="4" t="n">
        <v>380</v>
      </c>
      <c r="F115" s="4" t="inlineStr">
        <is>
          <t>((3.8.2 Höchste vorhandene Schnittstellenkategorie der Komponente „SAFÜ (Schutz gegen Übergeschwindigkeit)" in [„Kabelgebunden, nur vor Ort (USB, RS232/485, CAN, Ethernet, Serviceanschluss, Speicherkarte)", „Benutzerschnittstelle (Bedienfeld, Eingabeterminal, Display mit Parametrierzugang)"] UND 3.8.3 Schutzmaßnahmen nach TRBS 1115-1 für „SAFÜ (Schutz gegen Übergeschwindigkeit)" = „Keine Schutzmaßnahmen festgelegt")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G115" s="4" t="inlineStr">
        <is>
          <t>Hoch</t>
        </is>
      </c>
      <c r="H115" s="4" t="inlineStr">
        <is>
          <t>INFERRED</t>
        </is>
      </c>
      <c r="I115" s="4" t="inlineStr"/>
      <c r="J115" s="4" t="inlineStr">
        <is>
          <t>Zugang zur Komponente/zum Steuerschrank sofort beschränken; Service- und Programmierschnittstellen sichern</t>
        </is>
      </c>
      <c r="K115" s="4" t="inlineStr">
        <is>
          <t>Zugang zu Schnittstellen vor Unbefugten schützen; Parametrierung gegen unbefugte Änderung sichern. Wirksamkeit nachweisen (TRBS 1115-1 Abschn. 5).</t>
        </is>
      </c>
      <c r="L115" s="4" t="inlineStr">
        <is>
          <t>Entschieden 2026-09-03: K-C05.</t>
        </is>
      </c>
      <c r="M115" s="3" t="n"/>
      <c r="N115" s="3" t="n"/>
    </row>
    <row r="116">
      <c r="A116" s="2" t="inlineStr">
        <is>
          <t>CY-C08</t>
        </is>
      </c>
      <c r="B116" s="2" t="inlineStr">
        <is>
          <t>Manipulation oder Ausfall: SAFÜ (Schutz gegen Übergeschwindigkeit)</t>
        </is>
      </c>
      <c r="C116" s="2" t="inlineStr">
        <is>
          <t>Steuerung und Sicherheitslogik</t>
        </is>
      </c>
      <c r="D116" s="2" t="inlineStr">
        <is>
          <t>CY-C08-R7</t>
        </is>
      </c>
      <c r="E116" s="2" t="n">
        <v>300</v>
      </c>
      <c r="F116" s="2" t="inlineStr">
        <is>
          <t>(3.8.2 Höchste vorhandene Schnittstellenkategorie der Komponente „SAFÜ (Schutz gegen Übergeschwindigkeit)" in [„Kabelgebunden, nur vor Ort (USB, RS232/485, CAN, Ethernet, Serviceanschluss, Speicherkarte)", „Benutzerschnittstelle (Bedienfeld, Eingabeterminal, Display mit Parametrierzugang)"] UND 3.8.3 Schutzmaßnahmen nach TRBS 1115-1 für „SAFÜ (Schutz gegen Übergeschwindigkeit)" = „Keine Schutzmaßnahmen festgelegt")</t>
        </is>
      </c>
      <c r="G116" s="2" t="inlineStr">
        <is>
          <t>Mittel</t>
        </is>
      </c>
      <c r="H116" s="2" t="inlineStr">
        <is>
          <t>INFERRED</t>
        </is>
      </c>
      <c r="I116" s="2" t="inlineStr"/>
      <c r="J116" s="2" t="inlineStr">
        <is>
          <t>Serviceschnittstellen der Komponente gegen unbefugte Nutzung sichern</t>
        </is>
      </c>
      <c r="K116" s="2" t="inlineStr">
        <is>
          <t>Zugang zu Schnittstellen vor Unbefugten schützen; Parametrierung gegen unbefugte Änderung sichern. Wirksamkeit nachweisen (TRBS 1115-1 Abschn. 5).</t>
        </is>
      </c>
      <c r="L116" s="2" t="inlineStr">
        <is>
          <t>Freigegeben 2026-09-03.</t>
        </is>
      </c>
      <c r="M116" s="3" t="n"/>
      <c r="N116" s="3" t="n"/>
    </row>
    <row r="117">
      <c r="A117" s="4" t="inlineStr">
        <is>
          <t>CY-C08</t>
        </is>
      </c>
      <c r="B117" s="4" t="inlineStr">
        <is>
          <t>Manipulation oder Ausfall: SAFÜ (Schutz gegen Übergeschwindigkeit)</t>
        </is>
      </c>
      <c r="C117" s="4" t="inlineStr">
        <is>
          <t>Steuerung und Sicherheitslogik</t>
        </is>
      </c>
      <c r="D117" s="4" t="inlineStr">
        <is>
          <t>CY-C08-R8</t>
        </is>
      </c>
      <c r="E117" s="4" t="n">
        <v>290</v>
      </c>
      <c r="F117" s="4" t="inlineStr">
        <is>
          <t>((3.8.2 Höchste vorhandene Schnittstellenkategorie der Komponente „SAFÜ (Schutz gegen Übergeschwindigkeit)" in [„Kabelgebunden, nur vor Ort (USB, RS232/485, CAN, Ethernet, Serviceanschluss, Speicherkarte)", „Benutzerschnittstelle (Bedienfeld, Eingabeterminal, Display mit Parametrierzugang)"] UND 3.8.3 Schutzmaßnahmen nach TRBS 1115-1 für „SAFÜ (Schutz gegen Übergeschwindigkeit)" = „Festgelegt, aber nicht vollständig umgesetzt oder ohne Wirksamkeitsnachweis")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G117" s="4" t="inlineStr">
        <is>
          <t>Mittel</t>
        </is>
      </c>
      <c r="H117" s="4" t="inlineStr">
        <is>
          <t>INFERRED</t>
        </is>
      </c>
      <c r="I117" s="4" t="inlineStr"/>
      <c r="J117" s="4" t="inlineStr">
        <is>
          <t>Zugang beschränken; offene Maßnahmen priorisiert umsetzen</t>
        </is>
      </c>
      <c r="K117" s="4" t="inlineStr">
        <is>
          <t>Festgelegte Maßnahmen vollständig umsetzen und Wirksamkeit nachweisen</t>
        </is>
      </c>
      <c r="L117" s="4" t="inlineStr">
        <is>
          <t>Freigegeben 2026-09-03.</t>
        </is>
      </c>
      <c r="M117" s="3" t="n"/>
      <c r="N117" s="3" t="n"/>
    </row>
    <row r="118">
      <c r="A118" s="2" t="inlineStr">
        <is>
          <t>CY-C08</t>
        </is>
      </c>
      <c r="B118" s="2" t="inlineStr">
        <is>
          <t>Manipulation oder Ausfall: SAFÜ (Schutz gegen Übergeschwindigkeit)</t>
        </is>
      </c>
      <c r="C118" s="2" t="inlineStr">
        <is>
          <t>Steuerung und Sicherheitslogik</t>
        </is>
      </c>
      <c r="D118" s="2" t="inlineStr">
        <is>
          <t>CY-C08-R9</t>
        </is>
      </c>
      <c r="E118" s="2" t="n">
        <v>280</v>
      </c>
      <c r="F118" s="2" t="inlineStr">
        <is>
          <t>(3.8.2 Höchste vorhandene Schnittstellenkategorie der Komponente „SAFÜ (Schutz gegen Übergeschwindigkeit)" in [„Kabelgebunden, nur vor Ort (USB, RS232/485, CAN, Ethernet, Serviceanschluss, Speicherkarte)", „Benutzerschnittstelle (Bedienfeld, Eingabeterminal, Display mit Parametrierzugang)"] UND 3.8.3 Schutzmaßnahmen nach TRBS 1115-1 für „SAFÜ (Schutz gegen Übergeschwindigkeit)" = „Festgelegt, aber nicht vollständig umgesetzt oder ohne Wirksamkeitsnachweis")</t>
        </is>
      </c>
      <c r="G118" s="2" t="inlineStr">
        <is>
          <t>Niedrig</t>
        </is>
      </c>
      <c r="H118" s="2" t="inlineStr">
        <is>
          <t>INFERRED</t>
        </is>
      </c>
      <c r="I118" s="2" t="inlineStr"/>
      <c r="J118" s="2" t="inlineStr">
        <is>
          <t>Offene Maßnahmen terminieren und Verantwortliche benennen</t>
        </is>
      </c>
      <c r="K118" s="2" t="inlineStr">
        <is>
          <t>Festgelegte Maßnahmen vollständig umsetzen und Wirksamkeit nachweisen</t>
        </is>
      </c>
      <c r="L118" s="2" t="inlineStr">
        <is>
          <t>Freigegeben 2026-09-03.</t>
        </is>
      </c>
      <c r="M118" s="3" t="n"/>
      <c r="N118" s="3" t="n"/>
    </row>
    <row r="119">
      <c r="A119" s="4" t="inlineStr">
        <is>
          <t>CY-C08</t>
        </is>
      </c>
      <c r="B119" s="4" t="inlineStr">
        <is>
          <t>Manipulation oder Ausfall: SAFÜ (Schutz gegen Übergeschwindigkeit)</t>
        </is>
      </c>
      <c r="C119" s="4" t="inlineStr">
        <is>
          <t>Steuerung und Sicherheitslogik</t>
        </is>
      </c>
      <c r="D119" s="4" t="inlineStr">
        <is>
          <t>CY-C08-R10</t>
        </is>
      </c>
      <c r="E119" s="4" t="n">
        <v>270</v>
      </c>
      <c r="F119" s="4" t="inlineStr">
        <is>
          <t>(3.8.2 Höchste vorhandene Schnittstellenkategorie der Komponente „SAFÜ (Schutz gegen Übergeschwindigkeit)" in [„Kabellos im Nahbereich (WLAN, Bluetooth, NFC, Mobilfunk/SIM)", „Fernzugriff (Internet/Cloud, Hersteller-Fernzugriff, Service-App)"] UND 3.8.3 Schutzmaßnahmen nach TRBS 1115-1 für „SAFÜ (Schutz gegen Übergeschwindigkeit)" = „Festgelegt, umgesetzt und Wirksamkeit nachgewiesen (TRBS 1115-1 Abschn. 5)")</t>
        </is>
      </c>
      <c r="G119" s="4" t="inlineStr">
        <is>
          <t>Kein Risiko</t>
        </is>
      </c>
      <c r="H119" s="4" t="inlineStr">
        <is>
          <t>HIGH_CONFIDENCE</t>
        </is>
      </c>
      <c r="I119" s="4" t="inlineStr"/>
      <c r="J119" s="4" t="inlineStr">
        <is>
          <t>Zustand erhalten; Fern-/Funkzugang regelmäßig auf Notwendigkeit prüfen, Wirksamkeit bei der wiederkehrenden Prüfung erneut nachweisen</t>
        </is>
      </c>
      <c r="K119" s="4" t="inlineStr"/>
      <c r="L119" s="4" t="inlineStr">
        <is>
          <t>Entschieden 2026-09-03: K-C06.</t>
        </is>
      </c>
      <c r="M119" s="3" t="n"/>
      <c r="N119" s="3" t="n"/>
    </row>
    <row r="120">
      <c r="A120" s="2" t="inlineStr">
        <is>
          <t>CY-C08</t>
        </is>
      </c>
      <c r="B120" s="2" t="inlineStr">
        <is>
          <t>Manipulation oder Ausfall: SAFÜ (Schutz gegen Übergeschwindigkeit)</t>
        </is>
      </c>
      <c r="C120" s="2" t="inlineStr">
        <is>
          <t>Steuerung und Sicherheitslogik</t>
        </is>
      </c>
      <c r="D120" s="2" t="inlineStr">
        <is>
          <t>CY-C08-R11</t>
        </is>
      </c>
      <c r="E120" s="2" t="n">
        <v>260</v>
      </c>
      <c r="F120" s="2" t="inlineStr">
        <is>
          <t>((3.8.2 Höchste vorhandene Schnittstellenkategorie der Komponente „SAFÜ (Schutz gegen Übergeschwindigkeit)" in [„Kabelgebunden, nur vor Ort (USB, RS232/485, CAN, Ethernet, Serviceanschluss, Speicherkarte)", „Benutzerschnittstelle (Bedienfeld, Eingabeterminal, Display mit Parametrierzugang)"] UND 3.8.3 Schutzmaßnahmen nach TRBS 1115-1 für „SAFÜ (Schutz gegen Übergeschwindigkeit)" = „Festgelegt, umgesetzt und Wirksamkeit nachgewiesen (TRBS 1115-1 Abschn. 5)")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G120" s="2" t="inlineStr">
        <is>
          <t>Niedrig</t>
        </is>
      </c>
      <c r="H120" s="2" t="inlineStr">
        <is>
          <t>INFERRED</t>
        </is>
      </c>
      <c r="I120" s="2" t="inlineStr"/>
      <c r="J120" s="2" t="inlineStr">
        <is>
          <t>Physischen Zugang zur Steuerung bzw. zum Raum beschränken (siehe Gefährdungen Zugang)</t>
        </is>
      </c>
      <c r="K120" s="2" t="inlineStr">
        <is>
          <t>Zugangskontrolle (Hardware) dauerhaft herstellen</t>
        </is>
      </c>
      <c r="L120" s="2" t="inlineStr">
        <is>
          <t>Freigegeben 2026-09-03.</t>
        </is>
      </c>
      <c r="M120" s="3" t="n"/>
      <c r="N120" s="3" t="n"/>
    </row>
    <row r="121">
      <c r="A121" s="4" t="inlineStr">
        <is>
          <t>CY-C08</t>
        </is>
      </c>
      <c r="B121" s="4" t="inlineStr">
        <is>
          <t>Manipulation oder Ausfall: SAFÜ (Schutz gegen Übergeschwindigkeit)</t>
        </is>
      </c>
      <c r="C121" s="4" t="inlineStr">
        <is>
          <t>Steuerung und Sicherheitslogik</t>
        </is>
      </c>
      <c r="D121" s="4" t="inlineStr">
        <is>
          <t>CY-C08-R12</t>
        </is>
      </c>
      <c r="E121" s="4" t="n">
        <v>250</v>
      </c>
      <c r="F121" s="4" t="inlineStr">
        <is>
          <t>(3.8.2 Höchste vorhandene Schnittstellenkategorie der Komponente „SAFÜ (Schutz gegen Übergeschwindigkeit)" in [„Kabelgebunden, nur vor Ort (USB, RS232/485, CAN, Ethernet, Serviceanschluss, Speicherkarte)", „Benutzerschnittstelle (Bedienfeld, Eingabeterminal, Display mit Parametrierzugang)"] UND 3.8.3 Schutzmaßnahmen nach TRBS 1115-1 für „SAFÜ (Schutz gegen Übergeschwindigkeit)" = „Festgelegt, umgesetzt und Wirksamkeit nachgewiesen (TRBS 1115-1 Abschn. 5)")</t>
        </is>
      </c>
      <c r="G121" s="4" t="inlineStr">
        <is>
          <t>Kein Risiko</t>
        </is>
      </c>
      <c r="H121" s="4" t="inlineStr">
        <is>
          <t>HIGH_CONFIDENCE</t>
        </is>
      </c>
      <c r="I121" s="4" t="inlineStr"/>
      <c r="J121" s="4" t="inlineStr">
        <is>
          <t>Zustand erhalten; Maßnahmen bei der wiederkehrenden Prüfung erneut nachweisen</t>
        </is>
      </c>
      <c r="K121" s="4" t="inlineStr"/>
      <c r="L121" s="4" t="inlineStr">
        <is>
          <t>Freigegeben 2026-09-03.</t>
        </is>
      </c>
      <c r="M121" s="3" t="n"/>
      <c r="N121" s="3" t="n"/>
    </row>
    <row r="122">
      <c r="A122" s="2" t="inlineStr">
        <is>
          <t>CY-C08</t>
        </is>
      </c>
      <c r="B122" s="2" t="inlineStr">
        <is>
          <t>Manipulation oder Ausfall: SAFÜ (Schutz gegen Übergeschwindigkeit)</t>
        </is>
      </c>
      <c r="C122" s="2" t="inlineStr">
        <is>
          <t>Steuerung und Sicherheitslogik</t>
        </is>
      </c>
      <c r="D122" s="2" t="inlineStr">
        <is>
          <t>CY-C08-R13</t>
        </is>
      </c>
      <c r="E122" s="2" t="n">
        <v>1</v>
      </c>
      <c r="F122" s="2" t="inlineStr">
        <is>
          <t>3.8.2 Höchste vorhandene Schnittstellenkategorie der Komponente „SAFÜ (Schutz gegen Übergeschwindigkeit)" beantwortet</t>
        </is>
      </c>
      <c r="G122" s="2" t="inlineStr">
        <is>
          <t>Kein Risiko</t>
        </is>
      </c>
      <c r="H122" s="2" t="inlineStr">
        <is>
          <t>HIGH_CONFIDENCE</t>
        </is>
      </c>
      <c r="I122" s="2" t="inlineStr"/>
      <c r="J122" s="2" t="inlineStr">
        <is>
          <t>Zustand erhalten; bei der wiederkehrenden Prüfung und der Betreiberkontrolle erneut prüfen</t>
        </is>
      </c>
      <c r="K122" s="2" t="inlineStr"/>
      <c r="L122" s="2" t="inlineStr">
        <is>
          <t>Kein Risiko: keine Mangelregel trifft zu, alle Pflichtfragen beantwortet. Freigegeben 2026-09-03.</t>
        </is>
      </c>
      <c r="M122" s="3" t="n"/>
      <c r="N122" s="3" t="n"/>
    </row>
    <row r="123">
      <c r="A123" s="4" t="inlineStr">
        <is>
          <t>CY-C09</t>
        </is>
      </c>
      <c r="B123" s="4" t="inlineStr">
        <is>
          <t>Manipulation oder Ausfall: Tragmittelüberwachung</t>
        </is>
      </c>
      <c r="C123" s="4" t="inlineStr">
        <is>
          <t>Steuerung und Sicherheitslogik</t>
        </is>
      </c>
      <c r="D123" s="4" t="inlineStr">
        <is>
          <t>CY-C09-R1</t>
        </is>
      </c>
      <c r="E123" s="4" t="n">
        <v>600</v>
      </c>
      <c r="F123" s="4" t="inlineStr">
        <is>
          <t>3.9.2 Höchste vorhandene Schnittstellenkategorie der Komponente „Tragmittelüberwachung" = „Keine bzw. nicht programmierbare Schnittstelle"</t>
        </is>
      </c>
      <c r="G123" s="4" t="inlineStr">
        <is>
          <t>Kein Risiko</t>
        </is>
      </c>
      <c r="H123" s="4" t="inlineStr">
        <is>
          <t>HIGH_CONFIDENCE</t>
        </is>
      </c>
      <c r="I123" s="4" t="inlineStr"/>
      <c r="J123" s="4" t="inlineStr">
        <is>
          <t>Keine kompromittierbare Schnittstelle – Feststellung dokumentieren (Vorscreening nach BA-017); bei Nachrüstung erneut bewerten</t>
        </is>
      </c>
      <c r="K123" s="4" t="inlineStr"/>
      <c r="L123" s="4" t="inlineStr">
        <is>
          <t>Vorscreening: Betrachtung abgeschlossen. Entschieden 2026-09-03: K-C02.</t>
        </is>
      </c>
      <c r="M123" s="3" t="n"/>
      <c r="N123" s="3" t="n"/>
    </row>
    <row r="124">
      <c r="A124" s="2" t="inlineStr">
        <is>
          <t>CY-C09</t>
        </is>
      </c>
      <c r="B124" s="2" t="inlineStr">
        <is>
          <t>Manipulation oder Ausfall: Tragmittelüberwachung</t>
        </is>
      </c>
      <c r="C124" s="2" t="inlineStr">
        <is>
          <t>Steuerung und Sicherheitslogik</t>
        </is>
      </c>
      <c r="D124" s="2" t="inlineStr">
        <is>
          <t>CY-C09-R2</t>
        </is>
      </c>
      <c r="E124" s="2" t="n">
        <v>520</v>
      </c>
      <c r="F124" s="2" t="inlineStr">
        <is>
          <t>(3.9.4 Wird der Tragmittelzustand zusätzlich unabhängig geprüft (Sichtprüfung nach Wartungsplan, Ablegereife)? = Ja UND (3.9.2 Höchste vorhandene Schnittstellenkategorie der Komponente „Tragmittelüberwachung" in [„Kabellos im Nahbereich (WLAN, Bluetooth, NFC, Mobilfunk/SIM)", „Fernzugriff (Internet/Cloud, Hersteller-Fernzugriff, Service-App)"] UND 3.9.3 Schutzmaßnahmen nach TRBS 1115-1 für „Tragmittelüberwachung" ≠ „Festgelegt, umgesetzt und Wirksamkeit nachgewiesen (TRBS 1115-1 Abschn. 5)"))</t>
        </is>
      </c>
      <c r="G124" s="2" t="inlineStr">
        <is>
          <t>Mittel</t>
        </is>
      </c>
      <c r="H124" s="2" t="inlineStr">
        <is>
          <t>INFERRED</t>
        </is>
      </c>
      <c r="I124" s="2" t="inlineStr"/>
      <c r="J124" s="2" t="inlineStr">
        <is>
          <t>Fern-/Funkzugang der Komponente bis zur Umsetzung der Maßnahmen deaktivieren; unabhängige Sicherheitseinrichtung bei jeder Prüfung mitprüfen</t>
        </is>
      </c>
      <c r="K124" s="2" t="inlineStr">
        <is>
          <t>Schnittstellen schützen; Wirksamkeit der Überwachung regelmäßig prüfen. Wirksamkeit nachweisen (TRBS 1115-1 Abschn. 5).</t>
        </is>
      </c>
      <c r="L124" s="2" t="inlineStr">
        <is>
          <t>Entschieden 2026-09-03: K-C08.</t>
        </is>
      </c>
      <c r="M124" s="3" t="n"/>
      <c r="N124" s="3" t="n"/>
    </row>
    <row r="125">
      <c r="A125" s="4" t="inlineStr">
        <is>
          <t>CY-C09</t>
        </is>
      </c>
      <c r="B125" s="4" t="inlineStr">
        <is>
          <t>Manipulation oder Ausfall: Tragmittelüberwachung</t>
        </is>
      </c>
      <c r="C125" s="4" t="inlineStr">
        <is>
          <t>Steuerung und Sicherheitslogik</t>
        </is>
      </c>
      <c r="D125" s="4" t="inlineStr">
        <is>
          <t>CY-C09-R3</t>
        </is>
      </c>
      <c r="E125" s="4" t="n">
        <v>510</v>
      </c>
      <c r="F125" s="4" t="inlineStr">
        <is>
          <t>(3.9.4 Wird der Tragmittelzustand zusätzlich unabhängig geprüft (Sichtprüfung nach Wartungsplan, Ablegereife)? = Ja UND (3.9.2 Höchste vorhandene Schnittstellenkategorie der Komponente „Tragmittelüberwachung" in [„Kabelgebunden, nur vor Ort (USB, RS232/485, CAN, Ethernet, Serviceanschluss, Speicherkarte)", „Benutzerschnittstelle (Bedienfeld, Eingabeterminal, Display mit Parametrierzugang)"] UND 3.9.3 Schutzmaßnahmen nach TRBS 1115-1 für „Tragmittelüberwachung" = „Keine Schutzmaßnahmen festgelegt")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G125" s="4" t="inlineStr">
        <is>
          <t>Mittel</t>
        </is>
      </c>
      <c r="H125" s="4" t="inlineStr">
        <is>
          <t>INFERRED</t>
        </is>
      </c>
      <c r="I125" s="4" t="inlineStr"/>
      <c r="J125" s="4" t="inlineStr">
        <is>
          <t>Zugang zur Komponente sofort beschränken; Serviceschnittstellen sichern; unabhängige Sicherheitseinrichtung bei jeder Prüfung mitprüfen</t>
        </is>
      </c>
      <c r="K125" s="4" t="inlineStr">
        <is>
          <t>Schnittstellen schützen; Wirksamkeit der Überwachung regelmäßig prüfen. Wirksamkeit nachweisen (TRBS 1115-1 Abschn. 5).</t>
        </is>
      </c>
      <c r="L125" s="4" t="inlineStr">
        <is>
          <t>Entschieden 2026-09-03: K-C08.</t>
        </is>
      </c>
      <c r="M125" s="3" t="n"/>
      <c r="N125" s="3" t="n"/>
    </row>
    <row r="126">
      <c r="A126" s="2" t="inlineStr">
        <is>
          <t>CY-C09</t>
        </is>
      </c>
      <c r="B126" s="2" t="inlineStr">
        <is>
          <t>Manipulation oder Ausfall: Tragmittelüberwachung</t>
        </is>
      </c>
      <c r="C126" s="2" t="inlineStr">
        <is>
          <t>Steuerung und Sicherheitslogik</t>
        </is>
      </c>
      <c r="D126" s="2" t="inlineStr">
        <is>
          <t>CY-C09-R4</t>
        </is>
      </c>
      <c r="E126" s="2" t="n">
        <v>400</v>
      </c>
      <c r="F126" s="2" t="inlineStr">
        <is>
          <t>(3.9.2 Höchste vorhandene Schnittstellenkategorie der Komponente „Tragmittelüberwachung" = „Fernzugriff (Internet/Cloud, Hersteller-Fernzugriff, Service-App)" UND 3.9.3 Schutzmaßnahmen nach TRBS 1115-1 für „Tragmittelüberwachung" ≠ „Festgelegt, umgesetzt und Wirksamkeit nachgewiesen (TRBS 1115-1 Abschn. 5)")</t>
        </is>
      </c>
      <c r="G126" s="2" t="inlineStr">
        <is>
          <t>Hoch</t>
        </is>
      </c>
      <c r="H126" s="2" t="inlineStr">
        <is>
          <t>INFERRED</t>
        </is>
      </c>
      <c r="I126" s="2" t="inlineStr"/>
      <c r="J126" s="2" t="inlineStr">
        <is>
          <t>Fernzugang der Komponente „Tragmittelüberwachung" deaktivieren oder physisch trennen, bis die Schutzmaßnahmen umgesetzt und nachgewiesen sind</t>
        </is>
      </c>
      <c r="K126" s="2" t="inlineStr">
        <is>
          <t>Schnittstellen schützen; Wirksamkeit der Überwachung regelmäßig prüfen. Wirksamkeit nachweisen (TRBS 1115-1 Abschn. 5).</t>
        </is>
      </c>
      <c r="L126" s="2" t="inlineStr">
        <is>
          <t>Entschieden 2026-09-03: K-C01.</t>
        </is>
      </c>
      <c r="M126" s="3" t="n"/>
      <c r="N126" s="3" t="n"/>
    </row>
    <row r="127">
      <c r="A127" s="4" t="inlineStr">
        <is>
          <t>CY-C09</t>
        </is>
      </c>
      <c r="B127" s="4" t="inlineStr">
        <is>
          <t>Manipulation oder Ausfall: Tragmittelüberwachung</t>
        </is>
      </c>
      <c r="C127" s="4" t="inlineStr">
        <is>
          <t>Steuerung und Sicherheitslogik</t>
        </is>
      </c>
      <c r="D127" s="4" t="inlineStr">
        <is>
          <t>CY-C09-R5</t>
        </is>
      </c>
      <c r="E127" s="4" t="n">
        <v>390</v>
      </c>
      <c r="F127" s="4" t="inlineStr">
        <is>
          <t>(3.9.2 Höchste vorhandene Schnittstellenkategorie der Komponente „Tragmittelüberwachung" = „Kabellos im Nahbereich (WLAN, Bluetooth, NFC, Mobilfunk/SIM)" UND 3.9.3 Schutzmaßnahmen nach TRBS 1115-1 für „Tragmittelüberwachung" ≠ „Festgelegt, umgesetzt und Wirksamkeit nachgewiesen (TRBS 1115-1 Abschn. 5)")</t>
        </is>
      </c>
      <c r="G127" s="4" t="inlineStr">
        <is>
          <t>Hoch</t>
        </is>
      </c>
      <c r="H127" s="4" t="inlineStr">
        <is>
          <t>INFERRED</t>
        </is>
      </c>
      <c r="I127" s="4" t="inlineStr"/>
      <c r="J127" s="4" t="inlineStr">
        <is>
          <t>Funkschnittstelle der Komponente „Tragmittelüberwachung" deaktivieren oder auf das Notwendige beschränken, bis die Schutzmaßnahmen umgesetzt sind</t>
        </is>
      </c>
      <c r="K127" s="4" t="inlineStr">
        <is>
          <t>Schnittstellen schützen; Wirksamkeit der Überwachung regelmäßig prüfen. Wirksamkeit nachweisen (TRBS 1115-1 Abschn. 5).</t>
        </is>
      </c>
      <c r="L127" s="4" t="inlineStr">
        <is>
          <t>Entschieden 2026-09-03: K-C01.</t>
        </is>
      </c>
      <c r="M127" s="3" t="n"/>
      <c r="N127" s="3" t="n"/>
    </row>
    <row r="128">
      <c r="A128" s="2" t="inlineStr">
        <is>
          <t>CY-C09</t>
        </is>
      </c>
      <c r="B128" s="2" t="inlineStr">
        <is>
          <t>Manipulation oder Ausfall: Tragmittelüberwachung</t>
        </is>
      </c>
      <c r="C128" s="2" t="inlineStr">
        <is>
          <t>Steuerung und Sicherheitslogik</t>
        </is>
      </c>
      <c r="D128" s="2" t="inlineStr">
        <is>
          <t>CY-C09-R6</t>
        </is>
      </c>
      <c r="E128" s="2" t="n">
        <v>380</v>
      </c>
      <c r="F128" s="2" t="inlineStr">
        <is>
          <t>((3.9.2 Höchste vorhandene Schnittstellenkategorie der Komponente „Tragmittelüberwachung" in [„Kabelgebunden, nur vor Ort (USB, RS232/485, CAN, Ethernet, Serviceanschluss, Speicherkarte)", „Benutzerschnittstelle (Bedienfeld, Eingabeterminal, Display mit Parametrierzugang)"] UND 3.9.3 Schutzmaßnahmen nach TRBS 1115-1 für „Tragmittelüberwachung" = „Keine Schutzmaßnahmen festgelegt")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G128" s="2" t="inlineStr">
        <is>
          <t>Hoch</t>
        </is>
      </c>
      <c r="H128" s="2" t="inlineStr">
        <is>
          <t>INFERRED</t>
        </is>
      </c>
      <c r="I128" s="2" t="inlineStr"/>
      <c r="J128" s="2" t="inlineStr">
        <is>
          <t>Zugang zur Komponente/zum Steuerschrank sofort beschränken; Service- und Programmierschnittstellen sichern</t>
        </is>
      </c>
      <c r="K128" s="2" t="inlineStr">
        <is>
          <t>Schnittstellen schützen; Wirksamkeit der Überwachung regelmäßig prüfen. Wirksamkeit nachweisen (TRBS 1115-1 Abschn. 5).</t>
        </is>
      </c>
      <c r="L128" s="2" t="inlineStr">
        <is>
          <t>Entschieden 2026-09-03: K-C05.</t>
        </is>
      </c>
      <c r="M128" s="3" t="n"/>
      <c r="N128" s="3" t="n"/>
    </row>
    <row r="129">
      <c r="A129" s="4" t="inlineStr">
        <is>
          <t>CY-C09</t>
        </is>
      </c>
      <c r="B129" s="4" t="inlineStr">
        <is>
          <t>Manipulation oder Ausfall: Tragmittelüberwachung</t>
        </is>
      </c>
      <c r="C129" s="4" t="inlineStr">
        <is>
          <t>Steuerung und Sicherheitslogik</t>
        </is>
      </c>
      <c r="D129" s="4" t="inlineStr">
        <is>
          <t>CY-C09-R7</t>
        </is>
      </c>
      <c r="E129" s="4" t="n">
        <v>300</v>
      </c>
      <c r="F129" s="4" t="inlineStr">
        <is>
          <t>(3.9.2 Höchste vorhandene Schnittstellenkategorie der Komponente „Tragmittelüberwachung" in [„Kabelgebunden, nur vor Ort (USB, RS232/485, CAN, Ethernet, Serviceanschluss, Speicherkarte)", „Benutzerschnittstelle (Bedienfeld, Eingabeterminal, Display mit Parametrierzugang)"] UND 3.9.3 Schutzmaßnahmen nach TRBS 1115-1 für „Tragmittelüberwachung" = „Keine Schutzmaßnahmen festgelegt")</t>
        </is>
      </c>
      <c r="G129" s="4" t="inlineStr">
        <is>
          <t>Mittel</t>
        </is>
      </c>
      <c r="H129" s="4" t="inlineStr">
        <is>
          <t>INFERRED</t>
        </is>
      </c>
      <c r="I129" s="4" t="inlineStr"/>
      <c r="J129" s="4" t="inlineStr">
        <is>
          <t>Serviceschnittstellen der Komponente gegen unbefugte Nutzung sichern</t>
        </is>
      </c>
      <c r="K129" s="4" t="inlineStr">
        <is>
          <t>Schnittstellen schützen; Wirksamkeit der Überwachung regelmäßig prüfen. Wirksamkeit nachweisen (TRBS 1115-1 Abschn. 5).</t>
        </is>
      </c>
      <c r="L129" s="4" t="inlineStr">
        <is>
          <t>Freigegeben 2026-09-03.</t>
        </is>
      </c>
      <c r="M129" s="3" t="n"/>
      <c r="N129" s="3" t="n"/>
    </row>
    <row r="130">
      <c r="A130" s="2" t="inlineStr">
        <is>
          <t>CY-C09</t>
        </is>
      </c>
      <c r="B130" s="2" t="inlineStr">
        <is>
          <t>Manipulation oder Ausfall: Tragmittelüberwachung</t>
        </is>
      </c>
      <c r="C130" s="2" t="inlineStr">
        <is>
          <t>Steuerung und Sicherheitslogik</t>
        </is>
      </c>
      <c r="D130" s="2" t="inlineStr">
        <is>
          <t>CY-C09-R8</t>
        </is>
      </c>
      <c r="E130" s="2" t="n">
        <v>290</v>
      </c>
      <c r="F130" s="2" t="inlineStr">
        <is>
          <t>((3.9.2 Höchste vorhandene Schnittstellenkategorie der Komponente „Tragmittelüberwachung" in [„Kabelgebunden, nur vor Ort (USB, RS232/485, CAN, Ethernet, Serviceanschluss, Speicherkarte)", „Benutzerschnittstelle (Bedienfeld, Eingabeterminal, Display mit Parametrierzugang)"] UND 3.9.3 Schutzmaßnahmen nach TRBS 1115-1 für „Tragmittelüberwachung" = „Festgelegt, aber nicht vollständig umgesetzt oder ohne Wirksamkeitsnachweis")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G130" s="2" t="inlineStr">
        <is>
          <t>Mittel</t>
        </is>
      </c>
      <c r="H130" s="2" t="inlineStr">
        <is>
          <t>INFERRED</t>
        </is>
      </c>
      <c r="I130" s="2" t="inlineStr"/>
      <c r="J130" s="2" t="inlineStr">
        <is>
          <t>Zugang beschränken; offene Maßnahmen priorisiert umsetzen</t>
        </is>
      </c>
      <c r="K130" s="2" t="inlineStr">
        <is>
          <t>Festgelegte Maßnahmen vollständig umsetzen und Wirksamkeit nachweisen</t>
        </is>
      </c>
      <c r="L130" s="2" t="inlineStr">
        <is>
          <t>Freigegeben 2026-09-03.</t>
        </is>
      </c>
      <c r="M130" s="3" t="n"/>
      <c r="N130" s="3" t="n"/>
    </row>
    <row r="131">
      <c r="A131" s="4" t="inlineStr">
        <is>
          <t>CY-C09</t>
        </is>
      </c>
      <c r="B131" s="4" t="inlineStr">
        <is>
          <t>Manipulation oder Ausfall: Tragmittelüberwachung</t>
        </is>
      </c>
      <c r="C131" s="4" t="inlineStr">
        <is>
          <t>Steuerung und Sicherheitslogik</t>
        </is>
      </c>
      <c r="D131" s="4" t="inlineStr">
        <is>
          <t>CY-C09-R9</t>
        </is>
      </c>
      <c r="E131" s="4" t="n">
        <v>280</v>
      </c>
      <c r="F131" s="4" t="inlineStr">
        <is>
          <t>(3.9.2 Höchste vorhandene Schnittstellenkategorie der Komponente „Tragmittelüberwachung" in [„Kabelgebunden, nur vor Ort (USB, RS232/485, CAN, Ethernet, Serviceanschluss, Speicherkarte)", „Benutzerschnittstelle (Bedienfeld, Eingabeterminal, Display mit Parametrierzugang)"] UND 3.9.3 Schutzmaßnahmen nach TRBS 1115-1 für „Tragmittelüberwachung" = „Festgelegt, aber nicht vollständig umgesetzt oder ohne Wirksamkeitsnachweis")</t>
        </is>
      </c>
      <c r="G131" s="4" t="inlineStr">
        <is>
          <t>Niedrig</t>
        </is>
      </c>
      <c r="H131" s="4" t="inlineStr">
        <is>
          <t>INFERRED</t>
        </is>
      </c>
      <c r="I131" s="4" t="inlineStr"/>
      <c r="J131" s="4" t="inlineStr">
        <is>
          <t>Offene Maßnahmen terminieren und Verantwortliche benennen</t>
        </is>
      </c>
      <c r="K131" s="4" t="inlineStr">
        <is>
          <t>Festgelegte Maßnahmen vollständig umsetzen und Wirksamkeit nachweisen</t>
        </is>
      </c>
      <c r="L131" s="4" t="inlineStr">
        <is>
          <t>Freigegeben 2026-09-03.</t>
        </is>
      </c>
      <c r="M131" s="3" t="n"/>
      <c r="N131" s="3" t="n"/>
    </row>
    <row r="132">
      <c r="A132" s="2" t="inlineStr">
        <is>
          <t>CY-C09</t>
        </is>
      </c>
      <c r="B132" s="2" t="inlineStr">
        <is>
          <t>Manipulation oder Ausfall: Tragmittelüberwachung</t>
        </is>
      </c>
      <c r="C132" s="2" t="inlineStr">
        <is>
          <t>Steuerung und Sicherheitslogik</t>
        </is>
      </c>
      <c r="D132" s="2" t="inlineStr">
        <is>
          <t>CY-C09-R10</t>
        </is>
      </c>
      <c r="E132" s="2" t="n">
        <v>270</v>
      </c>
      <c r="F132" s="2" t="inlineStr">
        <is>
          <t>(3.9.2 Höchste vorhandene Schnittstellenkategorie der Komponente „Tragmittelüberwachung" in [„Kabellos im Nahbereich (WLAN, Bluetooth, NFC, Mobilfunk/SIM)", „Fernzugriff (Internet/Cloud, Hersteller-Fernzugriff, Service-App)"] UND 3.9.3 Schutzmaßnahmen nach TRBS 1115-1 für „Tragmittelüberwachung" = „Festgelegt, umgesetzt und Wirksamkeit nachgewiesen (TRBS 1115-1 Abschn. 5)")</t>
        </is>
      </c>
      <c r="G132" s="2" t="inlineStr">
        <is>
          <t>Kein Risiko</t>
        </is>
      </c>
      <c r="H132" s="2" t="inlineStr">
        <is>
          <t>HIGH_CONFIDENCE</t>
        </is>
      </c>
      <c r="I132" s="2" t="inlineStr"/>
      <c r="J132" s="2" t="inlineStr">
        <is>
          <t>Zustand erhalten; Fern-/Funkzugang regelmäßig auf Notwendigkeit prüfen, Wirksamkeit bei der wiederkehrenden Prüfung erneut nachweisen</t>
        </is>
      </c>
      <c r="K132" s="2" t="inlineStr"/>
      <c r="L132" s="2" t="inlineStr">
        <is>
          <t>Entschieden 2026-09-03: K-C06.</t>
        </is>
      </c>
      <c r="M132" s="3" t="n"/>
      <c r="N132" s="3" t="n"/>
    </row>
    <row r="133">
      <c r="A133" s="4" t="inlineStr">
        <is>
          <t>CY-C09</t>
        </is>
      </c>
      <c r="B133" s="4" t="inlineStr">
        <is>
          <t>Manipulation oder Ausfall: Tragmittelüberwachung</t>
        </is>
      </c>
      <c r="C133" s="4" t="inlineStr">
        <is>
          <t>Steuerung und Sicherheitslogik</t>
        </is>
      </c>
      <c r="D133" s="4" t="inlineStr">
        <is>
          <t>CY-C09-R11</t>
        </is>
      </c>
      <c r="E133" s="4" t="n">
        <v>260</v>
      </c>
      <c r="F133" s="4" t="inlineStr">
        <is>
          <t>((3.9.2 Höchste vorhandene Schnittstellenkategorie der Komponente „Tragmittelüberwachung" in [„Kabelgebunden, nur vor Ort (USB, RS232/485, CAN, Ethernet, Serviceanschluss, Speicherkarte)", „Benutzerschnittstelle (Bedienfeld, Eingabeterminal, Display mit Parametrierzugang)"] UND 3.9.3 Schutzmaßnahmen nach TRBS 1115-1 für „Tragmittelüberwachung" = „Festgelegt, umgesetzt und Wirksamkeit nachgewiesen (TRBS 1115-1 Abschn. 5)")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G133" s="4" t="inlineStr">
        <is>
          <t>Niedrig</t>
        </is>
      </c>
      <c r="H133" s="4" t="inlineStr">
        <is>
          <t>INFERRED</t>
        </is>
      </c>
      <c r="I133" s="4" t="inlineStr"/>
      <c r="J133" s="4" t="inlineStr">
        <is>
          <t>Physischen Zugang zur Steuerung bzw. zum Raum beschränken (siehe Gefährdungen Zugang)</t>
        </is>
      </c>
      <c r="K133" s="4" t="inlineStr">
        <is>
          <t>Zugangskontrolle (Hardware) dauerhaft herstellen</t>
        </is>
      </c>
      <c r="L133" s="4" t="inlineStr">
        <is>
          <t>Freigegeben 2026-09-03.</t>
        </is>
      </c>
      <c r="M133" s="3" t="n"/>
      <c r="N133" s="3" t="n"/>
    </row>
    <row r="134">
      <c r="A134" s="2" t="inlineStr">
        <is>
          <t>CY-C09</t>
        </is>
      </c>
      <c r="B134" s="2" t="inlineStr">
        <is>
          <t>Manipulation oder Ausfall: Tragmittelüberwachung</t>
        </is>
      </c>
      <c r="C134" s="2" t="inlineStr">
        <is>
          <t>Steuerung und Sicherheitslogik</t>
        </is>
      </c>
      <c r="D134" s="2" t="inlineStr">
        <is>
          <t>CY-C09-R12</t>
        </is>
      </c>
      <c r="E134" s="2" t="n">
        <v>250</v>
      </c>
      <c r="F134" s="2" t="inlineStr">
        <is>
          <t>(3.9.2 Höchste vorhandene Schnittstellenkategorie der Komponente „Tragmittelüberwachung" in [„Kabelgebunden, nur vor Ort (USB, RS232/485, CAN, Ethernet, Serviceanschluss, Speicherkarte)", „Benutzerschnittstelle (Bedienfeld, Eingabeterminal, Display mit Parametrierzugang)"] UND 3.9.3 Schutzmaßnahmen nach TRBS 1115-1 für „Tragmittelüberwachung" = „Festgelegt, umgesetzt und Wirksamkeit nachgewiesen (TRBS 1115-1 Abschn. 5)")</t>
        </is>
      </c>
      <c r="G134" s="2" t="inlineStr">
        <is>
          <t>Kein Risiko</t>
        </is>
      </c>
      <c r="H134" s="2" t="inlineStr">
        <is>
          <t>HIGH_CONFIDENCE</t>
        </is>
      </c>
      <c r="I134" s="2" t="inlineStr"/>
      <c r="J134" s="2" t="inlineStr">
        <is>
          <t>Zustand erhalten; Maßnahmen bei der wiederkehrenden Prüfung erneut nachweisen</t>
        </is>
      </c>
      <c r="K134" s="2" t="inlineStr"/>
      <c r="L134" s="2" t="inlineStr">
        <is>
          <t>Freigegeben 2026-09-03.</t>
        </is>
      </c>
      <c r="M134" s="3" t="n"/>
      <c r="N134" s="3" t="n"/>
    </row>
    <row r="135">
      <c r="A135" s="4" t="inlineStr">
        <is>
          <t>CY-C09</t>
        </is>
      </c>
      <c r="B135" s="4" t="inlineStr">
        <is>
          <t>Manipulation oder Ausfall: Tragmittelüberwachung</t>
        </is>
      </c>
      <c r="C135" s="4" t="inlineStr">
        <is>
          <t>Steuerung und Sicherheitslogik</t>
        </is>
      </c>
      <c r="D135" s="4" t="inlineStr">
        <is>
          <t>CY-C09-R13</t>
        </is>
      </c>
      <c r="E135" s="4" t="n">
        <v>1</v>
      </c>
      <c r="F135" s="4" t="inlineStr">
        <is>
          <t>3.9.2 Höchste vorhandene Schnittstellenkategorie der Komponente „Tragmittelüberwachung" beantwortet</t>
        </is>
      </c>
      <c r="G135" s="4" t="inlineStr">
        <is>
          <t>Kein Risiko</t>
        </is>
      </c>
      <c r="H135" s="4" t="inlineStr">
        <is>
          <t>HIGH_CONFIDENCE</t>
        </is>
      </c>
      <c r="I135" s="4" t="inlineStr"/>
      <c r="J135" s="4" t="inlineStr">
        <is>
          <t>Zustand erhalten; bei der wiederkehrenden Prüfung und der Betreiberkontrolle erneut prüfen</t>
        </is>
      </c>
      <c r="K135" s="4" t="inlineStr"/>
      <c r="L135" s="4" t="inlineStr">
        <is>
          <t>Kein Risiko: keine Mangelregel trifft zu, alle Pflichtfragen beantwortet. Freigegeben 2026-09-03.</t>
        </is>
      </c>
      <c r="M135" s="3" t="n"/>
      <c r="N135" s="3" t="n"/>
    </row>
    <row r="136">
      <c r="A136" s="2" t="inlineStr">
        <is>
          <t>CY-C10</t>
        </is>
      </c>
      <c r="B136" s="2" t="inlineStr">
        <is>
          <t>Manipulation oder Ausfall: Hydraulischer Steuerblock</t>
        </is>
      </c>
      <c r="C136" s="2" t="inlineStr">
        <is>
          <t>Antrieb und Türen</t>
        </is>
      </c>
      <c r="D136" s="2" t="inlineStr">
        <is>
          <t>CY-C10-R1</t>
        </is>
      </c>
      <c r="E136" s="2" t="n">
        <v>600</v>
      </c>
      <c r="F136" s="2" t="inlineStr">
        <is>
          <t>3.10.2 Höchste vorhandene Schnittstellenkategorie der Komponente „Hydraulischer Steuerblock" = „Keine bzw. nicht programmierbare Schnittstelle"</t>
        </is>
      </c>
      <c r="G136" s="2" t="inlineStr">
        <is>
          <t>Kein Risiko</t>
        </is>
      </c>
      <c r="H136" s="2" t="inlineStr">
        <is>
          <t>HIGH_CONFIDENCE</t>
        </is>
      </c>
      <c r="I136" s="2" t="inlineStr"/>
      <c r="J136" s="2" t="inlineStr">
        <is>
          <t>Keine kompromittierbare Schnittstelle – Feststellung dokumentieren (Vorscreening nach BA-017); bei Nachrüstung erneut bewerten</t>
        </is>
      </c>
      <c r="K136" s="2" t="inlineStr"/>
      <c r="L136" s="2" t="inlineStr">
        <is>
          <t>Vorscreening: Betrachtung abgeschlossen. Entschieden 2026-09-03: K-C02.</t>
        </is>
      </c>
      <c r="M136" s="3" t="n"/>
      <c r="N136" s="3" t="n"/>
    </row>
    <row r="137">
      <c r="A137" s="4" t="inlineStr">
        <is>
          <t>CY-C10</t>
        </is>
      </c>
      <c r="B137" s="4" t="inlineStr">
        <is>
          <t>Manipulation oder Ausfall: Hydraulischer Steuerblock</t>
        </is>
      </c>
      <c r="C137" s="4" t="inlineStr">
        <is>
          <t>Antrieb und Türen</t>
        </is>
      </c>
      <c r="D137" s="4" t="inlineStr">
        <is>
          <t>CY-C10-R2</t>
        </is>
      </c>
      <c r="E137" s="4" t="n">
        <v>520</v>
      </c>
      <c r="F137" s="4" t="inlineStr">
        <is>
          <t>(3.10.4 Wirken Rohrbruchventil und Absinkschutz mechanisch/hydraulisch unabhängig von der Elektronik? = Ja UND (3.10.2 Höchste vorhandene Schnittstellenkategorie der Komponente „Hydraulischer Steuerblock" in [„Kabellos im Nahbereich (WLAN, Bluetooth, NFC, Mobilfunk/SIM)", „Fernzugriff (Internet/Cloud, Hersteller-Fernzugriff, Service-App)"] UND 3.10.3 Schutzmaßnahmen nach TRBS 1115-1 für „Hydraulischer Steuerblock" ≠ „Festgelegt, umgesetzt und Wirksamkeit nachgewiesen (TRBS 1115-1 Abschn. 5)"))</t>
        </is>
      </c>
      <c r="G137" s="4" t="inlineStr">
        <is>
          <t>Mittel</t>
        </is>
      </c>
      <c r="H137" s="4" t="inlineStr">
        <is>
          <t>INFERRED</t>
        </is>
      </c>
      <c r="I137" s="4" t="inlineStr"/>
      <c r="J137" s="4" t="inlineStr">
        <is>
          <t>Fern-/Funkzugang der Komponente bis zur Umsetzung der Maßnahmen deaktivieren; unabhängige Sicherheitseinrichtung bei jeder Prüfung mitprüfen</t>
        </is>
      </c>
      <c r="K137" s="4" t="inlineStr">
        <is>
          <t>Zugang zu Schnittstellen vor Unbefugten schützen; Parametrierung sichern und nach Änderungen prüfen. Wirksamkeit nachweisen (TRBS 1115-1 Abschn. 5).</t>
        </is>
      </c>
      <c r="L137" s="4" t="inlineStr">
        <is>
          <t>Entschieden 2026-09-03: K-C08.</t>
        </is>
      </c>
      <c r="M137" s="3" t="n"/>
      <c r="N137" s="3" t="n"/>
    </row>
    <row r="138">
      <c r="A138" s="2" t="inlineStr">
        <is>
          <t>CY-C10</t>
        </is>
      </c>
      <c r="B138" s="2" t="inlineStr">
        <is>
          <t>Manipulation oder Ausfall: Hydraulischer Steuerblock</t>
        </is>
      </c>
      <c r="C138" s="2" t="inlineStr">
        <is>
          <t>Antrieb und Türen</t>
        </is>
      </c>
      <c r="D138" s="2" t="inlineStr">
        <is>
          <t>CY-C10-R3</t>
        </is>
      </c>
      <c r="E138" s="2" t="n">
        <v>510</v>
      </c>
      <c r="F138" s="2" t="inlineStr">
        <is>
          <t>(3.10.4 Wirken Rohrbruchventil und Absinkschutz mechanisch/hydraulisch unabhängig von der Elektronik? = Ja UND (3.10.2 Höchste vorhandene Schnittstellenkategorie der Komponente „Hydraulischer Steuerblock" in [„Kabelgebunden, nur vor Ort (USB, RS232/485, CAN, Ethernet, Serviceanschluss, Speicherkarte)", „Benutzerschnittstelle (Bedienfeld, Eingabeterminal, Display mit Parametrierzugang)"] UND 3.10.3 Schutzmaßnahmen nach TRBS 1115-1 für „Hydraulischer Steuerblock" = „Keine Schutzmaßnahmen festgelegt")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G138" s="2" t="inlineStr">
        <is>
          <t>Mittel</t>
        </is>
      </c>
      <c r="H138" s="2" t="inlineStr">
        <is>
          <t>INFERRED</t>
        </is>
      </c>
      <c r="I138" s="2" t="inlineStr"/>
      <c r="J138" s="2" t="inlineStr">
        <is>
          <t>Zugang zur Komponente sofort beschränken; Serviceschnittstellen sichern; unabhängige Sicherheitseinrichtung bei jeder Prüfung mitprüfen</t>
        </is>
      </c>
      <c r="K138" s="2" t="inlineStr">
        <is>
          <t>Zugang zu Schnittstellen vor Unbefugten schützen; Parametrierung sichern und nach Änderungen prüfen. Wirksamkeit nachweisen (TRBS 1115-1 Abschn. 5).</t>
        </is>
      </c>
      <c r="L138" s="2" t="inlineStr">
        <is>
          <t>Entschieden 2026-09-03: K-C08.</t>
        </is>
      </c>
      <c r="M138" s="3" t="n"/>
      <c r="N138" s="3" t="n"/>
    </row>
    <row r="139">
      <c r="A139" s="4" t="inlineStr">
        <is>
          <t>CY-C10</t>
        </is>
      </c>
      <c r="B139" s="4" t="inlineStr">
        <is>
          <t>Manipulation oder Ausfall: Hydraulischer Steuerblock</t>
        </is>
      </c>
      <c r="C139" s="4" t="inlineStr">
        <is>
          <t>Antrieb und Türen</t>
        </is>
      </c>
      <c r="D139" s="4" t="inlineStr">
        <is>
          <t>CY-C10-R4</t>
        </is>
      </c>
      <c r="E139" s="4" t="n">
        <v>400</v>
      </c>
      <c r="F139" s="4" t="inlineStr">
        <is>
          <t>(3.10.2 Höchste vorhandene Schnittstellenkategorie der Komponente „Hydraulischer Steuerblock" = „Fernzugriff (Internet/Cloud, Hersteller-Fernzugriff, Service-App)" UND 3.10.3 Schutzmaßnahmen nach TRBS 1115-1 für „Hydraulischer Steuerblock" ≠ „Festgelegt, umgesetzt und Wirksamkeit nachgewiesen (TRBS 1115-1 Abschn. 5)")</t>
        </is>
      </c>
      <c r="G139" s="4" t="inlineStr">
        <is>
          <t>Hoch</t>
        </is>
      </c>
      <c r="H139" s="4" t="inlineStr">
        <is>
          <t>INFERRED</t>
        </is>
      </c>
      <c r="I139" s="4" t="inlineStr"/>
      <c r="J139" s="4" t="inlineStr">
        <is>
          <t>Fernzugang der Komponente „Hydraulischer Steuerblock" deaktivieren oder physisch trennen, bis die Schutzmaßnahmen umgesetzt und nachgewiesen sind</t>
        </is>
      </c>
      <c r="K139" s="4" t="inlineStr">
        <is>
          <t>Zugang zu Schnittstellen vor Unbefugten schützen; Parametrierung sichern und nach Änderungen prüfen. Wirksamkeit nachweisen (TRBS 1115-1 Abschn. 5).</t>
        </is>
      </c>
      <c r="L139" s="4" t="inlineStr">
        <is>
          <t>Entschieden 2026-09-03: K-C01.</t>
        </is>
      </c>
      <c r="M139" s="3" t="n"/>
      <c r="N139" s="3" t="n"/>
    </row>
    <row r="140">
      <c r="A140" s="2" t="inlineStr">
        <is>
          <t>CY-C10</t>
        </is>
      </c>
      <c r="B140" s="2" t="inlineStr">
        <is>
          <t>Manipulation oder Ausfall: Hydraulischer Steuerblock</t>
        </is>
      </c>
      <c r="C140" s="2" t="inlineStr">
        <is>
          <t>Antrieb und Türen</t>
        </is>
      </c>
      <c r="D140" s="2" t="inlineStr">
        <is>
          <t>CY-C10-R5</t>
        </is>
      </c>
      <c r="E140" s="2" t="n">
        <v>390</v>
      </c>
      <c r="F140" s="2" t="inlineStr">
        <is>
          <t>(3.10.2 Höchste vorhandene Schnittstellenkategorie der Komponente „Hydraulischer Steuerblock" = „Kabellos im Nahbereich (WLAN, Bluetooth, NFC, Mobilfunk/SIM)" UND 3.10.3 Schutzmaßnahmen nach TRBS 1115-1 für „Hydraulischer Steuerblock" ≠ „Festgelegt, umgesetzt und Wirksamkeit nachgewiesen (TRBS 1115-1 Abschn. 5)")</t>
        </is>
      </c>
      <c r="G140" s="2" t="inlineStr">
        <is>
          <t>Hoch</t>
        </is>
      </c>
      <c r="H140" s="2" t="inlineStr">
        <is>
          <t>INFERRED</t>
        </is>
      </c>
      <c r="I140" s="2" t="inlineStr"/>
      <c r="J140" s="2" t="inlineStr">
        <is>
          <t>Funkschnittstelle der Komponente „Hydraulischer Steuerblock" deaktivieren oder auf das Notwendige beschränken, bis die Schutzmaßnahmen umgesetzt sind</t>
        </is>
      </c>
      <c r="K140" s="2" t="inlineStr">
        <is>
          <t>Zugang zu Schnittstellen vor Unbefugten schützen; Parametrierung sichern und nach Änderungen prüfen. Wirksamkeit nachweisen (TRBS 1115-1 Abschn. 5).</t>
        </is>
      </c>
      <c r="L140" s="2" t="inlineStr">
        <is>
          <t>Entschieden 2026-09-03: K-C01.</t>
        </is>
      </c>
      <c r="M140" s="3" t="n"/>
      <c r="N140" s="3" t="n"/>
    </row>
    <row r="141">
      <c r="A141" s="4" t="inlineStr">
        <is>
          <t>CY-C10</t>
        </is>
      </c>
      <c r="B141" s="4" t="inlineStr">
        <is>
          <t>Manipulation oder Ausfall: Hydraulischer Steuerblock</t>
        </is>
      </c>
      <c r="C141" s="4" t="inlineStr">
        <is>
          <t>Antrieb und Türen</t>
        </is>
      </c>
      <c r="D141" s="4" t="inlineStr">
        <is>
          <t>CY-C10-R6</t>
        </is>
      </c>
      <c r="E141" s="4" t="n">
        <v>380</v>
      </c>
      <c r="F141" s="4" t="inlineStr">
        <is>
          <t>((3.10.2 Höchste vorhandene Schnittstellenkategorie der Komponente „Hydraulischer Steuerblock" in [„Kabelgebunden, nur vor Ort (USB, RS232/485, CAN, Ethernet, Serviceanschluss, Speicherkarte)", „Benutzerschnittstelle (Bedienfeld, Eingabeterminal, Display mit Parametrierzugang)"] UND 3.10.3 Schutzmaßnahmen nach TRBS 1115-1 für „Hydraulischer Steuerblock" = „Keine Schutzmaßnahmen festgelegt")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G141" s="4" t="inlineStr">
        <is>
          <t>Hoch</t>
        </is>
      </c>
      <c r="H141" s="4" t="inlineStr">
        <is>
          <t>INFERRED</t>
        </is>
      </c>
      <c r="I141" s="4" t="inlineStr"/>
      <c r="J141" s="4" t="inlineStr">
        <is>
          <t>Zugang zur Komponente/zum Steuerschrank sofort beschränken; Service- und Programmierschnittstellen sichern</t>
        </is>
      </c>
      <c r="K141" s="4" t="inlineStr">
        <is>
          <t>Zugang zu Schnittstellen vor Unbefugten schützen; Parametrierung sichern und nach Änderungen prüfen. Wirksamkeit nachweisen (TRBS 1115-1 Abschn. 5).</t>
        </is>
      </c>
      <c r="L141" s="4" t="inlineStr">
        <is>
          <t>Entschieden 2026-09-03: K-C05.</t>
        </is>
      </c>
      <c r="M141" s="3" t="n"/>
      <c r="N141" s="3" t="n"/>
    </row>
    <row r="142">
      <c r="A142" s="2" t="inlineStr">
        <is>
          <t>CY-C10</t>
        </is>
      </c>
      <c r="B142" s="2" t="inlineStr">
        <is>
          <t>Manipulation oder Ausfall: Hydraulischer Steuerblock</t>
        </is>
      </c>
      <c r="C142" s="2" t="inlineStr">
        <is>
          <t>Antrieb und Türen</t>
        </is>
      </c>
      <c r="D142" s="2" t="inlineStr">
        <is>
          <t>CY-C10-R7</t>
        </is>
      </c>
      <c r="E142" s="2" t="n">
        <v>300</v>
      </c>
      <c r="F142" s="2" t="inlineStr">
        <is>
          <t>(3.10.2 Höchste vorhandene Schnittstellenkategorie der Komponente „Hydraulischer Steuerblock" in [„Kabelgebunden, nur vor Ort (USB, RS232/485, CAN, Ethernet, Serviceanschluss, Speicherkarte)", „Benutzerschnittstelle (Bedienfeld, Eingabeterminal, Display mit Parametrierzugang)"] UND 3.10.3 Schutzmaßnahmen nach TRBS 1115-1 für „Hydraulischer Steuerblock" = „Keine Schutzmaßnahmen festgelegt")</t>
        </is>
      </c>
      <c r="G142" s="2" t="inlineStr">
        <is>
          <t>Mittel</t>
        </is>
      </c>
      <c r="H142" s="2" t="inlineStr">
        <is>
          <t>INFERRED</t>
        </is>
      </c>
      <c r="I142" s="2" t="inlineStr"/>
      <c r="J142" s="2" t="inlineStr">
        <is>
          <t>Serviceschnittstellen der Komponente gegen unbefugte Nutzung sichern</t>
        </is>
      </c>
      <c r="K142" s="2" t="inlineStr">
        <is>
          <t>Zugang zu Schnittstellen vor Unbefugten schützen; Parametrierung sichern und nach Änderungen prüfen. Wirksamkeit nachweisen (TRBS 1115-1 Abschn. 5).</t>
        </is>
      </c>
      <c r="L142" s="2" t="inlineStr">
        <is>
          <t>Freigegeben 2026-09-03.</t>
        </is>
      </c>
      <c r="M142" s="3" t="n"/>
      <c r="N142" s="3" t="n"/>
    </row>
    <row r="143">
      <c r="A143" s="4" t="inlineStr">
        <is>
          <t>CY-C10</t>
        </is>
      </c>
      <c r="B143" s="4" t="inlineStr">
        <is>
          <t>Manipulation oder Ausfall: Hydraulischer Steuerblock</t>
        </is>
      </c>
      <c r="C143" s="4" t="inlineStr">
        <is>
          <t>Antrieb und Türen</t>
        </is>
      </c>
      <c r="D143" s="4" t="inlineStr">
        <is>
          <t>CY-C10-R8</t>
        </is>
      </c>
      <c r="E143" s="4" t="n">
        <v>290</v>
      </c>
      <c r="F143" s="4" t="inlineStr">
        <is>
          <t>((3.10.2 Höchste vorhandene Schnittstellenkategorie der Komponente „Hydraulischer Steuerblock" in [„Kabelgebunden, nur vor Ort (USB, RS232/485, CAN, Ethernet, Serviceanschluss, Speicherkarte)", „Benutzerschnittstelle (Bedienfeld, Eingabeterminal, Display mit Parametrierzugang)"] UND 3.10.3 Schutzmaßnahmen nach TRBS 1115-1 für „Hydraulischer Steuerblock" = „Festgelegt, aber nicht vollständig umgesetzt oder ohne Wirksamkeitsnachweis")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G143" s="4" t="inlineStr">
        <is>
          <t>Mittel</t>
        </is>
      </c>
      <c r="H143" s="4" t="inlineStr">
        <is>
          <t>INFERRED</t>
        </is>
      </c>
      <c r="I143" s="4" t="inlineStr"/>
      <c r="J143" s="4" t="inlineStr">
        <is>
          <t>Zugang beschränken; offene Maßnahmen priorisiert umsetzen</t>
        </is>
      </c>
      <c r="K143" s="4" t="inlineStr">
        <is>
          <t>Festgelegte Maßnahmen vollständig umsetzen und Wirksamkeit nachweisen</t>
        </is>
      </c>
      <c r="L143" s="4" t="inlineStr">
        <is>
          <t>Freigegeben 2026-09-03.</t>
        </is>
      </c>
      <c r="M143" s="3" t="n"/>
      <c r="N143" s="3" t="n"/>
    </row>
    <row r="144">
      <c r="A144" s="2" t="inlineStr">
        <is>
          <t>CY-C10</t>
        </is>
      </c>
      <c r="B144" s="2" t="inlineStr">
        <is>
          <t>Manipulation oder Ausfall: Hydraulischer Steuerblock</t>
        </is>
      </c>
      <c r="C144" s="2" t="inlineStr">
        <is>
          <t>Antrieb und Türen</t>
        </is>
      </c>
      <c r="D144" s="2" t="inlineStr">
        <is>
          <t>CY-C10-R9</t>
        </is>
      </c>
      <c r="E144" s="2" t="n">
        <v>280</v>
      </c>
      <c r="F144" s="2" t="inlineStr">
        <is>
          <t>(3.10.2 Höchste vorhandene Schnittstellenkategorie der Komponente „Hydraulischer Steuerblock" in [„Kabelgebunden, nur vor Ort (USB, RS232/485, CAN, Ethernet, Serviceanschluss, Speicherkarte)", „Benutzerschnittstelle (Bedienfeld, Eingabeterminal, Display mit Parametrierzugang)"] UND 3.10.3 Schutzmaßnahmen nach TRBS 1115-1 für „Hydraulischer Steuerblock" = „Festgelegt, aber nicht vollständig umgesetzt oder ohne Wirksamkeitsnachweis")</t>
        </is>
      </c>
      <c r="G144" s="2" t="inlineStr">
        <is>
          <t>Niedrig</t>
        </is>
      </c>
      <c r="H144" s="2" t="inlineStr">
        <is>
          <t>INFERRED</t>
        </is>
      </c>
      <c r="I144" s="2" t="inlineStr"/>
      <c r="J144" s="2" t="inlineStr">
        <is>
          <t>Offene Maßnahmen terminieren und Verantwortliche benennen</t>
        </is>
      </c>
      <c r="K144" s="2" t="inlineStr">
        <is>
          <t>Festgelegte Maßnahmen vollständig umsetzen und Wirksamkeit nachweisen</t>
        </is>
      </c>
      <c r="L144" s="2" t="inlineStr">
        <is>
          <t>Freigegeben 2026-09-03.</t>
        </is>
      </c>
      <c r="M144" s="3" t="n"/>
      <c r="N144" s="3" t="n"/>
    </row>
    <row r="145">
      <c r="A145" s="4" t="inlineStr">
        <is>
          <t>CY-C10</t>
        </is>
      </c>
      <c r="B145" s="4" t="inlineStr">
        <is>
          <t>Manipulation oder Ausfall: Hydraulischer Steuerblock</t>
        </is>
      </c>
      <c r="C145" s="4" t="inlineStr">
        <is>
          <t>Antrieb und Türen</t>
        </is>
      </c>
      <c r="D145" s="4" t="inlineStr">
        <is>
          <t>CY-C10-R10</t>
        </is>
      </c>
      <c r="E145" s="4" t="n">
        <v>270</v>
      </c>
      <c r="F145" s="4" t="inlineStr">
        <is>
          <t>(3.10.2 Höchste vorhandene Schnittstellenkategorie der Komponente „Hydraulischer Steuerblock" in [„Kabellos im Nahbereich (WLAN, Bluetooth, NFC, Mobilfunk/SIM)", „Fernzugriff (Internet/Cloud, Hersteller-Fernzugriff, Service-App)"] UND 3.10.3 Schutzmaßnahmen nach TRBS 1115-1 für „Hydraulischer Steuerblock" = „Festgelegt, umgesetzt und Wirksamkeit nachgewiesen (TRBS 1115-1 Abschn. 5)")</t>
        </is>
      </c>
      <c r="G145" s="4" t="inlineStr">
        <is>
          <t>Kein Risiko</t>
        </is>
      </c>
      <c r="H145" s="4" t="inlineStr">
        <is>
          <t>HIGH_CONFIDENCE</t>
        </is>
      </c>
      <c r="I145" s="4" t="inlineStr"/>
      <c r="J145" s="4" t="inlineStr">
        <is>
          <t>Zustand erhalten; Fern-/Funkzugang regelmäßig auf Notwendigkeit prüfen, Wirksamkeit bei der wiederkehrenden Prüfung erneut nachweisen</t>
        </is>
      </c>
      <c r="K145" s="4" t="inlineStr"/>
      <c r="L145" s="4" t="inlineStr">
        <is>
          <t>Entschieden 2026-09-03: K-C06.</t>
        </is>
      </c>
      <c r="M145" s="3" t="n"/>
      <c r="N145" s="3" t="n"/>
    </row>
    <row r="146">
      <c r="A146" s="2" t="inlineStr">
        <is>
          <t>CY-C10</t>
        </is>
      </c>
      <c r="B146" s="2" t="inlineStr">
        <is>
          <t>Manipulation oder Ausfall: Hydraulischer Steuerblock</t>
        </is>
      </c>
      <c r="C146" s="2" t="inlineStr">
        <is>
          <t>Antrieb und Türen</t>
        </is>
      </c>
      <c r="D146" s="2" t="inlineStr">
        <is>
          <t>CY-C10-R11</t>
        </is>
      </c>
      <c r="E146" s="2" t="n">
        <v>260</v>
      </c>
      <c r="F146" s="2" t="inlineStr">
        <is>
          <t>((3.10.2 Höchste vorhandene Schnittstellenkategorie der Komponente „Hydraulischer Steuerblock" in [„Kabelgebunden, nur vor Ort (USB, RS232/485, CAN, Ethernet, Serviceanschluss, Speicherkarte)", „Benutzerschnittstelle (Bedienfeld, Eingabeterminal, Display mit Parametrierzugang)"] UND 3.10.3 Schutzmaßnahmen nach TRBS 1115-1 für „Hydraulischer Steuerblock" = „Festgelegt, umgesetzt und Wirksamkeit nachgewiesen (TRBS 1115-1 Abschn. 5)")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G146" s="2" t="inlineStr">
        <is>
          <t>Niedrig</t>
        </is>
      </c>
      <c r="H146" s="2" t="inlineStr">
        <is>
          <t>INFERRED</t>
        </is>
      </c>
      <c r="I146" s="2" t="inlineStr"/>
      <c r="J146" s="2" t="inlineStr">
        <is>
          <t>Physischen Zugang zur Steuerung bzw. zum Raum beschränken (siehe Gefährdungen Zugang)</t>
        </is>
      </c>
      <c r="K146" s="2" t="inlineStr">
        <is>
          <t>Zugangskontrolle (Hardware) dauerhaft herstellen</t>
        </is>
      </c>
      <c r="L146" s="2" t="inlineStr">
        <is>
          <t>Freigegeben 2026-09-03.</t>
        </is>
      </c>
      <c r="M146" s="3" t="n"/>
      <c r="N146" s="3" t="n"/>
    </row>
    <row r="147">
      <c r="A147" s="4" t="inlineStr">
        <is>
          <t>CY-C10</t>
        </is>
      </c>
      <c r="B147" s="4" t="inlineStr">
        <is>
          <t>Manipulation oder Ausfall: Hydraulischer Steuerblock</t>
        </is>
      </c>
      <c r="C147" s="4" t="inlineStr">
        <is>
          <t>Antrieb und Türen</t>
        </is>
      </c>
      <c r="D147" s="4" t="inlineStr">
        <is>
          <t>CY-C10-R12</t>
        </is>
      </c>
      <c r="E147" s="4" t="n">
        <v>250</v>
      </c>
      <c r="F147" s="4" t="inlineStr">
        <is>
          <t>(3.10.2 Höchste vorhandene Schnittstellenkategorie der Komponente „Hydraulischer Steuerblock" in [„Kabelgebunden, nur vor Ort (USB, RS232/485, CAN, Ethernet, Serviceanschluss, Speicherkarte)", „Benutzerschnittstelle (Bedienfeld, Eingabeterminal, Display mit Parametrierzugang)"] UND 3.10.3 Schutzmaßnahmen nach TRBS 1115-1 für „Hydraulischer Steuerblock" = „Festgelegt, umgesetzt und Wirksamkeit nachgewiesen (TRBS 1115-1 Abschn. 5)")</t>
        </is>
      </c>
      <c r="G147" s="4" t="inlineStr">
        <is>
          <t>Kein Risiko</t>
        </is>
      </c>
      <c r="H147" s="4" t="inlineStr">
        <is>
          <t>HIGH_CONFIDENCE</t>
        </is>
      </c>
      <c r="I147" s="4" t="inlineStr"/>
      <c r="J147" s="4" t="inlineStr">
        <is>
          <t>Zustand erhalten; Maßnahmen bei der wiederkehrenden Prüfung erneut nachweisen</t>
        </is>
      </c>
      <c r="K147" s="4" t="inlineStr"/>
      <c r="L147" s="4" t="inlineStr">
        <is>
          <t>Freigegeben 2026-09-03.</t>
        </is>
      </c>
      <c r="M147" s="3" t="n"/>
      <c r="N147" s="3" t="n"/>
    </row>
    <row r="148">
      <c r="A148" s="2" t="inlineStr">
        <is>
          <t>CY-C10</t>
        </is>
      </c>
      <c r="B148" s="2" t="inlineStr">
        <is>
          <t>Manipulation oder Ausfall: Hydraulischer Steuerblock</t>
        </is>
      </c>
      <c r="C148" s="2" t="inlineStr">
        <is>
          <t>Antrieb und Türen</t>
        </is>
      </c>
      <c r="D148" s="2" t="inlineStr">
        <is>
          <t>CY-C10-R13</t>
        </is>
      </c>
      <c r="E148" s="2" t="n">
        <v>1</v>
      </c>
      <c r="F148" s="2" t="inlineStr">
        <is>
          <t>3.10.2 Höchste vorhandene Schnittstellenkategorie der Komponente „Hydraulischer Steuerblock" beantwortet</t>
        </is>
      </c>
      <c r="G148" s="2" t="inlineStr">
        <is>
          <t>Kein Risiko</t>
        </is>
      </c>
      <c r="H148" s="2" t="inlineStr">
        <is>
          <t>HIGH_CONFIDENCE</t>
        </is>
      </c>
      <c r="I148" s="2" t="inlineStr"/>
      <c r="J148" s="2" t="inlineStr">
        <is>
          <t>Zustand erhalten; bei der wiederkehrenden Prüfung und der Betreiberkontrolle erneut prüfen</t>
        </is>
      </c>
      <c r="K148" s="2" t="inlineStr"/>
      <c r="L148" s="2" t="inlineStr">
        <is>
          <t>Kein Risiko: keine Mangelregel trifft zu, alle Pflichtfragen beantwortet. Freigegeben 2026-09-03.</t>
        </is>
      </c>
      <c r="M148" s="3" t="n"/>
      <c r="N148" s="3" t="n"/>
    </row>
    <row r="149">
      <c r="A149" s="4" t="inlineStr">
        <is>
          <t>CY-C11</t>
        </is>
      </c>
      <c r="B149" s="4" t="inlineStr">
        <is>
          <t>Unbefugter Zugriff über die Fernüberwachung</t>
        </is>
      </c>
      <c r="C149" s="4" t="inlineStr">
        <is>
          <t>Netz, Fernzugriff und Fernwartung</t>
        </is>
      </c>
      <c r="D149" s="4" t="inlineStr">
        <is>
          <t>CY-C11-R1</t>
        </is>
      </c>
      <c r="E149" s="4" t="n">
        <v>400</v>
      </c>
      <c r="F149" s="4" t="inlineStr">
        <is>
          <t>(4.1 Ist das Aufzugsnetz vom Gebäude-/Büronetz und vom Internet getrennt (eigenes Segment, Firewall, keine direkte Erreichbarkeit der Steuerung von außen)? = Nein UND 3.11.2 Ist die Fernüberwachung ausschließlich lesend (kein Schreib-, Steuer- oder Parametrierzugriff über diesen Kanal)? = Nein)</t>
        </is>
      </c>
      <c r="G149" s="4" t="inlineStr">
        <is>
          <t>Hoch</t>
        </is>
      </c>
      <c r="H149" s="4" t="inlineStr">
        <is>
          <t>INFERRED</t>
        </is>
      </c>
      <c r="I149" s="4" t="inlineStr"/>
      <c r="J149" s="4" t="inlineStr">
        <is>
          <t>Fernüberwachung mit Schreibzugriff vom Aufzugsnetz trennen oder deaktivieren, bis Segmentierung und Authentifizierung umgesetzt sind</t>
        </is>
      </c>
      <c r="K149" s="4" t="inlineStr">
        <is>
          <t>Netz segmentieren (Firewall, eigenes Segment); Kanal auf lesenden Zugriff beschränken; Zugriffe authentifizieren und protokollieren</t>
        </is>
      </c>
      <c r="L149" s="4" t="inlineStr">
        <is>
          <t>Entschieden 2026-09-03: K-C01.</t>
        </is>
      </c>
      <c r="M149" s="3" t="n"/>
      <c r="N149" s="3" t="n"/>
    </row>
    <row r="150">
      <c r="A150" s="2" t="inlineStr">
        <is>
          <t>CY-C11</t>
        </is>
      </c>
      <c r="B150" s="2" t="inlineStr">
        <is>
          <t>Unbefugter Zugriff über die Fernüberwachung</t>
        </is>
      </c>
      <c r="C150" s="2" t="inlineStr">
        <is>
          <t>Netz, Fernzugriff und Fernwartung</t>
        </is>
      </c>
      <c r="D150" s="2" t="inlineStr">
        <is>
          <t>CY-C11-R2</t>
        </is>
      </c>
      <c r="E150" s="2" t="n">
        <v>350</v>
      </c>
      <c r="F150" s="2" t="inlineStr">
        <is>
          <t>(4.1 Ist das Aufzugsnetz vom Gebäude-/Büronetz und vom Internet getrennt (eigenes Segment, Firewall, keine direkte Erreichbarkeit der Steuerung von außen)? = Nein UND 3.11.2 Ist die Fernüberwachung ausschließlich lesend (kein Schreib-, Steuer- oder Parametrierzugriff über diesen Kanal)? = Ja)</t>
        </is>
      </c>
      <c r="G150" s="2" t="inlineStr">
        <is>
          <t>Niedrig</t>
        </is>
      </c>
      <c r="H150" s="2" t="inlineStr">
        <is>
          <t>INFERRED</t>
        </is>
      </c>
      <c r="I150" s="2" t="inlineStr"/>
      <c r="J150" s="2" t="inlineStr">
        <is>
          <t>Erreichbarkeit der Steuerung aus dem Überwachungsnetz prüfen und unterbinden</t>
        </is>
      </c>
      <c r="K150" s="2" t="inlineStr">
        <is>
          <t>Aufzugsnetz vom Gebäude-/Büronetz und Internet trennen (Segmentierung)</t>
        </is>
      </c>
      <c r="L150" s="2" t="inlineStr">
        <is>
          <t>Entschieden 2026-09-03: K-C10.</t>
        </is>
      </c>
      <c r="M150" s="3" t="n"/>
      <c r="N150" s="3" t="n"/>
    </row>
    <row r="151">
      <c r="A151" s="4" t="inlineStr">
        <is>
          <t>CY-C11</t>
        </is>
      </c>
      <c r="B151" s="4" t="inlineStr">
        <is>
          <t>Unbefugter Zugriff über die Fernüberwachung</t>
        </is>
      </c>
      <c r="C151" s="4" t="inlineStr">
        <is>
          <t>Netz, Fernzugriff und Fernwartung</t>
        </is>
      </c>
      <c r="D151" s="4" t="inlineStr">
        <is>
          <t>CY-C11-R3</t>
        </is>
      </c>
      <c r="E151" s="4" t="n">
        <v>300</v>
      </c>
      <c r="F151" s="4" t="inlineStr">
        <is>
          <t>(4.1 Ist das Aufzugsnetz vom Gebäude-/Büronetz und vom Internet getrennt (eigenes Segment, Firewall, keine direkte Erreichbarkeit der Steuerung von außen)? = Ja UND 3.11.2 Ist die Fernüberwachung ausschließlich lesend (kein Schreib-, Steuer- oder Parametrierzugriff über diesen Kanal)? = Nein UND 4.3 Ist der Fernzugriff individuell authentifiziert (personenbezogene Zugänge, Zwei-Faktor oder gleichwertig) und verschlüsselt? = Nein)</t>
        </is>
      </c>
      <c r="G151" s="4" t="inlineStr">
        <is>
          <t>Mittel</t>
        </is>
      </c>
      <c r="H151" s="4" t="inlineStr">
        <is>
          <t>INFERRED</t>
        </is>
      </c>
      <c r="I151" s="4" t="inlineStr"/>
      <c r="J151" s="4" t="inlineStr">
        <is>
          <t>Schreibzugriffe über die Fernüberwachung bis zur individuellen Authentifizierung sperren</t>
        </is>
      </c>
      <c r="K151" s="4" t="inlineStr">
        <is>
          <t>Individuelle, verschlüsselte Authentifizierung für den Kanal einführen</t>
        </is>
      </c>
      <c r="L151" s="4" t="inlineStr">
        <is>
          <t>Freigegeben 2026-09-03.</t>
        </is>
      </c>
      <c r="M151" s="3" t="n"/>
      <c r="N151" s="3" t="n"/>
    </row>
    <row r="152">
      <c r="A152" s="2" t="inlineStr">
        <is>
          <t>CY-C11</t>
        </is>
      </c>
      <c r="B152" s="2" t="inlineStr">
        <is>
          <t>Unbefugter Zugriff über die Fernüberwachung</t>
        </is>
      </c>
      <c r="C152" s="2" t="inlineStr">
        <is>
          <t>Netz, Fernzugriff und Fernwartung</t>
        </is>
      </c>
      <c r="D152" s="2" t="inlineStr">
        <is>
          <t>CY-C11-R4</t>
        </is>
      </c>
      <c r="E152" s="2" t="n">
        <v>250</v>
      </c>
      <c r="F152" s="2" t="inlineStr">
        <is>
          <t>(4.1 Ist das Aufzugsnetz vom Gebäude-/Büronetz und vom Internet getrennt (eigenes Segment, Firewall, keine direkte Erreichbarkeit der Steuerung von außen)? = Ja UND 3.11.2 Ist die Fernüberwachung ausschließlich lesend (kein Schreib-, Steuer- oder Parametrierzugriff über diesen Kanal)? = Nein UND 4.3 Ist der Fernzugriff individuell authentifiziert (personenbezogene Zugänge, Zwei-Faktor oder gleichwertig) und verschlüsselt? = Ja UND 4.4 Werden Zugriffe auf die Anlage (vor Ort über Servicegeräte und per Fernzugriff) protokolliert und die Protokolle ausgewertet? = Nein)</t>
        </is>
      </c>
      <c r="G152" s="2" t="inlineStr">
        <is>
          <t>Niedrig</t>
        </is>
      </c>
      <c r="H152" s="2" t="inlineStr">
        <is>
          <t>INFERRED</t>
        </is>
      </c>
      <c r="I152" s="2" t="inlineStr"/>
      <c r="J152" s="2" t="inlineStr">
        <is>
          <t>Zugriffsprotokollierung aktivieren</t>
        </is>
      </c>
      <c r="K152" s="2" t="inlineStr">
        <is>
          <t>Protokolle regelmäßig auswerten (Überwachung nach TRBS 1115-1)</t>
        </is>
      </c>
      <c r="L152" s="2" t="inlineStr">
        <is>
          <t>Freigegeben 2026-09-03.</t>
        </is>
      </c>
      <c r="M152" s="3" t="n"/>
      <c r="N152" s="3" t="n"/>
    </row>
    <row r="153">
      <c r="A153" s="4" t="inlineStr">
        <is>
          <t>CY-C11</t>
        </is>
      </c>
      <c r="B153" s="4" t="inlineStr">
        <is>
          <t>Unbefugter Zugriff über die Fernüberwachung</t>
        </is>
      </c>
      <c r="C153" s="4" t="inlineStr">
        <is>
          <t>Netz, Fernzugriff und Fernwartung</t>
        </is>
      </c>
      <c r="D153" s="4" t="inlineStr">
        <is>
          <t>CY-C11-R5</t>
        </is>
      </c>
      <c r="E153" s="4" t="n">
        <v>1</v>
      </c>
      <c r="F153" s="4" t="inlineStr">
        <is>
          <t>4.4 Werden Zugriffe auf die Anlage (vor Ort über Servicegeräte und per Fernzugriff) protokolliert und die Protokolle ausgewertet? beantwortet</t>
        </is>
      </c>
      <c r="G153" s="4" t="inlineStr">
        <is>
          <t>Kein Risiko</t>
        </is>
      </c>
      <c r="H153" s="4" t="inlineStr">
        <is>
          <t>HIGH_CONFIDENCE</t>
        </is>
      </c>
      <c r="I153" s="4" t="inlineStr"/>
      <c r="J153" s="4" t="inlineStr">
        <is>
          <t>Zustand erhalten; bei der wiederkehrenden Prüfung und der Betreiberkontrolle erneut prüfen</t>
        </is>
      </c>
      <c r="K153" s="4" t="inlineStr"/>
      <c r="L153" s="4" t="inlineStr">
        <is>
          <t>Kein Risiko: keine Mangelregel trifft zu, alle Pflichtfragen beantwortet. Freigegeben 2026-09-03.</t>
        </is>
      </c>
      <c r="M153" s="3" t="n"/>
      <c r="N153" s="3" t="n"/>
    </row>
    <row r="154">
      <c r="A154" s="2" t="inlineStr">
        <is>
          <t>CY-C12</t>
        </is>
      </c>
      <c r="B154" s="2" t="inlineStr">
        <is>
          <t>Unbefugter Fernzugriff über Remote-Service / Fernwartung</t>
        </is>
      </c>
      <c r="C154" s="2" t="inlineStr">
        <is>
          <t>Netz, Fernzugriff und Fernwartung</t>
        </is>
      </c>
      <c r="D154" s="2" t="inlineStr">
        <is>
          <t>CY-C12-R1</t>
        </is>
      </c>
      <c r="E154" s="2" t="n">
        <v>400</v>
      </c>
      <c r="F154" s="2" t="inlineStr">
        <is>
          <t>(4.2 Wird ein Fernzugriff nur nach Freigabe durch den Betreiber und nur für die Dauer des Bedarfs aktiviert? = Nein UND 4.3 Ist der Fernzugriff individuell authentifiziert (personenbezogene Zugänge, Zwei-Faktor oder gleichwertig) und verschlüsselt? = Nein)</t>
        </is>
      </c>
      <c r="G154" s="2" t="inlineStr">
        <is>
          <t>Hoch</t>
        </is>
      </c>
      <c r="H154" s="2" t="inlineStr">
        <is>
          <t>INFERRED</t>
        </is>
      </c>
      <c r="I154" s="2" t="inlineStr"/>
      <c r="J154" s="2" t="inlineStr">
        <is>
          <t>Dauerhaft offenen, nicht individuell authentifizierten Fernwartungszugang sofort deaktivieren</t>
        </is>
      </c>
      <c r="K154" s="2" t="inlineStr">
        <is>
          <t>Fernzugriff nur nach Freigabe durch den Betreiber, individuell authentifiziert und verschlüsselt; Zugriffe protokollieren</t>
        </is>
      </c>
      <c r="L154" s="2" t="inlineStr">
        <is>
          <t>Entschieden 2026-09-03: K-C01.</t>
        </is>
      </c>
      <c r="M154" s="3" t="n"/>
      <c r="N154" s="3" t="n"/>
    </row>
    <row r="155">
      <c r="A155" s="4" t="inlineStr">
        <is>
          <t>CY-C12</t>
        </is>
      </c>
      <c r="B155" s="4" t="inlineStr">
        <is>
          <t>Unbefugter Fernzugriff über Remote-Service / Fernwartung</t>
        </is>
      </c>
      <c r="C155" s="4" t="inlineStr">
        <is>
          <t>Netz, Fernzugriff und Fernwartung</t>
        </is>
      </c>
      <c r="D155" s="4" t="inlineStr">
        <is>
          <t>CY-C12-R2</t>
        </is>
      </c>
      <c r="E155" s="4" t="n">
        <v>380</v>
      </c>
      <c r="F155" s="4" t="inlineStr">
        <is>
          <t>(4.1 Ist das Aufzugsnetz vom Gebäude-/Büronetz und vom Internet getrennt (eigenes Segment, Firewall, keine direkte Erreichbarkeit der Steuerung von außen)? = Nein UND 4.3 Ist der Fernzugriff individuell authentifiziert (personenbezogene Zugänge, Zwei-Faktor oder gleichwertig) und verschlüsselt? = Nein)</t>
        </is>
      </c>
      <c r="G155" s="4" t="inlineStr">
        <is>
          <t>Hoch</t>
        </is>
      </c>
      <c r="H155" s="4" t="inlineStr">
        <is>
          <t>INFERRED</t>
        </is>
      </c>
      <c r="I155" s="4" t="inlineStr"/>
      <c r="J155" s="4" t="inlineStr">
        <is>
          <t>Fernwartungszugang deaktivieren, bis Netztrennung und Authentifizierung umgesetzt sind</t>
        </is>
      </c>
      <c r="K155" s="4" t="inlineStr">
        <is>
          <t>Aufzugsnetz segmentieren; individuelle Authentifizierung einführen</t>
        </is>
      </c>
      <c r="L155" s="4" t="inlineStr">
        <is>
          <t>Entschieden 2026-09-03: K-C01.</t>
        </is>
      </c>
      <c r="M155" s="3" t="n"/>
      <c r="N155" s="3" t="n"/>
    </row>
    <row r="156">
      <c r="A156" s="2" t="inlineStr">
        <is>
          <t>CY-C12</t>
        </is>
      </c>
      <c r="B156" s="2" t="inlineStr">
        <is>
          <t>Unbefugter Fernzugriff über Remote-Service / Fernwartung</t>
        </is>
      </c>
      <c r="C156" s="2" t="inlineStr">
        <is>
          <t>Netz, Fernzugriff und Fernwartung</t>
        </is>
      </c>
      <c r="D156" s="2" t="inlineStr">
        <is>
          <t>CY-C12-R3</t>
        </is>
      </c>
      <c r="E156" s="2" t="n">
        <v>300</v>
      </c>
      <c r="F156" s="2" t="inlineStr">
        <is>
          <t>4.3 Ist der Fernzugriff individuell authentifiziert (personenbezogene Zugänge, Zwei-Faktor oder gleichwertig) und verschlüsselt? = Nein</t>
        </is>
      </c>
      <c r="G156" s="2" t="inlineStr">
        <is>
          <t>Mittel</t>
        </is>
      </c>
      <c r="H156" s="2" t="inlineStr">
        <is>
          <t>INFERRED</t>
        </is>
      </c>
      <c r="I156" s="2" t="inlineStr"/>
      <c r="J156" s="2" t="inlineStr">
        <is>
          <t>Gemeinsam genutzte oder unverschlüsselte Fernzugänge sperren</t>
        </is>
      </c>
      <c r="K156" s="2" t="inlineStr">
        <is>
          <t>Individuelle, verschlüsselte Authentifizierung (Zwei-Faktor oder gleichwertig) einführen</t>
        </is>
      </c>
      <c r="L156" s="2" t="inlineStr">
        <is>
          <t>Freigegeben 2026-09-20.</t>
        </is>
      </c>
      <c r="M156" s="3" t="n"/>
      <c r="N156" s="3" t="n"/>
    </row>
    <row r="157">
      <c r="A157" s="4" t="inlineStr">
        <is>
          <t>CY-C12</t>
        </is>
      </c>
      <c r="B157" s="4" t="inlineStr">
        <is>
          <t>Unbefugter Fernzugriff über Remote-Service / Fernwartung</t>
        </is>
      </c>
      <c r="C157" s="4" t="inlineStr">
        <is>
          <t>Netz, Fernzugriff und Fernwartung</t>
        </is>
      </c>
      <c r="D157" s="4" t="inlineStr">
        <is>
          <t>CY-C12-R4</t>
        </is>
      </c>
      <c r="E157" s="4" t="n">
        <v>290</v>
      </c>
      <c r="F157" s="4" t="inlineStr">
        <is>
          <t>4.1 Ist das Aufzugsnetz vom Gebäude-/Büronetz und vom Internet getrennt (eigenes Segment, Firewall, keine direkte Erreichbarkeit der Steuerung von außen)? = Nein</t>
        </is>
      </c>
      <c r="G157" s="4" t="inlineStr">
        <is>
          <t>Mittel</t>
        </is>
      </c>
      <c r="H157" s="4" t="inlineStr">
        <is>
          <t>INFERRED</t>
        </is>
      </c>
      <c r="I157" s="4" t="inlineStr"/>
      <c r="J157" s="4" t="inlineStr">
        <is>
          <t>Direkte Erreichbarkeit der Steuerung aus Fremdnetzen unterbinden</t>
        </is>
      </c>
      <c r="K157" s="4" t="inlineStr">
        <is>
          <t>Aufzugsnetz vom Gebäude-/Büronetz und Internet trennen (Segmentierung)</t>
        </is>
      </c>
      <c r="L157" s="4" t="inlineStr">
        <is>
          <t>Freigegeben 2026-09-03.</t>
        </is>
      </c>
      <c r="M157" s="3" t="n"/>
      <c r="N157" s="3" t="n"/>
    </row>
    <row r="158">
      <c r="A158" s="2" t="inlineStr">
        <is>
          <t>CY-C12</t>
        </is>
      </c>
      <c r="B158" s="2" t="inlineStr">
        <is>
          <t>Unbefugter Fernzugriff über Remote-Service / Fernwartung</t>
        </is>
      </c>
      <c r="C158" s="2" t="inlineStr">
        <is>
          <t>Netz, Fernzugriff und Fernwartung</t>
        </is>
      </c>
      <c r="D158" s="2" t="inlineStr">
        <is>
          <t>CY-C12-R5</t>
        </is>
      </c>
      <c r="E158" s="2" t="n">
        <v>280</v>
      </c>
      <c r="F158" s="2" t="inlineStr">
        <is>
          <t>4.2 Wird ein Fernzugriff nur nach Freigabe durch den Betreiber und nur für die Dauer des Bedarfs aktiviert? = Nein</t>
        </is>
      </c>
      <c r="G158" s="2" t="inlineStr">
        <is>
          <t>Niedrig</t>
        </is>
      </c>
      <c r="H158" s="2" t="inlineStr">
        <is>
          <t>INFERRED</t>
        </is>
      </c>
      <c r="I158" s="2" t="inlineStr"/>
      <c r="J158" s="2" t="inlineStr">
        <is>
          <t>Fernwartungszugang nur bei Bedarf freischalten (Betreiberfreigabe)</t>
        </is>
      </c>
      <c r="K158" s="2" t="inlineStr">
        <is>
          <t>Freigabeverfahren mit der Wartungsfirma vertraglich festlegen</t>
        </is>
      </c>
      <c r="L158" s="2" t="inlineStr">
        <is>
          <t>Entschieden 2026-09-03: K-C23.</t>
        </is>
      </c>
      <c r="M158" s="3" t="n"/>
      <c r="N158" s="3" t="n"/>
    </row>
    <row r="159">
      <c r="A159" s="4" t="inlineStr">
        <is>
          <t>CY-C12</t>
        </is>
      </c>
      <c r="B159" s="4" t="inlineStr">
        <is>
          <t>Unbefugter Fernzugriff über Remote-Service / Fernwartung</t>
        </is>
      </c>
      <c r="C159" s="4" t="inlineStr">
        <is>
          <t>Netz, Fernzugriff und Fernwartung</t>
        </is>
      </c>
      <c r="D159" s="4" t="inlineStr">
        <is>
          <t>CY-C12-R6</t>
        </is>
      </c>
      <c r="E159" s="4" t="n">
        <v>250</v>
      </c>
      <c r="F159" s="4" t="inlineStr">
        <is>
          <t>4.4 Werden Zugriffe auf die Anlage (vor Ort über Servicegeräte und per Fernzugriff) protokolliert und die Protokolle ausgewertet? = Nein</t>
        </is>
      </c>
      <c r="G159" s="4" t="inlineStr">
        <is>
          <t>Niedrig</t>
        </is>
      </c>
      <c r="H159" s="4" t="inlineStr">
        <is>
          <t>INFERRED</t>
        </is>
      </c>
      <c r="I159" s="4" t="inlineStr"/>
      <c r="J159" s="4" t="inlineStr">
        <is>
          <t>Protokollierung der Fernzugriffe aktivieren</t>
        </is>
      </c>
      <c r="K159" s="4" t="inlineStr">
        <is>
          <t>Protokolle regelmäßig auswerten (Überwachung nach TRBS 1115-1)</t>
        </is>
      </c>
      <c r="L159" s="4" t="inlineStr">
        <is>
          <t>Freigegeben 2026-09-03.</t>
        </is>
      </c>
      <c r="M159" s="3" t="n"/>
      <c r="N159" s="3" t="n"/>
    </row>
    <row r="160">
      <c r="A160" s="2" t="inlineStr">
        <is>
          <t>CY-C12</t>
        </is>
      </c>
      <c r="B160" s="2" t="inlineStr">
        <is>
          <t>Unbefugter Fernzugriff über Remote-Service / Fernwartung</t>
        </is>
      </c>
      <c r="C160" s="2" t="inlineStr">
        <is>
          <t>Netz, Fernzugriff und Fernwartung</t>
        </is>
      </c>
      <c r="D160" s="2" t="inlineStr">
        <is>
          <t>CY-C12-R7</t>
        </is>
      </c>
      <c r="E160" s="2" t="n">
        <v>1</v>
      </c>
      <c r="F160" s="2" t="inlineStr">
        <is>
          <t>4.4 Werden Zugriffe auf die Anlage (vor Ort über Servicegeräte und per Fernzugriff) protokolliert und die Protokolle ausgewertet? beantwortet</t>
        </is>
      </c>
      <c r="G160" s="2" t="inlineStr">
        <is>
          <t>Kein Risiko</t>
        </is>
      </c>
      <c r="H160" s="2" t="inlineStr">
        <is>
          <t>HIGH_CONFIDENCE</t>
        </is>
      </c>
      <c r="I160" s="2" t="inlineStr"/>
      <c r="J160" s="2" t="inlineStr">
        <is>
          <t>Zustand erhalten; bei der wiederkehrenden Prüfung und der Betreiberkontrolle erneut prüfen</t>
        </is>
      </c>
      <c r="K160" s="2" t="inlineStr"/>
      <c r="L160" s="2" t="inlineStr">
        <is>
          <t>Kein Risiko: keine Mangelregel trifft zu, alle Pflichtfragen beantwortet. Freigegeben 2026-09-03.</t>
        </is>
      </c>
      <c r="M160" s="3" t="n"/>
      <c r="N160" s="3" t="n"/>
    </row>
    <row r="161">
      <c r="A161" s="4" t="inlineStr">
        <is>
          <t>CY-C13</t>
        </is>
      </c>
      <c r="B161" s="4" t="inlineStr">
        <is>
          <t>Ungesichertes Gateway / Router / Modem als Einstieg in das Aufzugsnetz</t>
        </is>
      </c>
      <c r="C161" s="4" t="inlineStr">
        <is>
          <t>Netz, Fernzugriff und Fernwartung</t>
        </is>
      </c>
      <c r="D161" s="4" t="inlineStr">
        <is>
          <t>CY-C13-R1</t>
        </is>
      </c>
      <c r="E161" s="4" t="n">
        <v>400</v>
      </c>
      <c r="F161" s="4" t="inlineStr">
        <is>
          <t>(3.13.2 Ist das Gateway mit Firewall/Netztrennung zur Aufzugssteuerung konfiguriert und sind nur benötigte Ports und Dienste freigegeben? = Nein UND 3.13.3 Sind die Werkszugangsdaten des Gateways/Routers geändert und ist die Administration nur für Berechtigte erreichbar? = Nein)</t>
        </is>
      </c>
      <c r="G161" s="4" t="inlineStr">
        <is>
          <t>Hoch</t>
        </is>
      </c>
      <c r="H161" s="4" t="inlineStr">
        <is>
          <t>INFERRED</t>
        </is>
      </c>
      <c r="I161" s="4" t="inlineStr"/>
      <c r="J161" s="4" t="inlineStr">
        <is>
          <t>Gateway vom Netz trennen oder Fernzugang sperren, bis Werkszugangsdaten geändert und Firewall konfiguriert sind</t>
        </is>
      </c>
      <c r="K161" s="4" t="inlineStr">
        <is>
          <t>Gateway härten: Netztrennung, nur benötigte Dienste, individuelle Zugangsdaten, Update-Verfahren</t>
        </is>
      </c>
      <c r="L161" s="4" t="inlineStr">
        <is>
          <t>Entschieden 2026-09-03: K-C01.</t>
        </is>
      </c>
      <c r="M161" s="3" t="n"/>
      <c r="N161" s="3" t="n"/>
    </row>
    <row r="162">
      <c r="A162" s="2" t="inlineStr">
        <is>
          <t>CY-C13</t>
        </is>
      </c>
      <c r="B162" s="2" t="inlineStr">
        <is>
          <t>Ungesichertes Gateway / Router / Modem als Einstieg in das Aufzugsnetz</t>
        </is>
      </c>
      <c r="C162" s="2" t="inlineStr">
        <is>
          <t>Netz, Fernzugriff und Fernwartung</t>
        </is>
      </c>
      <c r="D162" s="2" t="inlineStr">
        <is>
          <t>CY-C13-R2</t>
        </is>
      </c>
      <c r="E162" s="2" t="n">
        <v>300</v>
      </c>
      <c r="F162" s="2" t="inlineStr">
        <is>
          <t>3.13.2 Ist das Gateway mit Firewall/Netztrennung zur Aufzugssteuerung konfiguriert und sind nur benötigte Ports und Dienste freigegeben? = Nein</t>
        </is>
      </c>
      <c r="G162" s="2" t="inlineStr">
        <is>
          <t>Mittel</t>
        </is>
      </c>
      <c r="H162" s="2" t="inlineStr">
        <is>
          <t>INFERRED</t>
        </is>
      </c>
      <c r="I162" s="2" t="inlineStr"/>
      <c r="J162" s="2" t="inlineStr">
        <is>
          <t>Nicht benötigte Ports und Dienste am Gateway schließen</t>
        </is>
      </c>
      <c r="K162" s="2" t="inlineStr">
        <is>
          <t>Firewall/Netztrennung zwischen Gateway und Aufzugssteuerung einrichten</t>
        </is>
      </c>
      <c r="L162" s="2" t="inlineStr">
        <is>
          <t>Freigegeben 2026-09-03.</t>
        </is>
      </c>
      <c r="M162" s="3" t="n"/>
      <c r="N162" s="3" t="n"/>
    </row>
    <row r="163">
      <c r="A163" s="4" t="inlineStr">
        <is>
          <t>CY-C13</t>
        </is>
      </c>
      <c r="B163" s="4" t="inlineStr">
        <is>
          <t>Ungesichertes Gateway / Router / Modem als Einstieg in das Aufzugsnetz</t>
        </is>
      </c>
      <c r="C163" s="4" t="inlineStr">
        <is>
          <t>Netz, Fernzugriff und Fernwartung</t>
        </is>
      </c>
      <c r="D163" s="4" t="inlineStr">
        <is>
          <t>CY-C13-R3</t>
        </is>
      </c>
      <c r="E163" s="4" t="n">
        <v>290</v>
      </c>
      <c r="F163" s="4" t="inlineStr">
        <is>
          <t>3.13.3 Sind die Werkszugangsdaten des Gateways/Routers geändert und ist die Administration nur für Berechtigte erreichbar? = Nein</t>
        </is>
      </c>
      <c r="G163" s="4" t="inlineStr">
        <is>
          <t>Mittel</t>
        </is>
      </c>
      <c r="H163" s="4" t="inlineStr">
        <is>
          <t>INFERRED</t>
        </is>
      </c>
      <c r="I163" s="4" t="inlineStr"/>
      <c r="J163" s="4" t="inlineStr">
        <is>
          <t>Werkszugangsdaten des Gateways ändern; Administration nur aus dem Aufzugsnetz zulassen</t>
        </is>
      </c>
      <c r="K163" s="4" t="inlineStr">
        <is>
          <t>Zugangskontrolle (Software) für Netzkomponenten festlegen</t>
        </is>
      </c>
      <c r="L163" s="4" t="inlineStr">
        <is>
          <t>Freigegeben 2026-09-03.</t>
        </is>
      </c>
      <c r="M163" s="3" t="n"/>
      <c r="N163" s="3" t="n"/>
    </row>
    <row r="164">
      <c r="A164" s="2" t="inlineStr">
        <is>
          <t>CY-C13</t>
        </is>
      </c>
      <c r="B164" s="2" t="inlineStr">
        <is>
          <t>Ungesichertes Gateway / Router / Modem als Einstieg in das Aufzugsnetz</t>
        </is>
      </c>
      <c r="C164" s="2" t="inlineStr">
        <is>
          <t>Netz, Fernzugriff und Fernwartung</t>
        </is>
      </c>
      <c r="D164" s="2" t="inlineStr">
        <is>
          <t>CY-C13-R4</t>
        </is>
      </c>
      <c r="E164" s="2" t="n">
        <v>250</v>
      </c>
      <c r="F164" s="2" t="inlineStr">
        <is>
          <t>3.13.4 Ist die Firmware des Gateways aktuell und ein Update-Verfahren geregelt? = Nein</t>
        </is>
      </c>
      <c r="G164" s="2" t="inlineStr">
        <is>
          <t>Niedrig</t>
        </is>
      </c>
      <c r="H164" s="2" t="inlineStr">
        <is>
          <t>INFERRED</t>
        </is>
      </c>
      <c r="I164" s="2" t="inlineStr"/>
      <c r="J164" s="2" t="inlineStr">
        <is>
          <t>Firmwarestand prüfen und Herstellerhinweise einholen</t>
        </is>
      </c>
      <c r="K164" s="2" t="inlineStr">
        <is>
          <t>Update-Verfahren für Netzkomponenten festlegen</t>
        </is>
      </c>
      <c r="L164" s="2" t="inlineStr">
        <is>
          <t>Freigegeben 2026-09-03.</t>
        </is>
      </c>
      <c r="M164" s="3" t="n"/>
      <c r="N164" s="3" t="n"/>
    </row>
    <row r="165">
      <c r="A165" s="4" t="inlineStr">
        <is>
          <t>CY-C13</t>
        </is>
      </c>
      <c r="B165" s="4" t="inlineStr">
        <is>
          <t>Ungesichertes Gateway / Router / Modem als Einstieg in das Aufzugsnetz</t>
        </is>
      </c>
      <c r="C165" s="4" t="inlineStr">
        <is>
          <t>Netz, Fernzugriff und Fernwartung</t>
        </is>
      </c>
      <c r="D165" s="4" t="inlineStr">
        <is>
          <t>CY-C13-R5</t>
        </is>
      </c>
      <c r="E165" s="4" t="n">
        <v>1</v>
      </c>
      <c r="F165" s="4" t="inlineStr">
        <is>
          <t>3.13.2 Ist das Gateway mit Firewall/Netztrennung zur Aufzugssteuerung konfiguriert und sind nur benötigte Ports und Dienste freigegeben? beantwortet</t>
        </is>
      </c>
      <c r="G165" s="4" t="inlineStr">
        <is>
          <t>Kein Risiko</t>
        </is>
      </c>
      <c r="H165" s="4" t="inlineStr">
        <is>
          <t>HIGH_CONFIDENCE</t>
        </is>
      </c>
      <c r="I165" s="4" t="inlineStr"/>
      <c r="J165" s="4" t="inlineStr">
        <is>
          <t>Zustand erhalten; bei der wiederkehrenden Prüfung und der Betreiberkontrolle erneut prüfen</t>
        </is>
      </c>
      <c r="K165" s="4" t="inlineStr"/>
      <c r="L165" s="4" t="inlineStr">
        <is>
          <t>Kein Risiko: keine Mangelregel trifft zu, alle Pflichtfragen beantwortet. Freigegeben 2026-09-03.</t>
        </is>
      </c>
      <c r="M165" s="3" t="n"/>
      <c r="N165" s="3" t="n"/>
    </row>
    <row r="166">
      <c r="A166" s="2" t="inlineStr">
        <is>
          <t>CY-C14</t>
        </is>
      </c>
      <c r="B166" s="2" t="inlineStr">
        <is>
          <t>Manipulierbare Gebäudeschnittstelle (Brandfallsteuerung, Entrauchung, Gebäudeleittechnik)</t>
        </is>
      </c>
      <c r="C166" s="2" t="inlineStr">
        <is>
          <t>Gebäudeschnittstelle</t>
        </is>
      </c>
      <c r="D166" s="2" t="inlineStr">
        <is>
          <t>CY-C14-R1</t>
        </is>
      </c>
      <c r="E166" s="2" t="n">
        <v>400</v>
      </c>
      <c r="F166" s="2" t="inlineStr">
        <is>
          <t>3.14.1 Ist die Schnittstelle zu den bauseitigen Systemen rückwirkungsfrei (definierte Signale/potenzialfreie Kontakte; bauseitige Signale können Sicherheitsfunktionen des Aufzugs nicht außer Kraft setzen)? = Nein</t>
        </is>
      </c>
      <c r="G166" s="2" t="inlineStr">
        <is>
          <t>Hoch</t>
        </is>
      </c>
      <c r="H166" s="2" t="inlineStr">
        <is>
          <t>INFERRED</t>
        </is>
      </c>
      <c r="I166" s="2" t="inlineStr"/>
      <c r="J166" s="2" t="inlineStr">
        <is>
          <t>Bauseitige Signale mit Einfluss auf Sicherheitsfunktionen prüfen und bis zur Klärung auf definierte Schnittstellen beschränken</t>
        </is>
      </c>
      <c r="K166" s="2" t="inlineStr">
        <is>
          <t>Rückwirkungsfreie Schnittstelle (potenzialfreie Kontakte, definierte Signale) herstellen; Nachweis mit Gebäudebetreiber/Errichter</t>
        </is>
      </c>
      <c r="L166" s="2" t="inlineStr">
        <is>
          <t>Entschieden 2026-09-03: K-C11.</t>
        </is>
      </c>
      <c r="M166" s="3" t="n"/>
      <c r="N166" s="3" t="n"/>
    </row>
    <row r="167">
      <c r="A167" s="4" t="inlineStr">
        <is>
          <t>CY-C14</t>
        </is>
      </c>
      <c r="B167" s="4" t="inlineStr">
        <is>
          <t>Manipulierbare Gebäudeschnittstelle (Brandfallsteuerung, Entrauchung, Gebäudeleittechnik)</t>
        </is>
      </c>
      <c r="C167" s="4" t="inlineStr">
        <is>
          <t>Gebäudeschnittstelle</t>
        </is>
      </c>
      <c r="D167" s="4" t="inlineStr">
        <is>
          <t>CY-C14-R2</t>
        </is>
      </c>
      <c r="E167" s="4" t="n">
        <v>300</v>
      </c>
      <c r="F167" s="4" t="inlineStr">
        <is>
          <t>3.14.2 Nimmt der Aufzug bei Ausfall oder Manipulation des bauseitigen Signals (z. B. Brandfallsteuerung) einen sicheren Zustand ein (Brandfallfahrt in die Evakuierungshaltestelle, kein Weiterbetrieb)? = Nein</t>
        </is>
      </c>
      <c r="G167" s="4" t="inlineStr">
        <is>
          <t>Mittel</t>
        </is>
      </c>
      <c r="H167" s="4" t="inlineStr">
        <is>
          <t>INFERRED</t>
        </is>
      </c>
      <c r="I167" s="4" t="inlineStr"/>
      <c r="J167" s="4" t="inlineStr">
        <is>
          <t>Verhalten bei Signalausfall/Manipulation mit Hersteller klären</t>
        </is>
      </c>
      <c r="K167" s="4" t="inlineStr">
        <is>
          <t>Sicheren Zustand bei Signalausfall (Brandfallfahrt, Sperrung) konfigurieren und prüfen</t>
        </is>
      </c>
      <c r="L167" s="4" t="inlineStr">
        <is>
          <t>Freigegeben 2026-09-03.</t>
        </is>
      </c>
      <c r="M167" s="3" t="n"/>
      <c r="N167" s="3" t="n"/>
    </row>
    <row r="168">
      <c r="A168" s="2" t="inlineStr">
        <is>
          <t>CY-C14</t>
        </is>
      </c>
      <c r="B168" s="2" t="inlineStr">
        <is>
          <t>Manipulierbare Gebäudeschnittstelle (Brandfallsteuerung, Entrauchung, Gebäudeleittechnik)</t>
        </is>
      </c>
      <c r="C168" s="2" t="inlineStr">
        <is>
          <t>Gebäudeschnittstelle</t>
        </is>
      </c>
      <c r="D168" s="2" t="inlineStr">
        <is>
          <t>CY-C14-R3</t>
        </is>
      </c>
      <c r="E168" s="2" t="n">
        <v>1</v>
      </c>
      <c r="F168" s="2" t="inlineStr">
        <is>
          <t>3.14.1 Ist die Schnittstelle zu den bauseitigen Systemen rückwirkungsfrei (definierte Signale/potenzialfreie Kontakte; bauseitige Signale können Sicherheitsfunktionen des Aufzugs nicht außer Kraft setzen)? beantwortet</t>
        </is>
      </c>
      <c r="G168" s="2" t="inlineStr">
        <is>
          <t>Kein Risiko</t>
        </is>
      </c>
      <c r="H168" s="2" t="inlineStr">
        <is>
          <t>HIGH_CONFIDENCE</t>
        </is>
      </c>
      <c r="I168" s="2" t="inlineStr"/>
      <c r="J168" s="2" t="inlineStr">
        <is>
          <t>Zustand erhalten; bei der wiederkehrenden Prüfung und der Betreiberkontrolle erneut prüfen</t>
        </is>
      </c>
      <c r="K168" s="2" t="inlineStr"/>
      <c r="L168" s="2" t="inlineStr">
        <is>
          <t>Kein Risiko: keine Mangelregel trifft zu, alle Pflichtfragen beantwortet. Freigegeben 2026-09-03.</t>
        </is>
      </c>
      <c r="M168" s="3" t="n"/>
      <c r="N168" s="3" t="n"/>
    </row>
    <row r="169">
      <c r="A169" s="4" t="inlineStr">
        <is>
          <t>CY-O01</t>
        </is>
      </c>
      <c r="B169" s="4" t="inlineStr">
        <is>
          <t>Fehlende Verantwortlichkeit und Fachkunde für die Cybersicherheit</t>
        </is>
      </c>
      <c r="C169" s="4" t="inlineStr">
        <is>
          <t>Organisation und Notfallmanagement</t>
        </is>
      </c>
      <c r="D169" s="4" t="inlineStr">
        <is>
          <t>CY-O01-R1</t>
        </is>
      </c>
      <c r="E169" s="4" t="n">
        <v>300</v>
      </c>
      <c r="F169" s="4" t="inlineStr">
        <is>
          <t>(5.1 Ist eine verantwortliche Person des Betreibers für die Cybersicherheit der Anlage benannt und die Zuständigkeit der Wartungsfirma vertraglich geregelt? = Nein UND 5.2 Wurden die Cyber-Schutzmaßnahmen durch fachkundige Personen festgelegt (TRBS 1115-1 Abschnitt 3.3.2)? = Nein)</t>
        </is>
      </c>
      <c r="G169" s="4" t="inlineStr">
        <is>
          <t>Hoch</t>
        </is>
      </c>
      <c r="H169" s="4" t="inlineStr">
        <is>
          <t>INFERRED</t>
        </is>
      </c>
      <c r="I169" s="4" t="inlineStr"/>
      <c r="J169" s="4" t="inlineStr">
        <is>
          <t>Verantwortliche Person benennen; fachkundige Festlegung der Maßnahmen veranlassen (Hersteller, Wartungsfirma oder externer Sachverständiger)</t>
        </is>
      </c>
      <c r="K169" s="4" t="inlineStr">
        <is>
          <t>Zuständigkeiten Betreiber/Wartungsfirma/Hersteller vertraglich regeln</t>
        </is>
      </c>
      <c r="L169" s="4" t="inlineStr">
        <is>
          <t>Freigegeben 2026-09-03.</t>
        </is>
      </c>
      <c r="M169" s="3" t="n"/>
      <c r="N169" s="3" t="n"/>
    </row>
    <row r="170">
      <c r="A170" s="2" t="inlineStr">
        <is>
          <t>CY-O01</t>
        </is>
      </c>
      <c r="B170" s="2" t="inlineStr">
        <is>
          <t>Fehlende Verantwortlichkeit und Fachkunde für die Cybersicherheit</t>
        </is>
      </c>
      <c r="C170" s="2" t="inlineStr">
        <is>
          <t>Organisation und Notfallmanagement</t>
        </is>
      </c>
      <c r="D170" s="2" t="inlineStr">
        <is>
          <t>CY-O01-R2</t>
        </is>
      </c>
      <c r="E170" s="2" t="n">
        <v>250</v>
      </c>
      <c r="F170" s="2" t="inlineStr">
        <is>
          <t>5.2 Wurden die Cyber-Schutzmaßnahmen durch fachkundige Personen festgelegt (TRBS 1115-1 Abschnitt 3.3.2)? = Nein</t>
        </is>
      </c>
      <c r="G170" s="2" t="inlineStr">
        <is>
          <t>Mittel</t>
        </is>
      </c>
      <c r="H170" s="2" t="inlineStr">
        <is>
          <t>INFERRED</t>
        </is>
      </c>
      <c r="I170" s="2" t="inlineStr"/>
      <c r="J170" s="2" t="inlineStr">
        <is>
          <t>Festgelegte Maßnahmen durch eine fachkundige Person prüfen lassen</t>
        </is>
      </c>
      <c r="K170" s="2" t="inlineStr">
        <is>
          <t>Fachkunde nach TRBS 1115-1 3.3.2 sicherstellen (Beauftragung, Schulung)</t>
        </is>
      </c>
      <c r="L170" s="2" t="inlineStr">
        <is>
          <t>Freigegeben 2026-09-03.</t>
        </is>
      </c>
      <c r="M170" s="3" t="n"/>
      <c r="N170" s="3" t="n"/>
    </row>
    <row r="171">
      <c r="A171" s="4" t="inlineStr">
        <is>
          <t>CY-O01</t>
        </is>
      </c>
      <c r="B171" s="4" t="inlineStr">
        <is>
          <t>Fehlende Verantwortlichkeit und Fachkunde für die Cybersicherheit</t>
        </is>
      </c>
      <c r="C171" s="4" t="inlineStr">
        <is>
          <t>Organisation und Notfallmanagement</t>
        </is>
      </c>
      <c r="D171" s="4" t="inlineStr">
        <is>
          <t>CY-O01-R3</t>
        </is>
      </c>
      <c r="E171" s="4" t="n">
        <v>240</v>
      </c>
      <c r="F171" s="4" t="inlineStr">
        <is>
          <t>5.1 Ist eine verantwortliche Person des Betreibers für die Cybersicherheit der Anlage benannt und die Zuständigkeit der Wartungsfirma vertraglich geregelt? = Nein</t>
        </is>
      </c>
      <c r="G171" s="4" t="inlineStr">
        <is>
          <t>Mittel</t>
        </is>
      </c>
      <c r="H171" s="4" t="inlineStr">
        <is>
          <t>INFERRED</t>
        </is>
      </c>
      <c r="I171" s="4" t="inlineStr"/>
      <c r="J171" s="4" t="inlineStr">
        <is>
          <t>Verantwortliche Person des Betreibers benennen</t>
        </is>
      </c>
      <c r="K171" s="4" t="inlineStr">
        <is>
          <t>Zuständigkeit der Wartungsfirma für Cybersicherheit vertraglich regeln</t>
        </is>
      </c>
      <c r="L171" s="4" t="inlineStr">
        <is>
          <t>Freigegeben 2026-09-03.</t>
        </is>
      </c>
      <c r="M171" s="3" t="n"/>
      <c r="N171" s="3" t="n"/>
    </row>
    <row r="172">
      <c r="A172" s="2" t="inlineStr">
        <is>
          <t>CY-O01</t>
        </is>
      </c>
      <c r="B172" s="2" t="inlineStr">
        <is>
          <t>Fehlende Verantwortlichkeit und Fachkunde für die Cybersicherheit</t>
        </is>
      </c>
      <c r="C172" s="2" t="inlineStr">
        <is>
          <t>Organisation und Notfallmanagement</t>
        </is>
      </c>
      <c r="D172" s="2" t="inlineStr">
        <is>
          <t>CY-O01-R4</t>
        </is>
      </c>
      <c r="E172" s="2" t="n">
        <v>1</v>
      </c>
      <c r="F172" s="2" t="inlineStr">
        <is>
          <t>5.1 Ist eine verantwortliche Person des Betreibers für die Cybersicherheit der Anlage benannt und die Zuständigkeit der Wartungsfirma vertraglich geregelt? beantwortet</t>
        </is>
      </c>
      <c r="G172" s="2" t="inlineStr">
        <is>
          <t>Kein Risiko</t>
        </is>
      </c>
      <c r="H172" s="2" t="inlineStr">
        <is>
          <t>HIGH_CONFIDENCE</t>
        </is>
      </c>
      <c r="I172" s="2" t="inlineStr"/>
      <c r="J172" s="2" t="inlineStr">
        <is>
          <t>Zustand erhalten; bei der wiederkehrenden Prüfung und der Betreiberkontrolle erneut prüfen</t>
        </is>
      </c>
      <c r="K172" s="2" t="inlineStr"/>
      <c r="L172" s="2" t="inlineStr">
        <is>
          <t>Kein Risiko: keine Mangelregel trifft zu, alle Pflichtfragen beantwortet. Freigegeben 2026-09-03.</t>
        </is>
      </c>
      <c r="M172" s="3" t="n"/>
      <c r="N172" s="3" t="n"/>
    </row>
    <row r="173">
      <c r="A173" s="4" t="inlineStr">
        <is>
          <t>CY-O02</t>
        </is>
      </c>
      <c r="B173" s="4" t="inlineStr">
        <is>
          <t>Herstellervorgaben zur Cybersicherheit nicht berücksichtigt</t>
        </is>
      </c>
      <c r="C173" s="4" t="inlineStr">
        <is>
          <t>Organisation und Notfallmanagement</t>
        </is>
      </c>
      <c r="D173" s="4" t="inlineStr">
        <is>
          <t>CY-O02-R1</t>
        </is>
      </c>
      <c r="E173" s="4" t="n">
        <v>300</v>
      </c>
      <c r="F173" s="4" t="inlineStr">
        <is>
          <t>1.7 Vorgaben des Herstellers zur Cybersicherheit = „Vorhanden, aber nicht berücksichtigt"</t>
        </is>
      </c>
      <c r="G173" s="4" t="inlineStr">
        <is>
          <t>Mittel</t>
        </is>
      </c>
      <c r="H173" s="4" t="inlineStr">
        <is>
          <t>INFERRED</t>
        </is>
      </c>
      <c r="I173" s="4" t="inlineStr"/>
      <c r="J173" s="4" t="inlineStr">
        <is>
          <t>Herstellervorgaben sichten und Abweichungen bewerten</t>
        </is>
      </c>
      <c r="K173" s="4" t="inlineStr">
        <is>
          <t>Herstellervorgaben in die Maßnahmen übernehmen und dokumentieren</t>
        </is>
      </c>
      <c r="L173" s="4" t="inlineStr">
        <is>
          <t>Entschieden 2026-09-03: K-C25.</t>
        </is>
      </c>
      <c r="M173" s="3" t="n"/>
      <c r="N173" s="3" t="n"/>
    </row>
    <row r="174">
      <c r="A174" s="2" t="inlineStr">
        <is>
          <t>CY-O02</t>
        </is>
      </c>
      <c r="B174" s="2" t="inlineStr">
        <is>
          <t>Herstellervorgaben zur Cybersicherheit nicht berücksichtigt</t>
        </is>
      </c>
      <c r="C174" s="2" t="inlineStr">
        <is>
          <t>Organisation und Notfallmanagement</t>
        </is>
      </c>
      <c r="D174" s="2" t="inlineStr">
        <is>
          <t>CY-O02-R2</t>
        </is>
      </c>
      <c r="E174" s="2" t="n">
        <v>250</v>
      </c>
      <c r="F174" s="2" t="inlineStr">
        <is>
          <t>1.7 Vorgaben des Herstellers zur Cybersicherheit = „Nicht bekannt / nicht angefragt"</t>
        </is>
      </c>
      <c r="G174" s="2" t="inlineStr">
        <is>
          <t>Niedrig</t>
        </is>
      </c>
      <c r="H174" s="2" t="inlineStr">
        <is>
          <t>INFERRED</t>
        </is>
      </c>
      <c r="I174" s="2" t="inlineStr"/>
      <c r="J174" s="2" t="inlineStr">
        <is>
          <t>Cyber-Vorgaben beim Hersteller anfragen</t>
        </is>
      </c>
      <c r="K174" s="2" t="inlineStr">
        <is>
          <t>Antwort dokumentieren und Maßnahmen ggf. anpassen</t>
        </is>
      </c>
      <c r="L174" s="2" t="inlineStr">
        <is>
          <t>Entschieden 2026-09-03: K-C25.</t>
        </is>
      </c>
      <c r="M174" s="3" t="n"/>
      <c r="N174" s="3" t="n"/>
    </row>
    <row r="175">
      <c r="A175" s="4" t="inlineStr">
        <is>
          <t>CY-O02</t>
        </is>
      </c>
      <c r="B175" s="4" t="inlineStr">
        <is>
          <t>Herstellervorgaben zur Cybersicherheit nicht berücksichtigt</t>
        </is>
      </c>
      <c r="C175" s="4" t="inlineStr">
        <is>
          <t>Organisation und Notfallmanagement</t>
        </is>
      </c>
      <c r="D175" s="4" t="inlineStr">
        <is>
          <t>CY-O02-R3</t>
        </is>
      </c>
      <c r="E175" s="4" t="n">
        <v>1</v>
      </c>
      <c r="F175" s="4" t="inlineStr">
        <is>
          <t>1.7 Vorgaben des Herstellers zur Cybersicherheit beantwortet</t>
        </is>
      </c>
      <c r="G175" s="4" t="inlineStr">
        <is>
          <t>Kein Risiko</t>
        </is>
      </c>
      <c r="H175" s="4" t="inlineStr">
        <is>
          <t>HIGH_CONFIDENCE</t>
        </is>
      </c>
      <c r="I175" s="4" t="inlineStr"/>
      <c r="J175" s="4" t="inlineStr">
        <is>
          <t>Zustand erhalten; bei der wiederkehrenden Prüfung und der Betreiberkontrolle erneut prüfen</t>
        </is>
      </c>
      <c r="K175" s="4" t="inlineStr"/>
      <c r="L175" s="4" t="inlineStr">
        <is>
          <t>Kein Risiko: keine Mangelregel trifft zu, alle Pflichtfragen beantwortet. Freigegeben 2026-09-03.</t>
        </is>
      </c>
      <c r="M175" s="3" t="n"/>
      <c r="N175" s="3" t="n"/>
    </row>
    <row r="176">
      <c r="A176" s="2" t="inlineStr">
        <is>
          <t>CY-O03</t>
        </is>
      </c>
      <c r="B176" s="2" t="inlineStr">
        <is>
          <t>Fehlendes Notfallmanagement für Cybervorfälle</t>
        </is>
      </c>
      <c r="C176" s="2" t="inlineStr">
        <is>
          <t>Organisation und Notfallmanagement</t>
        </is>
      </c>
      <c r="D176" s="2" t="inlineStr">
        <is>
          <t>CY-O03-R1</t>
        </is>
      </c>
      <c r="E176" s="2" t="n">
        <v>300</v>
      </c>
      <c r="F176" s="2" t="inlineStr">
        <is>
          <t>(5.3 Ist ein Notfallmanagement für Cybervorfälle festgelegt (Erkennen, Anlage in sicheren Zustand bringen/außer Betrieb nehmen, Meldung, Wiederinbetriebnahme erst nach Prüfung)? = Nein UND 1.5 Anlage mit Netzwerk- oder Internetanbindung (Fernüberwachung, Fernwartung, Gateway/Router/Modem, Gebäudeleittechnik)? = Ja)</t>
        </is>
      </c>
      <c r="G176" s="2" t="inlineStr">
        <is>
          <t>Hoch</t>
        </is>
      </c>
      <c r="H176" s="2" t="inlineStr">
        <is>
          <t>INFERRED</t>
        </is>
      </c>
      <c r="I176" s="2" t="inlineStr"/>
      <c r="J176" s="2" t="inlineStr">
        <is>
          <t>Vorgehen bei Verdacht auf Cybervorfall festlegen: Anlage außer Betrieb nehmen/Fernzugänge trennen, Meldung an Betreiber und Wartungsfirma</t>
        </is>
      </c>
      <c r="K176" s="2" t="inlineStr">
        <is>
          <t>Notfallmanagement nach TRBS 1115-1 schriftlich festlegen (Erkennen, sicherer Zustand, Meldung, Wiederinbetriebnahme nach Prüfung)</t>
        </is>
      </c>
      <c r="L176" s="2" t="inlineStr">
        <is>
          <t>Entschieden 2026-09-03: K-C15.</t>
        </is>
      </c>
      <c r="M176" s="3" t="n"/>
      <c r="N176" s="3" t="n"/>
    </row>
    <row r="177">
      <c r="A177" s="4" t="inlineStr">
        <is>
          <t>CY-O03</t>
        </is>
      </c>
      <c r="B177" s="4" t="inlineStr">
        <is>
          <t>Fehlendes Notfallmanagement für Cybervorfälle</t>
        </is>
      </c>
      <c r="C177" s="4" t="inlineStr">
        <is>
          <t>Organisation und Notfallmanagement</t>
        </is>
      </c>
      <c r="D177" s="4" t="inlineStr">
        <is>
          <t>CY-O03-R2</t>
        </is>
      </c>
      <c r="E177" s="4" t="n">
        <v>250</v>
      </c>
      <c r="F177" s="4" t="inlineStr">
        <is>
          <t>5.3 Ist ein Notfallmanagement für Cybervorfälle festgelegt (Erkennen, Anlage in sicheren Zustand bringen/außer Betrieb nehmen, Meldung, Wiederinbetriebnahme erst nach Prüfung)? = Nein</t>
        </is>
      </c>
      <c r="G177" s="4" t="inlineStr">
        <is>
          <t>Mittel</t>
        </is>
      </c>
      <c r="H177" s="4" t="inlineStr">
        <is>
          <t>INFERRED</t>
        </is>
      </c>
      <c r="I177" s="4" t="inlineStr"/>
      <c r="J177" s="4" t="inlineStr">
        <is>
          <t>Vorgehen bei Verdacht auf Cybervorfall festlegen und bekannt machen</t>
        </is>
      </c>
      <c r="K177" s="4" t="inlineStr">
        <is>
          <t>Notfallmanagement nach TRBS 1115-1 schriftlich festlegen</t>
        </is>
      </c>
      <c r="L177" s="4" t="inlineStr">
        <is>
          <t>Entschieden 2026-09-03: K-C15.</t>
        </is>
      </c>
      <c r="M177" s="3" t="n"/>
      <c r="N177" s="3" t="n"/>
    </row>
    <row r="178">
      <c r="A178" s="2" t="inlineStr">
        <is>
          <t>CY-O03</t>
        </is>
      </c>
      <c r="B178" s="2" t="inlineStr">
        <is>
          <t>Fehlendes Notfallmanagement für Cybervorfälle</t>
        </is>
      </c>
      <c r="C178" s="2" t="inlineStr">
        <is>
          <t>Organisation und Notfallmanagement</t>
        </is>
      </c>
      <c r="D178" s="2" t="inlineStr">
        <is>
          <t>CY-O03-R3</t>
        </is>
      </c>
      <c r="E178" s="2" t="n">
        <v>1</v>
      </c>
      <c r="F178" s="2" t="inlineStr">
        <is>
          <t>5.3 Ist ein Notfallmanagement für Cybervorfälle festgelegt (Erkennen, Anlage in sicheren Zustand bringen/außer Betrieb nehmen, Meldung, Wiederinbetriebnahme erst nach Prüfung)? beantwortet</t>
        </is>
      </c>
      <c r="G178" s="2" t="inlineStr">
        <is>
          <t>Kein Risiko</t>
        </is>
      </c>
      <c r="H178" s="2" t="inlineStr">
        <is>
          <t>HIGH_CONFIDENCE</t>
        </is>
      </c>
      <c r="I178" s="2" t="inlineStr"/>
      <c r="J178" s="2" t="inlineStr">
        <is>
          <t>Zustand erhalten; bei der wiederkehrenden Prüfung und der Betreiberkontrolle erneut prüfen</t>
        </is>
      </c>
      <c r="K178" s="2" t="inlineStr"/>
      <c r="L178" s="2" t="inlineStr">
        <is>
          <t>Kein Risiko: keine Mangelregel trifft zu, alle Pflichtfragen beantwortet. Freigegeben 2026-09-03.</t>
        </is>
      </c>
      <c r="M178" s="3" t="n"/>
      <c r="N178" s="3" t="n"/>
    </row>
    <row r="179">
      <c r="A179" s="4" t="inlineStr">
        <is>
          <t>CY-O04</t>
        </is>
      </c>
      <c r="B179" s="4" t="inlineStr">
        <is>
          <t>Fehlende Unterweisung zur Cybersicherheit</t>
        </is>
      </c>
      <c r="C179" s="4" t="inlineStr">
        <is>
          <t>Organisation und Notfallmanagement</t>
        </is>
      </c>
      <c r="D179" s="4" t="inlineStr">
        <is>
          <t>CY-O04-R1</t>
        </is>
      </c>
      <c r="E179" s="4" t="n">
        <v>250</v>
      </c>
      <c r="F179" s="4" t="inlineStr">
        <is>
          <t>5.4 Sind die Beschäftigten (beauftragte Person, Betreiberpersonal) zur Cybersicherheit der Anlage unterwiesen? = Nein</t>
        </is>
      </c>
      <c r="G179" s="4" t="inlineStr">
        <is>
          <t>Niedrig</t>
        </is>
      </c>
      <c r="H179" s="4" t="inlineStr">
        <is>
          <t>INFERRED</t>
        </is>
      </c>
      <c r="I179" s="4" t="inlineStr"/>
      <c r="J179" s="4" t="inlineStr">
        <is>
          <t>Beauftragte Person und Betreiberpersonal zu Zugang, Servicegeräten und Verhalten bei Cybervorfall unterweisen</t>
        </is>
      </c>
      <c r="K179" s="4" t="inlineStr">
        <is>
          <t>Cyber-Unterweisung in die jährliche Unterweisung aufnehmen und dokumentieren</t>
        </is>
      </c>
      <c r="L179" s="4" t="inlineStr">
        <is>
          <t>Entschieden 2026-09-03: K-C16.</t>
        </is>
      </c>
      <c r="M179" s="3" t="n"/>
      <c r="N179" s="3" t="n"/>
    </row>
    <row r="180">
      <c r="A180" s="2" t="inlineStr">
        <is>
          <t>CY-O04</t>
        </is>
      </c>
      <c r="B180" s="2" t="inlineStr">
        <is>
          <t>Fehlende Unterweisung zur Cybersicherheit</t>
        </is>
      </c>
      <c r="C180" s="2" t="inlineStr">
        <is>
          <t>Organisation und Notfallmanagement</t>
        </is>
      </c>
      <c r="D180" s="2" t="inlineStr">
        <is>
          <t>CY-O04-R2</t>
        </is>
      </c>
      <c r="E180" s="2" t="n">
        <v>1</v>
      </c>
      <c r="F180" s="2" t="inlineStr">
        <is>
          <t>5.4 Sind die Beschäftigten (beauftragte Person, Betreiberpersonal) zur Cybersicherheit der Anlage unterwiesen? beantwortet</t>
        </is>
      </c>
      <c r="G180" s="2" t="inlineStr">
        <is>
          <t>Kein Risiko</t>
        </is>
      </c>
      <c r="H180" s="2" t="inlineStr">
        <is>
          <t>HIGH_CONFIDENCE</t>
        </is>
      </c>
      <c r="I180" s="2" t="inlineStr"/>
      <c r="J180" s="2" t="inlineStr">
        <is>
          <t>Zustand erhalten; bei der wiederkehrenden Prüfung und der Betreiberkontrolle erneut prüfen</t>
        </is>
      </c>
      <c r="K180" s="2" t="inlineStr"/>
      <c r="L180" s="2" t="inlineStr">
        <is>
          <t>Kein Risiko: keine Mangelregel trifft zu, alle Pflichtfragen beantwortet. Freigegeben 2026-09-03.</t>
        </is>
      </c>
      <c r="M180" s="3" t="n"/>
      <c r="N180" s="3" t="n"/>
    </row>
    <row r="181">
      <c r="A181" s="4" t="inlineStr">
        <is>
          <t>CY-O05</t>
        </is>
      </c>
      <c r="B181" s="4" t="inlineStr">
        <is>
          <t>Fehlende Prüforganisation und Nachweise der Wirksamkeit</t>
        </is>
      </c>
      <c r="C181" s="4" t="inlineStr">
        <is>
          <t>Nachweise und Wirksamkeit</t>
        </is>
      </c>
      <c r="D181" s="4" t="inlineStr">
        <is>
          <t>CY-O05-R1</t>
        </is>
      </c>
      <c r="E181" s="4" t="n">
        <v>300</v>
      </c>
      <c r="F181" s="4" t="inlineStr">
        <is>
          <t>(5.5 Sind Art, Umfang und Fristen der Überprüfung und Kontrolle der Cyber-Schutzmaßnahmen schriftlich festgelegt? = Nein UND 5.6 Liegt ein Nachweis der Wirksamkeit der Cyber-Schutzmaßnahmen vor (TRBS 1115-1 Abschnitt 5)? = Nein UND 5.7 Liegt eine Bestätigung der Funktionsfähigkeit der Cyber-Schutzmaßnahmen vor (TRBS 1115-1 Abschnitt 8.2)? = Nein)</t>
        </is>
      </c>
      <c r="G181" s="4" t="inlineStr">
        <is>
          <t>Hoch</t>
        </is>
      </c>
      <c r="H181" s="4" t="inlineStr">
        <is>
          <t>INFERRED</t>
        </is>
      </c>
      <c r="I181" s="4" t="inlineStr"/>
      <c r="J181" s="4" t="inlineStr">
        <is>
          <t>Wirksamkeit und Funktion der Maßnahmen durch fachkundige Person feststellen lassen</t>
        </is>
      </c>
      <c r="K181" s="4" t="inlineStr">
        <is>
          <t>Prüforganisation aufbauen: Art, Umfang, Fristen; Wirksamkeitsnachweis (Abschn. 5) und Funktionsbestätigung (Abschn. 8.2) dokumentieren</t>
        </is>
      </c>
      <c r="L181" s="4" t="inlineStr">
        <is>
          <t>Entschieden 2026-09-03: K-C17.</t>
        </is>
      </c>
      <c r="M181" s="3" t="n"/>
      <c r="N181" s="3" t="n"/>
    </row>
    <row r="182">
      <c r="A182" s="2" t="inlineStr">
        <is>
          <t>CY-O05</t>
        </is>
      </c>
      <c r="B182" s="2" t="inlineStr">
        <is>
          <t>Fehlende Prüforganisation und Nachweise der Wirksamkeit</t>
        </is>
      </c>
      <c r="C182" s="2" t="inlineStr">
        <is>
          <t>Nachweise und Wirksamkeit</t>
        </is>
      </c>
      <c r="D182" s="2" t="inlineStr">
        <is>
          <t>CY-O05-R2</t>
        </is>
      </c>
      <c r="E182" s="2" t="n">
        <v>260</v>
      </c>
      <c r="F182" s="2" t="inlineStr">
        <is>
          <t>5.6 Liegt ein Nachweis der Wirksamkeit der Cyber-Schutzmaßnahmen vor (TRBS 1115-1 Abschnitt 5)? = Nein</t>
        </is>
      </c>
      <c r="G182" s="2" t="inlineStr">
        <is>
          <t>Mittel</t>
        </is>
      </c>
      <c r="H182" s="2" t="inlineStr">
        <is>
          <t>INFERRED</t>
        </is>
      </c>
      <c r="I182" s="2" t="inlineStr"/>
      <c r="J182" s="2" t="inlineStr">
        <is>
          <t>Wirksamkeitsnachweis der Maßnahmen nachholen</t>
        </is>
      </c>
      <c r="K182" s="2" t="inlineStr">
        <is>
          <t>Wirksamkeitsnachweis nach TRBS 1115-1 Abschnitt 5 dokumentieren</t>
        </is>
      </c>
      <c r="L182" s="2" t="inlineStr">
        <is>
          <t>Freigegeben 2026-09-03.</t>
        </is>
      </c>
      <c r="M182" s="3" t="n"/>
      <c r="N182" s="3" t="n"/>
    </row>
    <row r="183">
      <c r="A183" s="4" t="inlineStr">
        <is>
          <t>CY-O05</t>
        </is>
      </c>
      <c r="B183" s="4" t="inlineStr">
        <is>
          <t>Fehlende Prüforganisation und Nachweise der Wirksamkeit</t>
        </is>
      </c>
      <c r="C183" s="4" t="inlineStr">
        <is>
          <t>Nachweise und Wirksamkeit</t>
        </is>
      </c>
      <c r="D183" s="4" t="inlineStr">
        <is>
          <t>CY-O05-R3</t>
        </is>
      </c>
      <c r="E183" s="4" t="n">
        <v>250</v>
      </c>
      <c r="F183" s="4" t="inlineStr">
        <is>
          <t>5.7 Liegt eine Bestätigung der Funktionsfähigkeit der Cyber-Schutzmaßnahmen vor (TRBS 1115-1 Abschnitt 8.2)? = Nein</t>
        </is>
      </c>
      <c r="G183" s="4" t="inlineStr">
        <is>
          <t>Mittel</t>
        </is>
      </c>
      <c r="H183" s="4" t="inlineStr">
        <is>
          <t>INFERRED</t>
        </is>
      </c>
      <c r="I183" s="4" t="inlineStr"/>
      <c r="J183" s="4" t="inlineStr">
        <is>
          <t>Funktionsfähigkeit der Maßnahmen bestätigen lassen</t>
        </is>
      </c>
      <c r="K183" s="4" t="inlineStr">
        <is>
          <t>Funktionsbestätigung nach TRBS 1115-1 Abschnitt 8.2 dokumentieren</t>
        </is>
      </c>
      <c r="L183" s="4" t="inlineStr">
        <is>
          <t>Freigegeben 2026-09-03.</t>
        </is>
      </c>
      <c r="M183" s="3" t="n"/>
      <c r="N183" s="3" t="n"/>
    </row>
    <row r="184">
      <c r="A184" s="2" t="inlineStr">
        <is>
          <t>CY-O05</t>
        </is>
      </c>
      <c r="B184" s="2" t="inlineStr">
        <is>
          <t>Fehlende Prüforganisation und Nachweise der Wirksamkeit</t>
        </is>
      </c>
      <c r="C184" s="2" t="inlineStr">
        <is>
          <t>Nachweise und Wirksamkeit</t>
        </is>
      </c>
      <c r="D184" s="2" t="inlineStr">
        <is>
          <t>CY-O05-R4</t>
        </is>
      </c>
      <c r="E184" s="2" t="n">
        <v>240</v>
      </c>
      <c r="F184" s="2" t="inlineStr">
        <is>
          <t>5.5 Sind Art, Umfang und Fristen der Überprüfung und Kontrolle der Cyber-Schutzmaßnahmen schriftlich festgelegt? = Nein</t>
        </is>
      </c>
      <c r="G184" s="2" t="inlineStr">
        <is>
          <t>Mittel</t>
        </is>
      </c>
      <c r="H184" s="2" t="inlineStr">
        <is>
          <t>INFERRED</t>
        </is>
      </c>
      <c r="I184" s="2" t="inlineStr"/>
      <c r="J184" s="2" t="inlineStr">
        <is>
          <t>Prüfumfang und -fristen für die Cyber-Maßnahmen festlegen</t>
        </is>
      </c>
      <c r="K184" s="2" t="inlineStr">
        <is>
          <t>Prüforganisation schriftlich festlegen und in den Wartungsvertrag aufnehmen</t>
        </is>
      </c>
      <c r="L184" s="2" t="inlineStr">
        <is>
          <t>Freigegeben 2026-09-03.</t>
        </is>
      </c>
      <c r="M184" s="3" t="n"/>
      <c r="N184" s="3" t="n"/>
    </row>
    <row r="185">
      <c r="A185" s="4" t="inlineStr">
        <is>
          <t>CY-O05</t>
        </is>
      </c>
      <c r="B185" s="4" t="inlineStr">
        <is>
          <t>Fehlende Prüforganisation und Nachweise der Wirksamkeit</t>
        </is>
      </c>
      <c r="C185" s="4" t="inlineStr">
        <is>
          <t>Nachweise und Wirksamkeit</t>
        </is>
      </c>
      <c r="D185" s="4" t="inlineStr">
        <is>
          <t>CY-O05-R5</t>
        </is>
      </c>
      <c r="E185" s="4" t="n">
        <v>1</v>
      </c>
      <c r="F185" s="4" t="inlineStr">
        <is>
          <t>5.5 Sind Art, Umfang und Fristen der Überprüfung und Kontrolle der Cyber-Schutzmaßnahmen schriftlich festgelegt? beantwortet</t>
        </is>
      </c>
      <c r="G185" s="4" t="inlineStr">
        <is>
          <t>Kein Risiko</t>
        </is>
      </c>
      <c r="H185" s="4" t="inlineStr">
        <is>
          <t>HIGH_CONFIDENCE</t>
        </is>
      </c>
      <c r="I185" s="4" t="inlineStr"/>
      <c r="J185" s="4" t="inlineStr">
        <is>
          <t>Zustand erhalten; bei der wiederkehrenden Prüfung und der Betreiberkontrolle erneut prüfen</t>
        </is>
      </c>
      <c r="K185" s="4" t="inlineStr"/>
      <c r="L185" s="4" t="inlineStr">
        <is>
          <t>Kein Risiko: keine Mangelregel trifft zu, alle Pflichtfragen beantwortet. Freigegeben 2026-09-03.</t>
        </is>
      </c>
      <c r="M185" s="3" t="n"/>
      <c r="N185" s="3" t="n"/>
    </row>
    <row r="186">
      <c r="A186" s="2" t="inlineStr">
        <is>
          <t>CY-O06</t>
        </is>
      </c>
      <c r="B186" s="2" t="inlineStr">
        <is>
          <t>Prüfpflichtige Änderung mit Cyber-Einfluss ohne Prüfung</t>
        </is>
      </c>
      <c r="C186" s="2" t="inlineStr">
        <is>
          <t>Nachweise und Wirksamkeit</t>
        </is>
      </c>
      <c r="D186" s="2" t="inlineStr">
        <is>
          <t>CY-O06-R1</t>
        </is>
      </c>
      <c r="E186" s="2" t="n">
        <v>300</v>
      </c>
      <c r="F186" s="2" t="inlineStr">
        <is>
          <t>(5.10 Wurden nach Aussage des Betreibers prüfpflichtige Änderungen mit Einfluss auf die Cybersicherheit durchgeführt (Steuerungstausch, neue Fernanbindung, Software-Update sicherheitsrelevanter Komponenten)? = Ja UND 5.10a Wurden diese Änderungen geprüft (ZÜS-Prüfung nach prüfpflichtiger Änderung) und in der Gefährdungsbeurteilung nachgezogen? = Nein)</t>
        </is>
      </c>
      <c r="G186" s="2" t="inlineStr">
        <is>
          <t>Hoch</t>
        </is>
      </c>
      <c r="H186" s="2" t="inlineStr">
        <is>
          <t>INFERRED</t>
        </is>
      </c>
      <c r="I186" s="2" t="inlineStr"/>
      <c r="J186" s="2" t="inlineStr">
        <is>
          <t>Prüfung nach prüfpflichtiger Änderung veranlassen (ZÜS); bis dahin geänderte Fernzugänge/Funktionen deaktivieren</t>
        </is>
      </c>
      <c r="K186" s="2" t="inlineStr">
        <is>
          <t>Änderungen in der Gefährdungsbeurteilung nachziehen und Prüfung dokumentieren</t>
        </is>
      </c>
      <c r="L186" s="2" t="inlineStr">
        <is>
          <t>Entschieden 2026-09-03: K-C18.</t>
        </is>
      </c>
      <c r="M186" s="3" t="n"/>
      <c r="N186" s="3" t="n"/>
    </row>
    <row r="187">
      <c r="A187" s="4" t="inlineStr">
        <is>
          <t>CY-O06</t>
        </is>
      </c>
      <c r="B187" s="4" t="inlineStr">
        <is>
          <t>Prüfpflichtige Änderung mit Cyber-Einfluss ohne Prüfung</t>
        </is>
      </c>
      <c r="C187" s="4" t="inlineStr">
        <is>
          <t>Nachweise und Wirksamkeit</t>
        </is>
      </c>
      <c r="D187" s="4" t="inlineStr">
        <is>
          <t>CY-O06-R2</t>
        </is>
      </c>
      <c r="E187" s="4" t="n">
        <v>1</v>
      </c>
      <c r="F187" s="4" t="inlineStr">
        <is>
          <t>5.10 Wurden nach Aussage des Betreibers prüfpflichtige Änderungen mit Einfluss auf die Cybersicherheit durchgeführt (Steuerungstausch, neue Fernanbindung, Software-Update sicherheitsrelevanter Komponenten)? beantwortet</t>
        </is>
      </c>
      <c r="G187" s="4" t="inlineStr">
        <is>
          <t>Kein Risiko</t>
        </is>
      </c>
      <c r="H187" s="4" t="inlineStr">
        <is>
          <t>HIGH_CONFIDENCE</t>
        </is>
      </c>
      <c r="I187" s="4" t="inlineStr"/>
      <c r="J187" s="4" t="inlineStr">
        <is>
          <t>Zustand erhalten; bei der wiederkehrenden Prüfung und der Betreiberkontrolle erneut prüfen</t>
        </is>
      </c>
      <c r="K187" s="4" t="inlineStr"/>
      <c r="L187" s="4" t="inlineStr">
        <is>
          <t>Kein Risiko: keine Mangelregel trifft zu, alle Pflichtfragen beantwortet. Freigegeben 2026-09-03.</t>
        </is>
      </c>
      <c r="M187" s="3" t="n"/>
      <c r="N187" s="3" t="n"/>
    </row>
    <row r="188">
      <c r="A188" s="2" t="inlineStr">
        <is>
          <t>CY-O07</t>
        </is>
      </c>
      <c r="B188" s="2" t="inlineStr">
        <is>
          <t>Rückwirkung der Cyber-Schutzmaßnahmen auf Sicherheitsfunktionen nicht ausgeschlossen</t>
        </is>
      </c>
      <c r="C188" s="2" t="inlineStr">
        <is>
          <t>Nachweise und Wirksamkeit</t>
        </is>
      </c>
      <c r="D188" s="2" t="inlineStr">
        <is>
          <t>CY-O07-R1</t>
        </is>
      </c>
      <c r="E188" s="2" t="n">
        <v>300</v>
      </c>
      <c r="F188" s="2" t="inlineStr">
        <is>
          <t>5.8 Ist sichergestellt, dass die Cyber-Schutzmaßnahmen die Sicherheitsfunktionen der Anlage nicht negativ beeinflussen (Rückwirkungsfreiheit, z. B. keine Abschaltung des Notrufs durch die Firewall)? = Nein</t>
        </is>
      </c>
      <c r="G188" s="2" t="inlineStr">
        <is>
          <t>Hoch</t>
        </is>
      </c>
      <c r="H188" s="2" t="inlineStr">
        <is>
          <t>INFERRED</t>
        </is>
      </c>
      <c r="I188" s="2" t="inlineStr"/>
      <c r="J188" s="2" t="inlineStr">
        <is>
          <t>Notruf, Sicherheitskreis und Brandfallsteuerung nach Einführung der Maßnahmen funktional prüfen</t>
        </is>
      </c>
      <c r="K188" s="2" t="inlineStr">
        <is>
          <t>Rückwirkungsfreiheit je Maßnahme bewerten und dokumentieren (TRBS 1115-1; B-002 Anhang 2 Nr. 9)</t>
        </is>
      </c>
      <c r="L188" s="2" t="inlineStr">
        <is>
          <t>Entschieden 2026-09-03: K-C19.</t>
        </is>
      </c>
      <c r="M188" s="3" t="n"/>
      <c r="N188" s="3" t="n"/>
    </row>
    <row r="189">
      <c r="A189" s="4" t="inlineStr">
        <is>
          <t>CY-O07</t>
        </is>
      </c>
      <c r="B189" s="4" t="inlineStr">
        <is>
          <t>Rückwirkung der Cyber-Schutzmaßnahmen auf Sicherheitsfunktionen nicht ausgeschlossen</t>
        </is>
      </c>
      <c r="C189" s="4" t="inlineStr">
        <is>
          <t>Nachweise und Wirksamkeit</t>
        </is>
      </c>
      <c r="D189" s="4" t="inlineStr">
        <is>
          <t>CY-O07-R2</t>
        </is>
      </c>
      <c r="E189" s="4" t="n">
        <v>1</v>
      </c>
      <c r="F189" s="4" t="inlineStr">
        <is>
          <t>5.8 Ist sichergestellt, dass die Cyber-Schutzmaßnahmen die Sicherheitsfunktionen der Anlage nicht negativ beeinflussen (Rückwirkungsfreiheit, z. B. keine Abschaltung des Notrufs durch die Firewall)? beantwortet</t>
        </is>
      </c>
      <c r="G189" s="4" t="inlineStr">
        <is>
          <t>Kein Risiko</t>
        </is>
      </c>
      <c r="H189" s="4" t="inlineStr">
        <is>
          <t>HIGH_CONFIDENCE</t>
        </is>
      </c>
      <c r="I189" s="4" t="inlineStr"/>
      <c r="J189" s="4" t="inlineStr">
        <is>
          <t>Zustand erhalten; bei der wiederkehrenden Prüfung und der Betreiberkontrolle erneut prüfen</t>
        </is>
      </c>
      <c r="K189" s="4" t="inlineStr"/>
      <c r="L189" s="4" t="inlineStr">
        <is>
          <t>Kein Risiko: keine Mangelregel trifft zu, alle Pflichtfragen beantwortet. Freigegeben 2026-09-03.</t>
        </is>
      </c>
      <c r="M189" s="3" t="n"/>
      <c r="N189" s="3" t="n"/>
    </row>
    <row r="190">
      <c r="A190" s="2" t="inlineStr">
        <is>
          <t>CY-O08</t>
        </is>
      </c>
      <c r="B190" s="2" t="inlineStr">
        <is>
          <t>Keine Fortschreibung bei neuen Erkenntnissen</t>
        </is>
      </c>
      <c r="C190" s="2" t="inlineStr">
        <is>
          <t>Nachweise und Wirksamkeit</t>
        </is>
      </c>
      <c r="D190" s="2" t="inlineStr">
        <is>
          <t>CY-O08-R1</t>
        </is>
      </c>
      <c r="E190" s="2" t="n">
        <v>250</v>
      </c>
      <c r="F190" s="2" t="inlineStr">
        <is>
          <t>5.9 Werden neue Erkenntnisse zur Cybersicherheit (Herstellerhinweise, Schwachstellenmeldungen, CERT-Warnungen) in die Gefährdungsbeurteilung eingebunden? = Nein</t>
        </is>
      </c>
      <c r="G190" s="2" t="inlineStr">
        <is>
          <t>Niedrig</t>
        </is>
      </c>
      <c r="H190" s="2" t="inlineStr">
        <is>
          <t>INFERRED</t>
        </is>
      </c>
      <c r="I190" s="2" t="inlineStr"/>
      <c r="J190" s="2" t="inlineStr">
        <is>
          <t>Bezugsquellen für Schwachstellenhinweise festlegen (Hersteller, CERT)</t>
        </is>
      </c>
      <c r="K190" s="2" t="inlineStr">
        <is>
          <t>Fortschreibung der Gefährdungsbeurteilung bei neuen Erkenntnissen als Verfahren festlegen</t>
        </is>
      </c>
      <c r="L190" s="2" t="inlineStr">
        <is>
          <t>Freigegeben 2026-09-03.</t>
        </is>
      </c>
      <c r="M190" s="3" t="n"/>
      <c r="N190" s="3" t="n"/>
    </row>
    <row r="191">
      <c r="A191" s="4" t="inlineStr">
        <is>
          <t>CY-O08</t>
        </is>
      </c>
      <c r="B191" s="4" t="inlineStr">
        <is>
          <t>Keine Fortschreibung bei neuen Erkenntnissen</t>
        </is>
      </c>
      <c r="C191" s="4" t="inlineStr">
        <is>
          <t>Nachweise und Wirksamkeit</t>
        </is>
      </c>
      <c r="D191" s="4" t="inlineStr">
        <is>
          <t>CY-O08-R2</t>
        </is>
      </c>
      <c r="E191" s="4" t="n">
        <v>1</v>
      </c>
      <c r="F191" s="4" t="inlineStr">
        <is>
          <t>5.9 Werden neue Erkenntnisse zur Cybersicherheit (Herstellerhinweise, Schwachstellenmeldungen, CERT-Warnungen) in die Gefährdungsbeurteilung eingebunden? beantwortet</t>
        </is>
      </c>
      <c r="G191" s="4" t="inlineStr">
        <is>
          <t>Kein Risiko</t>
        </is>
      </c>
      <c r="H191" s="4" t="inlineStr">
        <is>
          <t>HIGH_CONFIDENCE</t>
        </is>
      </c>
      <c r="I191" s="4" t="inlineStr"/>
      <c r="J191" s="4" t="inlineStr">
        <is>
          <t>Zustand erhalten; bei der wiederkehrenden Prüfung und der Betreiberkontrolle erneut prüfen</t>
        </is>
      </c>
      <c r="K191" s="4" t="inlineStr"/>
      <c r="L191" s="4" t="inlineStr">
        <is>
          <t>Kein Risiko: keine Mangelregel trifft zu, alle Pflichtfragen beantwortet. Freigegeben 2026-09-03.</t>
        </is>
      </c>
      <c r="M191" s="3" t="n"/>
      <c r="N191" s="3" t="n"/>
    </row>
  </sheetData>
  <autoFilter ref="A1:N191"/>
  <dataValidations count="1">
    <dataValidation sqref="M2:M191" showDropDown="0" showInputMessage="0" showErrorMessage="0" allowBlank="1" type="list">
      <formula1>"OK,Ändern"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24" customWidth="1" min="3" max="3"/>
    <col width="28" customWidth="1" min="4" max="4"/>
    <col width="11" customWidth="1" min="5" max="5"/>
    <col width="40" customWidth="1" min="6" max="6"/>
    <col width="26" customWidth="1" min="7" max="7"/>
    <col width="70" customWidth="1" min="8" max="8"/>
    <col width="40" customWidth="1" min="9" max="9"/>
    <col width="12" customWidth="1" min="10" max="10"/>
    <col width="8" customWidth="1" min="11" max="11"/>
  </cols>
  <sheetData>
    <row r="1" ht="30" customHeight="1">
      <c r="A1" s="1" t="inlineStr">
        <is>
          <t>Code</t>
        </is>
      </c>
      <c r="B1" s="1" t="inlineStr">
        <is>
          <t>Titel</t>
        </is>
      </c>
      <c r="C1" s="1" t="inlineStr">
        <is>
          <t>Baugruppe</t>
        </is>
      </c>
      <c r="D1" s="1" t="inlineStr">
        <is>
          <t>Erhebungsbereich</t>
        </is>
      </c>
      <c r="E1" s="1" t="inlineStr">
        <is>
          <t>Aggregation</t>
        </is>
      </c>
      <c r="F1" s="1" t="inlineStr">
        <is>
          <t>Gefährdungsfaktor</t>
        </is>
      </c>
      <c r="G1" s="1" t="inlineStr">
        <is>
          <t>Personengruppen</t>
        </is>
      </c>
      <c r="H1" s="1" t="inlineStr">
        <is>
          <t>Fragen (Rolle · Pflicht)</t>
        </is>
      </c>
      <c r="I1" s="1" t="inlineStr">
        <is>
          <t>Norm-/Quellenbezug</t>
        </is>
      </c>
      <c r="J1" s="1" t="inlineStr">
        <is>
          <t>Klärung</t>
        </is>
      </c>
      <c r="K1" s="1" t="inlineStr">
        <is>
          <t>Regeln</t>
        </is>
      </c>
    </row>
    <row r="2">
      <c r="A2" s="2" t="inlineStr">
        <is>
          <t>CY-Z01</t>
        </is>
      </c>
      <c r="B2" s="2" t="inlineStr">
        <is>
          <t>Unbefugter physischer Zugang zur Aufzugssteuerung</t>
        </is>
      </c>
      <c r="C2" s="2" t="inlineStr">
        <is>
          <t>Zugang und Zugriff</t>
        </is>
      </c>
      <c r="D2" s="2" t="inlineStr">
        <is>
          <t>Z – Zugang und Zugriff</t>
        </is>
      </c>
      <c r="E2" s="2" t="inlineStr">
        <is>
          <t>NONE</t>
        </is>
      </c>
      <c r="F2" s="2" t="inlineStr">
        <is>
          <t>Gefährdung durch unbefugten Zugang zu sicherheitsrelevanten Einrichtungen</t>
        </is>
      </c>
      <c r="G2" s="2" t="inlineStr">
        <is>
          <t>Nutzer, Wartungspersonal, Betreiber</t>
        </is>
      </c>
      <c r="H2" s="2" t="inlineStr">
        <is>
          <t>2.1 Ist die Aufzugssteuerung (Steuerschrank, Bedien-/Serviceeinheit) für Unbefugte frei zugänglich? [Auslöser · Pflicht]
2.4 Sind die Service- und Programmierschnittstellen (Serviceanschluss, USB, Speicherkarte, Diagnosestecker) gegen unbefugte Nutzung gesichert (verschlossene Abdeckung, Freigabe nur mit Schlüssel/Code)? [Auslöser · Pflicht]</t>
        </is>
      </c>
      <c r="I2" s="2" t="inlineStr">
        <is>
          <t>TRBS 1115 Teil 1 4.5.2 Zugangskontrolle; EK-ZÜS BA-017; BetrSichV § 3 Abs. 1</t>
        </is>
      </c>
      <c r="J2" s="2" t="inlineStr">
        <is>
          <t>K-C12</t>
        </is>
      </c>
      <c r="K2" s="2" t="n">
        <v>4</v>
      </c>
    </row>
    <row r="3">
      <c r="A3" s="4" t="inlineStr">
        <is>
          <t>CY-Z04</t>
        </is>
      </c>
      <c r="B3" s="4" t="inlineStr">
        <is>
          <t>Unzureichende logische Zugangskontrolle (Werkszugangsdaten, fehlende Rollen)</t>
        </is>
      </c>
      <c r="C3" s="4" t="inlineStr">
        <is>
          <t>Zugang und Zugriff</t>
        </is>
      </c>
      <c r="D3" s="4" t="inlineStr">
        <is>
          <t>Z – Zugang und Zugriff</t>
        </is>
      </c>
      <c r="E3" s="4" t="inlineStr">
        <is>
          <t>NONE</t>
        </is>
      </c>
      <c r="F3" s="4" t="inlineStr">
        <is>
          <t>Gefährdung durch unbefugten Zugang zu sicherheitsrelevanten Einrichtungen</t>
        </is>
      </c>
      <c r="G3" s="4" t="inlineStr">
        <is>
          <t>Nutzer, Wartungspersonal, Betreiber</t>
        </is>
      </c>
      <c r="H3" s="4" t="inlineStr">
        <is>
          <t>2.5 Werden Standard-/Werkszugangsdaten (Passwörter, PINs, Servicecodes) verwendet? [Auslöser · Pflicht]
2.5a Sind dem Betreiber die Zugangsdaten der Anlage bekannt und liegen sie gesichert vor (Übergabe durch Hersteller/Wartungsfirma dokumentiert)? [Auslöser · Pflicht]
2.6 Sind Zugriffsrechte rollenbasiert vergeben (Betreiber, Wartungsfirma, Hersteller) und werden sie bei Personal- oder Firmenwechsel entzogen? [Auslöser · Pflicht]
1.5 Anlage mit Netzwerk- oder Internetanbindung (Fernüberwachung, Fernwartung, Gateway/Router/Modem, Gebäudeleittechnik)? [Modifier · Pflicht]</t>
        </is>
      </c>
      <c r="I3" s="4" t="inlineStr">
        <is>
          <t>TRBS 1115 Teil 1 4.5.2 Zugangskontrolle (Software); DEKRA Ausfüllhilfe Cybersicherheit 09/2024 Schritt 3</t>
        </is>
      </c>
      <c r="J3" s="4" t="inlineStr">
        <is>
          <t>K-C13</t>
        </is>
      </c>
      <c r="K3" s="4" t="n">
        <v>5</v>
      </c>
    </row>
    <row r="4">
      <c r="A4" s="2" t="inlineStr">
        <is>
          <t>CY-Z05</t>
        </is>
      </c>
      <c r="B4" s="2" t="inlineStr">
        <is>
          <t>Ungeregelte Servicegeräte und Wechseldatenträger</t>
        </is>
      </c>
      <c r="C4" s="2" t="inlineStr">
        <is>
          <t>Härtung und Servicegeräte</t>
        </is>
      </c>
      <c r="D4" s="2" t="inlineStr">
        <is>
          <t>Z – Zugang und Zugriff</t>
        </is>
      </c>
      <c r="E4" s="2" t="inlineStr">
        <is>
          <t>NONE</t>
        </is>
      </c>
      <c r="F4" s="2" t="inlineStr">
        <is>
          <t>Gefährdung durch Manipulation sicherheitsrelevanter Steuerungsfunktionen</t>
        </is>
      </c>
      <c r="G4" s="2" t="inlineStr">
        <is>
          <t>Nutzer, Wartungspersonal</t>
        </is>
      </c>
      <c r="H4" s="2" t="inlineStr">
        <is>
          <t>2.7 Ist geregelt, welche Servicegeräte, Laptops und Wechseldatenträger an die Anlage angeschlossen werden dürfen (nur freigegebene, geprüfte Geräte; kein privater Datenträger)? [Auslöser · Pflicht]</t>
        </is>
      </c>
      <c r="I4" s="2" t="inlineStr">
        <is>
          <t>TRBS 1115 Teil 1 4.5.2 Härtung; EK-ZÜS BA-017</t>
        </is>
      </c>
      <c r="J4" s="2" t="inlineStr"/>
      <c r="K4" s="2" t="n">
        <v>2</v>
      </c>
    </row>
    <row r="5">
      <c r="A5" s="4" t="inlineStr">
        <is>
          <t>CY-N01</t>
        </is>
      </c>
      <c r="B5" s="4" t="inlineStr">
        <is>
          <t>Unbekannte oder ungepatchte Schwachstellen (Softwarestand)</t>
        </is>
      </c>
      <c r="C5" s="4" t="inlineStr">
        <is>
          <t>Härtung und Servicegeräte</t>
        </is>
      </c>
      <c r="D5" s="4" t="inlineStr">
        <is>
          <t>N – Netz, Fernzugriff und Härtung</t>
        </is>
      </c>
      <c r="E5" s="4" t="inlineStr">
        <is>
          <t>NONE</t>
        </is>
      </c>
      <c r="F5" s="4" t="inlineStr">
        <is>
          <t>Gefährdung durch Manipulation sicherheitsrelevanter Steuerungsfunktionen</t>
        </is>
      </c>
      <c r="G5" s="4" t="inlineStr">
        <is>
          <t>Nutzer, Wartungspersonal, Betreiber</t>
        </is>
      </c>
      <c r="H5" s="4" t="inlineStr">
        <is>
          <t>4.5 Software-/Firmwarestand und bekannte Schwachstellen [Auslöser · Pflicht]
1.5 Anlage mit Netzwerk- oder Internetanbindung (Fernüberwachung, Fernwartung, Gateway/Router/Modem, Gebäudeleittechnik)? [Modifier · Pflicht]</t>
        </is>
      </c>
      <c r="I5" s="4" t="inlineStr">
        <is>
          <t>TRBS 1115 Teil 1 3.3 Stand der Technik; EK-ZÜS B-002 rev. 5 Anhang 2 Nr. 5, 10</t>
        </is>
      </c>
      <c r="J5" s="4" t="inlineStr">
        <is>
          <t>K-C14</t>
        </is>
      </c>
      <c r="K5" s="4" t="n">
        <v>5</v>
      </c>
    </row>
    <row r="6">
      <c r="A6" s="2" t="inlineStr">
        <is>
          <t>CY-N02</t>
        </is>
      </c>
      <c r="B6" s="2" t="inlineStr">
        <is>
          <t>Fehlende Härtung: nicht benötigte Funktionen und Schnittstellen aktiv</t>
        </is>
      </c>
      <c r="C6" s="2" t="inlineStr">
        <is>
          <t>Härtung und Servicegeräte</t>
        </is>
      </c>
      <c r="D6" s="2" t="inlineStr">
        <is>
          <t>N – Netz, Fernzugriff und Härtung</t>
        </is>
      </c>
      <c r="E6" s="2" t="inlineStr">
        <is>
          <t>NONE</t>
        </is>
      </c>
      <c r="F6" s="2" t="inlineStr">
        <is>
          <t>Gefährdung durch Manipulation sicherheitsrelevanter Steuerungsfunktionen</t>
        </is>
      </c>
      <c r="G6" s="2" t="inlineStr">
        <is>
          <t>Nutzer, Wartungspersonal</t>
        </is>
      </c>
      <c r="H6" s="2" t="inlineStr">
        <is>
          <t>4.6 Sind nicht benötigte Funktionen, Ports, Dienste und Schnittstellen deaktiviert (Funktionsreduzierung)? [Auslöser · Pflicht]
1.5 Anlage mit Netzwerk- oder Internetanbindung (Fernüberwachung, Fernwartung, Gateway/Router/Modem, Gebäudeleittechnik)? [Modifier · Pflicht]</t>
        </is>
      </c>
      <c r="I6" s="2" t="inlineStr">
        <is>
          <t>TRBS 1115 Teil 1 4.5.2 Funktionsreduzierung; DEKRA Ausfüllhilfe Cybersicherheit 09/2024 Schritt 3</t>
        </is>
      </c>
      <c r="J6" s="2" t="inlineStr">
        <is>
          <t>K-C22</t>
        </is>
      </c>
      <c r="K6" s="2" t="n">
        <v>3</v>
      </c>
    </row>
    <row r="7">
      <c r="A7" s="4" t="inlineStr">
        <is>
          <t>CY-C01</t>
        </is>
      </c>
      <c r="B7" s="4" t="inlineStr">
        <is>
          <t>Manipulation oder Ausfall: Aufzugssteuerung</t>
        </is>
      </c>
      <c r="C7" s="4" t="inlineStr">
        <is>
          <t>Steuerung und Sicherheitslogik</t>
        </is>
      </c>
      <c r="D7" s="4" t="inlineStr">
        <is>
          <t>C – Komponenten und Schnittstellen</t>
        </is>
      </c>
      <c r="E7" s="4" t="inlineStr">
        <is>
          <t>NONE</t>
        </is>
      </c>
      <c r="F7" s="4" t="inlineStr">
        <is>
          <t>Gefährdung durch Manipulation sicherheitsrelevanter Steuerungsfunktionen</t>
        </is>
      </c>
      <c r="G7" s="4" t="inlineStr">
        <is>
          <t>Nutzer, Wartungspersonal</t>
        </is>
      </c>
      <c r="H7" s="4" t="inlineStr">
        <is>
          <t>1.3 Art der Aufzugssteuerung [Filter]
3.1.2 Höchste vorhandene Schnittstellenkategorie der Komponente „Aufzugssteuerung" [Auslöser · Pflicht]
3.1.3 Schutzmaßnahmen nach TRBS 1115-1 für „Aufzugssteuerung" [Auslöser · bedingt Pflicht]
3.1.4 Bleibt der Sicherheitskreis (Türkontakte, Endschalter, Fang-/Begrenzerkontakte) bei Manipulation der Steuerung durch eine unabhängige elektromechanische Kette wirksam? [Kompensation · bedingt Pflicht]
2.1 Ist die Aufzugssteuerung (Steuerschrank, Bedien-/Serviceeinheit) für Unbefugte frei zugänglich? [Modifier · Pflicht]
2.2 Ist der Triebwerks-/Maschinenraum für Unbefugte frei zugänglich? [Modifier · bedingt Pflicht]
2.3 Ist der Aufzugsschacht für Unbefugte frei zugänglich (Grubenzugang, Schachttür ohne Notentriegelungsschutz, offene Wartungsklappe)? [Modifier · Pflicht]
1.4 Triebwerks-/Maschinenraum vorhanden? [Dokumentation · Pflicht]</t>
        </is>
      </c>
      <c r="I7" s="4" t="inlineStr">
        <is>
          <t>DIN EN 81-20 5.11; EK-ZÜS BA-017 Beispiel Steuerung; TRBS 1115 Teil 1 4.5.2; EK-ZÜS BA-017</t>
        </is>
      </c>
      <c r="J7" s="4" t="inlineStr">
        <is>
          <t>K-C01, K-C02, K-C03, K-C04, K-C05, K-C06, K-C08, K-C21</t>
        </is>
      </c>
      <c r="K7" s="4" t="n">
        <v>13</v>
      </c>
    </row>
    <row r="8">
      <c r="A8" s="2" t="inlineStr">
        <is>
          <t>CY-C02</t>
        </is>
      </c>
      <c r="B8" s="2" t="inlineStr">
        <is>
          <t>Manipulation oder Ausfall: PESSRAL (programmierbare Sicherheitsschaltung)</t>
        </is>
      </c>
      <c r="C8" s="2" t="inlineStr">
        <is>
          <t>Steuerung und Sicherheitslogik</t>
        </is>
      </c>
      <c r="D8" s="2" t="inlineStr">
        <is>
          <t>C – Komponenten und Schnittstellen</t>
        </is>
      </c>
      <c r="E8" s="2" t="inlineStr">
        <is>
          <t>NONE</t>
        </is>
      </c>
      <c r="F8" s="2" t="inlineStr">
        <is>
          <t>Gefährdung durch Manipulation sicherheitsrelevanter Steuerungsfunktionen</t>
        </is>
      </c>
      <c r="G8" s="2" t="inlineStr">
        <is>
          <t>Nutzer, Wartungspersonal</t>
        </is>
      </c>
      <c r="H8" s="2" t="inlineStr">
        <is>
          <t>3.2.1 PESSRAL / programmierbare Sicherheitsschaltung vorhanden? [Filter · Pflicht]
3.2.2 Höchste vorhandene Schnittstellenkategorie der Komponente „PESSRAL (programmierbare Sicherheitsschaltung)" [Auslöser · Pflicht]
3.2.3 Schutzmaßnahmen nach TRBS 1115-1 für „PESSRAL (programmierbare Sicherheitsschaltung)" [Auslöser · bedingt Pflicht]
2.1 Ist die Aufzugssteuerung (Steuerschrank, Bedien-/Serviceeinheit) für Unbefugte frei zugänglich? [Modifier · Pflicht]
2.2 Ist der Triebwerks-/Maschinenraum für Unbefugte frei zugänglich? [Modifier · bedingt Pflicht]
2.3 Ist der Aufzugsschacht für Unbefugte frei zugänglich (Grubenzugang, Schachttür ohne Notentriegelungsschutz, offene Wartungsklappe)? [Modifier · Pflicht]</t>
        </is>
      </c>
      <c r="I8" s="2" t="inlineStr">
        <is>
          <t>DIN EN 81-20 5.11.2.6; DIN EN 81-50 5.6; TRBS 1115 Teil 1 4.5.2; EK-ZÜS BA-017</t>
        </is>
      </c>
      <c r="J8" s="2" t="inlineStr">
        <is>
          <t>K-C01, K-C02, K-C05, K-C06</t>
        </is>
      </c>
      <c r="K8" s="2" t="n">
        <v>11</v>
      </c>
    </row>
    <row r="9">
      <c r="A9" s="4" t="inlineStr">
        <is>
          <t>CY-C03</t>
        </is>
      </c>
      <c r="B9" s="4" t="inlineStr">
        <is>
          <t>Manipulation oder Ausfall: Frequenzumrichter</t>
        </is>
      </c>
      <c r="C9" s="4" t="inlineStr">
        <is>
          <t>Antrieb und Türen</t>
        </is>
      </c>
      <c r="D9" s="4" t="inlineStr">
        <is>
          <t>C – Komponenten und Schnittstellen</t>
        </is>
      </c>
      <c r="E9" s="4" t="inlineStr">
        <is>
          <t>NONE</t>
        </is>
      </c>
      <c r="F9" s="4" t="inlineStr">
        <is>
          <t>Gefährdung durch Manipulation sicherheitsrelevanter Steuerungsfunktionen</t>
        </is>
      </c>
      <c r="G9" s="4" t="inlineStr">
        <is>
          <t>Nutzer, Wartungspersonal</t>
        </is>
      </c>
      <c r="H9" s="4" t="inlineStr">
        <is>
          <t>3.3.1 Frequenzumrichter (geregelter Antrieb) vorhanden? [Filter · Pflicht]
3.3.2 Höchste vorhandene Schnittstellenkategorie der Komponente „Frequenzumrichter" [Auslöser · Pflicht]
3.3.3 Schutzmaßnahmen nach TRBS 1115-1 für „Frequenzumrichter" [Auslöser · bedingt Pflicht]
3.3.4 Wirkt bei Manipulation des Umrichters eine unabhängige Sicherheitskette (STO/sicher abgeschaltetes Moment, Bremse und Geschwindigkeitsbegrenzer unabhängig vom Umrichter)? [Kompensation · bedingt Pflicht]
2.1 Ist die Aufzugssteuerung (Steuerschrank, Bedien-/Serviceeinheit) für Unbefugte frei zugänglich? [Modifier · Pflicht]
2.2 Ist der Triebwerks-/Maschinenraum für Unbefugte frei zugänglich? [Modifier · bedingt Pflicht]
2.3 Ist der Aufzugsschacht für Unbefugte frei zugänglich (Grubenzugang, Schachttür ohne Notentriegelungsschutz, offene Wartungsklappe)? [Modifier · Pflicht]</t>
        </is>
      </c>
      <c r="I9" s="4" t="inlineStr">
        <is>
          <t>DIN EN 81-20 5.9; TRBS 1115 Teil 1 4.5.2; EK-ZÜS BA-017</t>
        </is>
      </c>
      <c r="J9" s="4" t="inlineStr">
        <is>
          <t>K-C01, K-C02, K-C05, K-C06, K-C07</t>
        </is>
      </c>
      <c r="K9" s="4" t="n">
        <v>13</v>
      </c>
    </row>
    <row r="10">
      <c r="A10" s="2" t="inlineStr">
        <is>
          <t>CY-C04</t>
        </is>
      </c>
      <c r="B10" s="2" t="inlineStr">
        <is>
          <t>Manipulation oder Ausfall: Notrufsystem (Zwei-Wege-Kommunikation)</t>
        </is>
      </c>
      <c r="C10" s="2" t="inlineStr">
        <is>
          <t>Notruf und Kommunikation</t>
        </is>
      </c>
      <c r="D10" s="2" t="inlineStr">
        <is>
          <t>C – Komponenten und Schnittstellen</t>
        </is>
      </c>
      <c r="E10" s="2" t="inlineStr">
        <is>
          <t>NONE</t>
        </is>
      </c>
      <c r="F10" s="2" t="inlineStr">
        <is>
          <t>Sonstige Gefährdung durch Ausfall der Notrufverbindung (Personeneinschluss)</t>
        </is>
      </c>
      <c r="G10" s="2" t="inlineStr">
        <is>
          <t>Nutzer</t>
        </is>
      </c>
      <c r="H10" s="2" t="inlineStr">
        <is>
          <t>3.4.1 Notrufsystem mit digitaler Komponente (Mobilfunk/IP, programmierbares Notrufgerät) vorhanden? [Filter · Pflicht]
3.4.2 Höchste vorhandene Schnittstellenkategorie der Komponente „Notrufsystem (Zwei-Wege-Kommunikation)" [Auslöser · Pflicht]
3.4.3 Schutzmaßnahmen nach TRBS 1115-1 für „Notrufsystem (Zwei-Wege-Kommunikation)" [Auslöser · bedingt Pflicht]
3.4.4 Automatischer Testruf mit Ausfallmeldung an die Notrufzentrale (EN 81-28) vorhanden und wirksam? [Kompensation · bedingt Pflicht]
2.1 Ist die Aufzugssteuerung (Steuerschrank, Bedien-/Serviceeinheit) für Unbefugte frei zugänglich? [Modifier · Pflicht]
2.2 Ist der Triebwerks-/Maschinenraum für Unbefugte frei zugänglich? [Modifier · bedingt Pflicht]
2.3 Ist der Aufzugsschacht für Unbefugte frei zugänglich (Grubenzugang, Schachttür ohne Notentriegelungsschutz, offene Wartungsklappe)? [Modifier · Pflicht]</t>
        </is>
      </c>
      <c r="I10" s="2" t="inlineStr">
        <is>
          <t>DIN EN 81-28 4.2; EK-ZÜS BA-017 Beispiel Notruf; TRBS 1115 Teil 1 4.5.2; EK-ZÜS BA-017</t>
        </is>
      </c>
      <c r="J10" s="2" t="inlineStr">
        <is>
          <t>K-C01, K-C02, K-C05, K-C06, K-C08, K-C09</t>
        </is>
      </c>
      <c r="K10" s="2" t="n">
        <v>13</v>
      </c>
    </row>
    <row r="11">
      <c r="A11" s="4" t="inlineStr">
        <is>
          <t>CY-C05</t>
        </is>
      </c>
      <c r="B11" s="4" t="inlineStr">
        <is>
          <t>Manipulation oder Ausfall: Schachtkopierung / Positionierung</t>
        </is>
      </c>
      <c r="C11" s="4" t="inlineStr">
        <is>
          <t>Steuerung und Sicherheitslogik</t>
        </is>
      </c>
      <c r="D11" s="4" t="inlineStr">
        <is>
          <t>C – Komponenten und Schnittstellen</t>
        </is>
      </c>
      <c r="E11" s="4" t="inlineStr">
        <is>
          <t>NONE</t>
        </is>
      </c>
      <c r="F11" s="4" t="inlineStr">
        <is>
          <t>Gefährdung durch Manipulation sicherheitsrelevanter Steuerungsfunktionen</t>
        </is>
      </c>
      <c r="G11" s="4" t="inlineStr">
        <is>
          <t>Nutzer</t>
        </is>
      </c>
      <c r="H11" s="4" t="inlineStr">
        <is>
          <t>3.5.1 Digitale Schachtkopierung / Absolutwertgeber vorhanden? [Filter · Pflicht]
3.5.2 Höchste vorhandene Schnittstellenkategorie der Komponente „Schachtkopierung / Positionierung" [Auslöser · Pflicht]
3.5.3 Schutzmaßnahmen nach TRBS 1115-1 für „Schachtkopierung / Positionierung" [Auslöser · bedingt Pflicht]
3.5.4 Bleiben Bündigkeit und Endlagen bei Manipulation der Kopierung durch unabhängige Schalter/Endschalter gesichert? [Kompensation · bedingt Pflicht]
2.1 Ist die Aufzugssteuerung (Steuerschrank, Bedien-/Serviceeinheit) für Unbefugte frei zugänglich? [Modifier · Pflicht]
2.2 Ist der Triebwerks-/Maschinenraum für Unbefugte frei zugänglich? [Modifier · bedingt Pflicht]
2.3 Ist der Aufzugsschacht für Unbefugte frei zugänglich (Grubenzugang, Schachttür ohne Notentriegelungsschutz, offene Wartungsklappe)? [Modifier · Pflicht]</t>
        </is>
      </c>
      <c r="I11" s="4" t="inlineStr">
        <is>
          <t>DIN EN 81-20 5.12.1; TRBS 1115 Teil 1 4.5.2; EK-ZÜS BA-017</t>
        </is>
      </c>
      <c r="J11" s="4" t="inlineStr">
        <is>
          <t>K-C01, K-C02, K-C05, K-C06, K-C08</t>
        </is>
      </c>
      <c r="K11" s="4" t="n">
        <v>13</v>
      </c>
    </row>
    <row r="12">
      <c r="A12" s="2" t="inlineStr">
        <is>
          <t>CY-C06</t>
        </is>
      </c>
      <c r="B12" s="2" t="inlineStr">
        <is>
          <t>Manipulation oder Ausfall: Türsteuerung</t>
        </is>
      </c>
      <c r="C12" s="2" t="inlineStr">
        <is>
          <t>Antrieb und Türen</t>
        </is>
      </c>
      <c r="D12" s="2" t="inlineStr">
        <is>
          <t>C – Komponenten und Schnittstellen</t>
        </is>
      </c>
      <c r="E12" s="2" t="inlineStr">
        <is>
          <t>NONE</t>
        </is>
      </c>
      <c r="F12" s="2" t="inlineStr">
        <is>
          <t>Gefährdung durch Manipulation sicherheitsrelevanter Steuerungsfunktionen</t>
        </is>
      </c>
      <c r="G12" s="2" t="inlineStr">
        <is>
          <t>Nutzer</t>
        </is>
      </c>
      <c r="H12" s="2" t="inlineStr">
        <is>
          <t>3.6.1 Programmierbare Türsteuerung / Türantrieb mit Parametrierzugang vorhanden? [Filter · Pflicht]
3.6.2 Höchste vorhandene Schnittstellenkategorie der Komponente „Türsteuerung" [Auslöser · Pflicht]
3.6.3 Schutzmaßnahmen nach TRBS 1115-1 für „Türsteuerung" [Auslöser · bedingt Pflicht]
3.6.4 Wirkt die Schließkraftbegrenzung/Reversierung unabhängig von der programmierbaren Türsteuerung (mechanisch oder separates Gerät)? [Kompensation · bedingt Pflicht]
2.1 Ist die Aufzugssteuerung (Steuerschrank, Bedien-/Serviceeinheit) für Unbefugte frei zugänglich? [Modifier · Pflicht]
2.2 Ist der Triebwerks-/Maschinenraum für Unbefugte frei zugänglich? [Modifier · bedingt Pflicht]
2.3 Ist der Aufzugsschacht für Unbefugte frei zugänglich (Grubenzugang, Schachttür ohne Notentriegelungsschutz, offene Wartungsklappe)? [Modifier · Pflicht]</t>
        </is>
      </c>
      <c r="I12" s="2" t="inlineStr">
        <is>
          <t>DIN EN 81-20 5.3.6; TRBS 1115 Teil 1 4.5.2; EK-ZÜS BA-017</t>
        </is>
      </c>
      <c r="J12" s="2" t="inlineStr">
        <is>
          <t>K-C01, K-C02, K-C05, K-C06, K-C08</t>
        </is>
      </c>
      <c r="K12" s="2" t="n">
        <v>13</v>
      </c>
    </row>
    <row r="13">
      <c r="A13" s="4" t="inlineStr">
        <is>
          <t>CY-C07</t>
        </is>
      </c>
      <c r="B13" s="4" t="inlineStr">
        <is>
          <t>Manipulation oder Ausfall: UCM-Erkennung</t>
        </is>
      </c>
      <c r="C13" s="4" t="inlineStr">
        <is>
          <t>Steuerung und Sicherheitslogik</t>
        </is>
      </c>
      <c r="D13" s="4" t="inlineStr">
        <is>
          <t>C – Komponenten und Schnittstellen</t>
        </is>
      </c>
      <c r="E13" s="4" t="inlineStr">
        <is>
          <t>NONE</t>
        </is>
      </c>
      <c r="F13" s="4" t="inlineStr">
        <is>
          <t>Gefährdung durch Manipulation sicherheitsrelevanter Steuerungsfunktionen</t>
        </is>
      </c>
      <c r="G13" s="4" t="inlineStr">
        <is>
          <t>Nutzer</t>
        </is>
      </c>
      <c r="H13" s="4" t="inlineStr">
        <is>
          <t>3.7.1 UCM-Erkennung (Schutz gegen unbeabsichtigte Bewegung) mit programmierbarer Komponente vorhanden? [Filter · Pflicht]
3.7.2 Höchste vorhandene Schnittstellenkategorie der Komponente „UCM-Erkennung" [Auslöser · Pflicht]
3.7.3 Schutzmaßnahmen nach TRBS 1115-1 für „UCM-Erkennung" [Auslöser · bedingt Pflicht]
3.7.4 Wirkt das UCM-Bremselement (Bremse/Fangvorrichtung) über eine unabhängige, nicht programmierbare Auslösung? [Kompensation · bedingt Pflicht]
2.1 Ist die Aufzugssteuerung (Steuerschrank, Bedien-/Serviceeinheit) für Unbefugte frei zugänglich? [Modifier · Pflicht]
2.2 Ist der Triebwerks-/Maschinenraum für Unbefugte frei zugänglich? [Modifier · bedingt Pflicht]
2.3 Ist der Aufzugsschacht für Unbefugte frei zugänglich (Grubenzugang, Schachttür ohne Notentriegelungsschutz, offene Wartungsklappe)? [Modifier · Pflicht]</t>
        </is>
      </c>
      <c r="I13" s="4" t="inlineStr">
        <is>
          <t>DIN EN 81-20 5.6.7; TRBS 1115 Teil 1 4.5.2; EK-ZÜS BA-017</t>
        </is>
      </c>
      <c r="J13" s="4" t="inlineStr">
        <is>
          <t>K-C01, K-C02, K-C05, K-C06, K-C08</t>
        </is>
      </c>
      <c r="K13" s="4" t="n">
        <v>13</v>
      </c>
    </row>
    <row r="14">
      <c r="A14" s="2" t="inlineStr">
        <is>
          <t>CY-C08</t>
        </is>
      </c>
      <c r="B14" s="2" t="inlineStr">
        <is>
          <t>Manipulation oder Ausfall: SAFÜ (Schutz gegen Übergeschwindigkeit)</t>
        </is>
      </c>
      <c r="C14" s="2" t="inlineStr">
        <is>
          <t>Steuerung und Sicherheitslogik</t>
        </is>
      </c>
      <c r="D14" s="2" t="inlineStr">
        <is>
          <t>C – Komponenten und Schnittstellen</t>
        </is>
      </c>
      <c r="E14" s="2" t="inlineStr">
        <is>
          <t>NONE</t>
        </is>
      </c>
      <c r="F14" s="2" t="inlineStr">
        <is>
          <t>Gefährdung durch Manipulation sicherheitsrelevanter Steuerungsfunktionen</t>
        </is>
      </c>
      <c r="G14" s="2" t="inlineStr">
        <is>
          <t>Nutzer</t>
        </is>
      </c>
      <c r="H14" s="2" t="inlineStr">
        <is>
          <t>3.8.1 Elektronischer Geschwindigkeitsbegrenzer / SAFÜ mit programmierbarer Komponente vorhanden? [Filter · Pflicht]
3.8.2 Höchste vorhandene Schnittstellenkategorie der Komponente „SAFÜ (Schutz gegen Übergeschwindigkeit)" [Auslöser · Pflicht]
3.8.3 Schutzmaßnahmen nach TRBS 1115-1 für „SAFÜ (Schutz gegen Übergeschwindigkeit)" [Auslöser · bedingt Pflicht]
3.8.4 Bleibt die Fangvorrichtung bei Manipulation der elektronischen Überwachung durch einen mechanischen Begrenzer auslösbar? [Kompensation · bedingt Pflicht]
2.1 Ist die Aufzugssteuerung (Steuerschrank, Bedien-/Serviceeinheit) für Unbefugte frei zugänglich? [Modifier · Pflicht]
2.2 Ist der Triebwerks-/Maschinenraum für Unbefugte frei zugänglich? [Modifier · bedingt Pflicht]
2.3 Ist der Aufzugsschacht für Unbefugte frei zugänglich (Grubenzugang, Schachttür ohne Notentriegelungsschutz, offene Wartungsklappe)? [Modifier · Pflicht]</t>
        </is>
      </c>
      <c r="I14" s="2" t="inlineStr">
        <is>
          <t>DIN EN 81-20 5.6.2; TRBS 1115 Teil 1 4.5.2; EK-ZÜS BA-017</t>
        </is>
      </c>
      <c r="J14" s="2" t="inlineStr">
        <is>
          <t>K-C01, K-C02, K-C05, K-C06, K-C08</t>
        </is>
      </c>
      <c r="K14" s="2" t="n">
        <v>13</v>
      </c>
    </row>
    <row r="15">
      <c r="A15" s="4" t="inlineStr">
        <is>
          <t>CY-C09</t>
        </is>
      </c>
      <c r="B15" s="4" t="inlineStr">
        <is>
          <t>Manipulation oder Ausfall: Tragmittelüberwachung</t>
        </is>
      </c>
      <c r="C15" s="4" t="inlineStr">
        <is>
          <t>Steuerung und Sicherheitslogik</t>
        </is>
      </c>
      <c r="D15" s="4" t="inlineStr">
        <is>
          <t>C – Komponenten und Schnittstellen</t>
        </is>
      </c>
      <c r="E15" s="4" t="inlineStr">
        <is>
          <t>NONE</t>
        </is>
      </c>
      <c r="F15" s="4" t="inlineStr">
        <is>
          <t>Gefährdung durch Ausfall oder Fehlfunktion sicherheitsrelevanter Einrichtungen (Cybervorfall)</t>
        </is>
      </c>
      <c r="G15" s="4" t="inlineStr">
        <is>
          <t>Nutzer, Wartungspersonal</t>
        </is>
      </c>
      <c r="H15" s="4" t="inlineStr">
        <is>
          <t>3.9.1 Elektronische Tragmittelüberwachung (z. B. Riemenüberwachung) vorhanden? [Filter · Pflicht]
3.9.2 Höchste vorhandene Schnittstellenkategorie der Komponente „Tragmittelüberwachung" [Auslöser · Pflicht]
3.9.3 Schutzmaßnahmen nach TRBS 1115-1 für „Tragmittelüberwachung" [Auslöser · bedingt Pflicht]
3.9.4 Wird der Tragmittelzustand zusätzlich unabhängig geprüft (Sichtprüfung nach Wartungsplan, Ablegereife)? [Kompensation · bedingt Pflicht]
2.1 Ist die Aufzugssteuerung (Steuerschrank, Bedien-/Serviceeinheit) für Unbefugte frei zugänglich? [Modifier · Pflicht]
2.2 Ist der Triebwerks-/Maschinenraum für Unbefugte frei zugänglich? [Modifier · bedingt Pflicht]
2.3 Ist der Aufzugsschacht für Unbefugte frei zugänglich (Grubenzugang, Schachttür ohne Notentriegelungsschutz, offene Wartungsklappe)? [Modifier · Pflicht]</t>
        </is>
      </c>
      <c r="I15" s="4" t="inlineStr">
        <is>
          <t>DIN EN 81-20 5.5.5; TRBS 1115 Teil 1 4.5.2; EK-ZÜS BA-017</t>
        </is>
      </c>
      <c r="J15" s="4" t="inlineStr">
        <is>
          <t>K-C01, K-C02, K-C05, K-C06, K-C08</t>
        </is>
      </c>
      <c r="K15" s="4" t="n">
        <v>13</v>
      </c>
    </row>
    <row r="16">
      <c r="A16" s="2" t="inlineStr">
        <is>
          <t>CY-C10</t>
        </is>
      </c>
      <c r="B16" s="2" t="inlineStr">
        <is>
          <t>Manipulation oder Ausfall: Hydraulischer Steuerblock</t>
        </is>
      </c>
      <c r="C16" s="2" t="inlineStr">
        <is>
          <t>Antrieb und Türen</t>
        </is>
      </c>
      <c r="D16" s="2" t="inlineStr">
        <is>
          <t>C – Komponenten und Schnittstellen</t>
        </is>
      </c>
      <c r="E16" s="2" t="inlineStr">
        <is>
          <t>NONE</t>
        </is>
      </c>
      <c r="F16" s="2" t="inlineStr">
        <is>
          <t>Gefährdung durch Manipulation sicherheitsrelevanter Steuerungsfunktionen</t>
        </is>
      </c>
      <c r="G16" s="2" t="inlineStr">
        <is>
          <t>Nutzer</t>
        </is>
      </c>
      <c r="H16" s="2" t="inlineStr">
        <is>
          <t>1.1 Aufzugsart [Filter]
3.10.1 Elektronisch geregelter Hydraulik-Steuerblock vorhanden? [Filter · Pflicht]
3.10.2 Höchste vorhandene Schnittstellenkategorie der Komponente „Hydraulischer Steuerblock" [Auslöser · Pflicht]
3.10.3 Schutzmaßnahmen nach TRBS 1115-1 für „Hydraulischer Steuerblock" [Auslöser · bedingt Pflicht]
3.10.4 Wirken Rohrbruchventil und Absinkschutz mechanisch/hydraulisch unabhängig von der Elektronik? [Kompensation · bedingt Pflicht]
2.1 Ist die Aufzugssteuerung (Steuerschrank, Bedien-/Serviceeinheit) für Unbefugte frei zugänglich? [Modifier · Pflicht]
2.2 Ist der Triebwerks-/Maschinenraum für Unbefugte frei zugänglich? [Modifier · bedingt Pflicht]
2.3 Ist der Aufzugsschacht für Unbefugte frei zugänglich (Grubenzugang, Schachttür ohne Notentriegelungsschutz, offene Wartungsklappe)? [Modifier · Pflicht]</t>
        </is>
      </c>
      <c r="I16" s="2" t="inlineStr">
        <is>
          <t>DIN EN 81-20 5.9.3; TRBS 1115 Teil 1 4.5.2; EK-ZÜS BA-017</t>
        </is>
      </c>
      <c r="J16" s="2" t="inlineStr">
        <is>
          <t>K-C01, K-C02, K-C05, K-C06, K-C08</t>
        </is>
      </c>
      <c r="K16" s="2" t="n">
        <v>13</v>
      </c>
    </row>
    <row r="17">
      <c r="A17" s="4" t="inlineStr">
        <is>
          <t>CY-C11</t>
        </is>
      </c>
      <c r="B17" s="4" t="inlineStr">
        <is>
          <t>Unbefugter Zugriff über die Fernüberwachung</t>
        </is>
      </c>
      <c r="C17" s="4" t="inlineStr">
        <is>
          <t>Netz, Fernzugriff und Fernwartung</t>
        </is>
      </c>
      <c r="D17" s="4" t="inlineStr">
        <is>
          <t>C – Komponenten und Schnittstellen</t>
        </is>
      </c>
      <c r="E17" s="4" t="inlineStr">
        <is>
          <t>NONE</t>
        </is>
      </c>
      <c r="F17" s="4" t="inlineStr">
        <is>
          <t>Gefährdung durch Manipulation sicherheitsrelevanter Steuerungsfunktionen</t>
        </is>
      </c>
      <c r="G17" s="4" t="inlineStr">
        <is>
          <t>Nutzer, Wartungspersonal, Betreiber</t>
        </is>
      </c>
      <c r="H17" s="4" t="inlineStr">
        <is>
          <t>1.5 Anlage mit Netzwerk- oder Internetanbindung (Fernüberwachung, Fernwartung, Gateway/Router/Modem, Gebäudeleittechnik)? [Filter · Pflicht]
3.11.1 Fernüberwachung (Zustandsmeldung, Störungsmeldung an Leitstelle/Hersteller) vorhanden? [Filter · Pflicht]
3.11.2 Ist die Fernüberwachung ausschließlich lesend (kein Schreib-, Steuer- oder Parametrierzugriff über diesen Kanal)? [Auslöser · bedingt Pflicht]
4.1 Ist das Aufzugsnetz vom Gebäude-/Büronetz und vom Internet getrennt (eigenes Segment, Firewall, keine direkte Erreichbarkeit der Steuerung von außen)? [Auslöser · bedingt Pflicht]
4.3 Ist der Fernzugriff individuell authentifiziert (personenbezogene Zugänge, Zwei-Faktor oder gleichwertig) und verschlüsselt? [Auslöser · bedingt Pflicht]
4.4 Werden Zugriffe auf die Anlage (vor Ort über Servicegeräte und per Fernzugriff) protokolliert und die Protokolle ausgewertet? [Auslöser · Pflicht]</t>
        </is>
      </c>
      <c r="I17" s="4" t="inlineStr">
        <is>
          <t>TRBS 1115 Teil 1 4.5.2 Segmentierung, Überwachung; DEKRA Ausfüllhilfe Cybersicherheit 09/2024 Schritt 3</t>
        </is>
      </c>
      <c r="J17" s="4" t="inlineStr">
        <is>
          <t>K-C01, K-C10</t>
        </is>
      </c>
      <c r="K17" s="4" t="n">
        <v>5</v>
      </c>
    </row>
    <row r="18">
      <c r="A18" s="2" t="inlineStr">
        <is>
          <t>CY-C12</t>
        </is>
      </c>
      <c r="B18" s="2" t="inlineStr">
        <is>
          <t>Unbefugter Fernzugriff über Remote-Service / Fernwartung</t>
        </is>
      </c>
      <c r="C18" s="2" t="inlineStr">
        <is>
          <t>Netz, Fernzugriff und Fernwartung</t>
        </is>
      </c>
      <c r="D18" s="2" t="inlineStr">
        <is>
          <t>C – Komponenten und Schnittstellen</t>
        </is>
      </c>
      <c r="E18" s="2" t="inlineStr">
        <is>
          <t>NONE</t>
        </is>
      </c>
      <c r="F18" s="2" t="inlineStr">
        <is>
          <t>Gefährdung durch Manipulation sicherheitsrelevanter Steuerungsfunktionen</t>
        </is>
      </c>
      <c r="G18" s="2" t="inlineStr">
        <is>
          <t>Nutzer, Wartungspersonal, Betreiber</t>
        </is>
      </c>
      <c r="H18" s="2" t="inlineStr">
        <is>
          <t>1.5 Anlage mit Netzwerk- oder Internetanbindung (Fernüberwachung, Fernwartung, Gateway/Router/Modem, Gebäudeleittechnik)? [Filter · Pflicht]
3.12.1 Remote-Service / Fernwartung (Hersteller-Fernzugriff, Service-App, VPN) vorhanden? [Filter · Pflicht]
4.1 Ist das Aufzugsnetz vom Gebäude-/Büronetz und vom Internet getrennt (eigenes Segment, Firewall, keine direkte Erreichbarkeit der Steuerung von außen)? [Auslöser · bedingt Pflicht]
4.2 Wird ein Fernzugriff nur nach Freigabe durch den Betreiber und nur für die Dauer des Bedarfs aktiviert? [Auslöser · bedingt Pflicht]
4.3 Ist der Fernzugriff individuell authentifiziert (personenbezogene Zugänge, Zwei-Faktor oder gleichwertig) und verschlüsselt? [Auslöser · bedingt Pflicht]
4.4 Werden Zugriffe auf die Anlage (vor Ort über Servicegeräte und per Fernzugriff) protokolliert und die Protokolle ausgewertet? [Auslöser · Pflicht]</t>
        </is>
      </c>
      <c r="I18" s="2" t="inlineStr">
        <is>
          <t>TRBS 1115 Teil 1 4.5.2 Zugangskontrolle, Segmentierung, Überwachung; DEKRA Ausfüllhilfe Cybersicherheit 09/2024 Schritt 3; EK-ZÜS BA-017</t>
        </is>
      </c>
      <c r="J18" s="2" t="inlineStr">
        <is>
          <t>K-C01, K-C23</t>
        </is>
      </c>
      <c r="K18" s="2" t="n">
        <v>7</v>
      </c>
    </row>
    <row r="19">
      <c r="A19" s="4" t="inlineStr">
        <is>
          <t>CY-C13</t>
        </is>
      </c>
      <c r="B19" s="4" t="inlineStr">
        <is>
          <t>Ungesichertes Gateway / Router / Modem als Einstieg in das Aufzugsnetz</t>
        </is>
      </c>
      <c r="C19" s="4" t="inlineStr">
        <is>
          <t>Netz, Fernzugriff und Fernwartung</t>
        </is>
      </c>
      <c r="D19" s="4" t="inlineStr">
        <is>
          <t>C – Komponenten und Schnittstellen</t>
        </is>
      </c>
      <c r="E19" s="4" t="inlineStr">
        <is>
          <t>NONE</t>
        </is>
      </c>
      <c r="F19" s="4" t="inlineStr">
        <is>
          <t>Gefährdung durch Manipulation sicherheitsrelevanter Steuerungsfunktionen</t>
        </is>
      </c>
      <c r="G19" s="4" t="inlineStr">
        <is>
          <t>Nutzer, Wartungspersonal, Betreiber</t>
        </is>
      </c>
      <c r="H19" s="4" t="inlineStr">
        <is>
          <t>1.5 Anlage mit Netzwerk- oder Internetanbindung (Fernüberwachung, Fernwartung, Gateway/Router/Modem, Gebäudeleittechnik)? [Filter · Pflicht]
3.13.1 Gateway / Router / Modem / WLAN- oder Service-Dongle an der Anlage vorhanden? [Filter · Pflicht]
3.13.2 Ist das Gateway mit Firewall/Netztrennung zur Aufzugssteuerung konfiguriert und sind nur benötigte Ports und Dienste freigegeben? [Auslöser · bedingt Pflicht]
3.13.3 Sind die Werkszugangsdaten des Gateways/Routers geändert und ist die Administration nur für Berechtigte erreichbar? [Auslöser · bedingt Pflicht]
3.13.4 Ist die Firmware des Gateways aktuell und ein Update-Verfahren geregelt? [Auslöser · bedingt Pflicht]</t>
        </is>
      </c>
      <c r="I19" s="4" t="inlineStr">
        <is>
          <t>TRBS 1115 Teil 1 4.5.2 Segmentierung, Härtung; DEKRA Ausfüllhilfe Cybersicherheit 09/2024 Schritt 3</t>
        </is>
      </c>
      <c r="J19" s="4" t="inlineStr">
        <is>
          <t>K-C01</t>
        </is>
      </c>
      <c r="K19" s="4" t="n">
        <v>5</v>
      </c>
    </row>
    <row r="20">
      <c r="A20" s="2" t="inlineStr">
        <is>
          <t>CY-C14</t>
        </is>
      </c>
      <c r="B20" s="2" t="inlineStr">
        <is>
          <t>Manipulierbare Gebäudeschnittstelle (Brandfallsteuerung, Entrauchung, Gebäudeleittechnik)</t>
        </is>
      </c>
      <c r="C20" s="2" t="inlineStr">
        <is>
          <t>Gebäudeschnittstelle</t>
        </is>
      </c>
      <c r="D20" s="2" t="inlineStr">
        <is>
          <t>C – Komponenten und Schnittstellen</t>
        </is>
      </c>
      <c r="E20" s="2" t="inlineStr">
        <is>
          <t>NONE</t>
        </is>
      </c>
      <c r="F20" s="2" t="inlineStr">
        <is>
          <t>Brand- und Explosionsgefährdung (Fehlverhalten im Brandfall)</t>
        </is>
      </c>
      <c r="G20" s="2" t="inlineStr">
        <is>
          <t>Nutzer, Feuerwehr</t>
        </is>
      </c>
      <c r="H20" s="2" t="inlineStr">
        <is>
          <t>1.6 Anbindung an bauseitige Systeme vorhanden (Brandmeldeanlage/Brandfallsteuerung, Entrauchung, Gebäudeleittechnik, Zutrittssystem)? [Filter · Pflicht]
3.14.1 Ist die Schnittstelle zu den bauseitigen Systemen rückwirkungsfrei (definierte Signale/potenzialfreie Kontakte; bauseitige Signale können Sicherheitsfunktionen des Aufzugs nicht außer Kraft setzen)? [Auslöser · bedingt Pflicht]
3.14.2 Nimmt der Aufzug bei Ausfall oder Manipulation des bauseitigen Signals (z. B. Brandfallsteuerung) einen sicheren Zustand ein (Brandfallfahrt in die Evakuierungshaltestelle, kein Weiterbetrieb)? [Auslöser · bedingt Pflicht]</t>
        </is>
      </c>
      <c r="I20" s="2" t="inlineStr">
        <is>
          <t>TRBS 1115 Teil 1 4.5.2 Rückwirkungsfreiheit; DIN EN 81-73 5.2; EK-ZÜS B-002 rev. 5 Anhang 2 Nr. 9</t>
        </is>
      </c>
      <c r="J20" s="2" t="inlineStr">
        <is>
          <t>K-C11</t>
        </is>
      </c>
      <c r="K20" s="2" t="n">
        <v>3</v>
      </c>
    </row>
    <row r="21">
      <c r="A21" s="4" t="inlineStr">
        <is>
          <t>CY-O01</t>
        </is>
      </c>
      <c r="B21" s="4" t="inlineStr">
        <is>
          <t>Fehlende Verantwortlichkeit und Fachkunde für die Cybersicherheit</t>
        </is>
      </c>
      <c r="C21" s="4" t="inlineStr">
        <is>
          <t>Organisation und Notfallmanagement</t>
        </is>
      </c>
      <c r="D21" s="4" t="inlineStr">
        <is>
          <t>O – Organisation, Notfall und Nachweise</t>
        </is>
      </c>
      <c r="E21" s="4" t="inlineStr">
        <is>
          <t>NONE</t>
        </is>
      </c>
      <c r="F21" s="4" t="inlineStr">
        <is>
          <t>Gefährdung durch organisatorische Mängel (Verantwortung, Fachkunde, Nachweise)</t>
        </is>
      </c>
      <c r="G21" s="4" t="inlineStr">
        <is>
          <t>Betreiber, Beauftragte Person, Wartungspersonal</t>
        </is>
      </c>
      <c r="H21" s="4" t="inlineStr">
        <is>
          <t>5.1 Ist eine verantwortliche Person des Betreibers für die Cybersicherheit der Anlage benannt und die Zuständigkeit der Wartungsfirma vertraglich geregelt? [Auslöser · Pflicht]
5.2 Wurden die Cyber-Schutzmaßnahmen durch fachkundige Personen festgelegt (TRBS 1115-1 Abschnitt 3.3.2)? [Auslöser · Pflicht]
1.2 Überwachungsbedürftige Anlage nach ÜAnlG (Personen- oder Lastenaufzug mit ZÜS-Prüfpflicht)? [Dokumentation · Pflicht]</t>
        </is>
      </c>
      <c r="I21" s="4" t="inlineStr">
        <is>
          <t>TRBS 1115 Teil 1 3.3.2; EK-ZÜS B-002 rev. 5 Anhang 2 Nr. 4; BetrSichV § 3 Abs. 3</t>
        </is>
      </c>
      <c r="J21" s="4" t="inlineStr"/>
      <c r="K21" s="4" t="n">
        <v>4</v>
      </c>
    </row>
    <row r="22">
      <c r="A22" s="2" t="inlineStr">
        <is>
          <t>CY-O02</t>
        </is>
      </c>
      <c r="B22" s="2" t="inlineStr">
        <is>
          <t>Herstellervorgaben zur Cybersicherheit nicht berücksichtigt</t>
        </is>
      </c>
      <c r="C22" s="2" t="inlineStr">
        <is>
          <t>Organisation und Notfallmanagement</t>
        </is>
      </c>
      <c r="D22" s="2" t="inlineStr">
        <is>
          <t>O – Organisation, Notfall und Nachweise</t>
        </is>
      </c>
      <c r="E22" s="2" t="inlineStr">
        <is>
          <t>NONE</t>
        </is>
      </c>
      <c r="F22" s="2" t="inlineStr">
        <is>
          <t>Gefährdung durch organisatorische Mängel (Verantwortung, Fachkunde, Nachweise)</t>
        </is>
      </c>
      <c r="G22" s="2" t="inlineStr">
        <is>
          <t>Betreiber, Wartungspersonal</t>
        </is>
      </c>
      <c r="H22" s="2" t="inlineStr">
        <is>
          <t>1.7 Vorgaben des Herstellers zur Cybersicherheit [Auslöser · Pflicht]</t>
        </is>
      </c>
      <c r="I22" s="2" t="inlineStr">
        <is>
          <t>EK-ZÜS B-002 rev. 5 Anhang 2 Nr. 7; TRBS 1115 Teil 1 3.3</t>
        </is>
      </c>
      <c r="J22" s="2" t="inlineStr">
        <is>
          <t>K-C25</t>
        </is>
      </c>
      <c r="K22" s="2" t="n">
        <v>3</v>
      </c>
    </row>
    <row r="23">
      <c r="A23" s="4" t="inlineStr">
        <is>
          <t>CY-O03</t>
        </is>
      </c>
      <c r="B23" s="4" t="inlineStr">
        <is>
          <t>Fehlendes Notfallmanagement für Cybervorfälle</t>
        </is>
      </c>
      <c r="C23" s="4" t="inlineStr">
        <is>
          <t>Organisation und Notfallmanagement</t>
        </is>
      </c>
      <c r="D23" s="4" t="inlineStr">
        <is>
          <t>O – Organisation, Notfall und Nachweise</t>
        </is>
      </c>
      <c r="E23" s="4" t="inlineStr">
        <is>
          <t>NONE</t>
        </is>
      </c>
      <c r="F23" s="4" t="inlineStr">
        <is>
          <t>Sonstige Gefährdung durch fehlende oder unzureichende Notfallorganisation</t>
        </is>
      </c>
      <c r="G23" s="4" t="inlineStr">
        <is>
          <t>Nutzer, Betreiber, Beauftragte Person</t>
        </is>
      </c>
      <c r="H23" s="4" t="inlineStr">
        <is>
          <t>5.3 Ist ein Notfallmanagement für Cybervorfälle festgelegt (Erkennen, Anlage in sicheren Zustand bringen/außer Betrieb nehmen, Meldung, Wiederinbetriebnahme erst nach Prüfung)? [Auslöser · Pflicht]
1.5 Anlage mit Netzwerk- oder Internetanbindung (Fernüberwachung, Fernwartung, Gateway/Router/Modem, Gebäudeleittechnik)? [Modifier · Pflicht]</t>
        </is>
      </c>
      <c r="I23" s="4" t="inlineStr">
        <is>
          <t>TRBS 1115 Teil 1 4.5.2 Notfallmanagement; DEKRA Ausfüllhilfe Cybersicherheit 09/2024 Schritt 3</t>
        </is>
      </c>
      <c r="J23" s="4" t="inlineStr">
        <is>
          <t>K-C15</t>
        </is>
      </c>
      <c r="K23" s="4" t="n">
        <v>3</v>
      </c>
    </row>
    <row r="24">
      <c r="A24" s="2" t="inlineStr">
        <is>
          <t>CY-O04</t>
        </is>
      </c>
      <c r="B24" s="2" t="inlineStr">
        <is>
          <t>Fehlende Unterweisung zur Cybersicherheit</t>
        </is>
      </c>
      <c r="C24" s="2" t="inlineStr">
        <is>
          <t>Organisation und Notfallmanagement</t>
        </is>
      </c>
      <c r="D24" s="2" t="inlineStr">
        <is>
          <t>O – Organisation, Notfall und Nachweise</t>
        </is>
      </c>
      <c r="E24" s="2" t="inlineStr">
        <is>
          <t>NONE</t>
        </is>
      </c>
      <c r="F24" s="2" t="inlineStr">
        <is>
          <t>Gefährdung durch organisatorische Mängel (Verantwortung, Fachkunde, Nachweise)</t>
        </is>
      </c>
      <c r="G24" s="2" t="inlineStr">
        <is>
          <t>Beauftragte Person, Betreiber</t>
        </is>
      </c>
      <c r="H24" s="2" t="inlineStr">
        <is>
          <t>5.4 Sind die Beschäftigten (beauftragte Person, Betreiberpersonal) zur Cybersicherheit der Anlage unterwiesen? [Auslöser · Pflicht]</t>
        </is>
      </c>
      <c r="I24" s="2" t="inlineStr">
        <is>
          <t>BetrSichV § 12; EK-ZÜS B-002 rev. 5 Anhang 2 Nr. 11</t>
        </is>
      </c>
      <c r="J24" s="2" t="inlineStr">
        <is>
          <t>K-C16</t>
        </is>
      </c>
      <c r="K24" s="2" t="n">
        <v>2</v>
      </c>
    </row>
    <row r="25">
      <c r="A25" s="4" t="inlineStr">
        <is>
          <t>CY-O05</t>
        </is>
      </c>
      <c r="B25" s="4" t="inlineStr">
        <is>
          <t>Fehlende Prüforganisation und Nachweise der Wirksamkeit</t>
        </is>
      </c>
      <c r="C25" s="4" t="inlineStr">
        <is>
          <t>Nachweise und Wirksamkeit</t>
        </is>
      </c>
      <c r="D25" s="4" t="inlineStr">
        <is>
          <t>O – Organisation, Notfall und Nachweise</t>
        </is>
      </c>
      <c r="E25" s="4" t="inlineStr">
        <is>
          <t>NONE</t>
        </is>
      </c>
      <c r="F25" s="4" t="inlineStr">
        <is>
          <t>Gefährdung durch organisatorische Mängel (Verantwortung, Fachkunde, Nachweise)</t>
        </is>
      </c>
      <c r="G25" s="4" t="inlineStr">
        <is>
          <t>Betreiber, Wartungspersonal</t>
        </is>
      </c>
      <c r="H25" s="4" t="inlineStr">
        <is>
          <t>5.5 Sind Art, Umfang und Fristen der Überprüfung und Kontrolle der Cyber-Schutzmaßnahmen schriftlich festgelegt? [Auslöser · Pflicht]
5.6 Liegt ein Nachweis der Wirksamkeit der Cyber-Schutzmaßnahmen vor (TRBS 1115-1 Abschnitt 5)? [Auslöser · Pflicht]
5.7 Liegt eine Bestätigung der Funktionsfähigkeit der Cyber-Schutzmaßnahmen vor (TRBS 1115-1 Abschnitt 8.2)? [Auslöser · Pflicht]
5.11 Wurden Cyberbedrohungen gemäß TRBS 1115 Teil 1 bei der Gefährdungsbeurteilung der Anlage berücksichtigt (diese Cyber-GBU vollständig bearbeitet und in die Gesamt-GBU übernommen)? [Dokumentation]
5.12 Sind alle sicherheitsrelevanten MSR-Einrichtungen und weiteren schutzbedürftigen Einrichtungen erfasst und dokumentiert (Komponentenliste vollständig, weitere Komponenten als Freitext ergänzt)? [Dokumentation]
5.13 Wurde bei der Festlegung der Maßnahmen berücksichtigt, dass bei überwachungsbedürftigen Anlagen nach ÜAnlG stets von einem erheblichen Risiko für Sicherheit und Gesundheit auszugehen ist? [Dokumentation]
5.14 Wurde der Stand der Technik herangezogen (TRBS 1115 Teil 1, EK-ZÜS B-002/BA-017, Herstellervorgaben, aktuelle Schwachstellenhinweise)? [Dokumentation]</t>
        </is>
      </c>
      <c r="I25" s="4" t="inlineStr">
        <is>
          <t>TRBS 1115 Teil 1 5, 8.2; EK-ZÜS B-002 rev. 5 Anhang 2 Nr. 8, 12, 13</t>
        </is>
      </c>
      <c r="J25" s="4" t="inlineStr">
        <is>
          <t>K-C17</t>
        </is>
      </c>
      <c r="K25" s="4" t="n">
        <v>5</v>
      </c>
    </row>
    <row r="26">
      <c r="A26" s="2" t="inlineStr">
        <is>
          <t>CY-O06</t>
        </is>
      </c>
      <c r="B26" s="2" t="inlineStr">
        <is>
          <t>Prüfpflichtige Änderung mit Cyber-Einfluss ohne Prüfung</t>
        </is>
      </c>
      <c r="C26" s="2" t="inlineStr">
        <is>
          <t>Nachweise und Wirksamkeit</t>
        </is>
      </c>
      <c r="D26" s="2" t="inlineStr">
        <is>
          <t>O – Organisation, Notfall und Nachweise</t>
        </is>
      </c>
      <c r="E26" s="2" t="inlineStr">
        <is>
          <t>NONE</t>
        </is>
      </c>
      <c r="F26" s="2" t="inlineStr">
        <is>
          <t>Gefährdung durch organisatorische Mängel (Verantwortung, Fachkunde, Nachweise)</t>
        </is>
      </c>
      <c r="G26" s="2" t="inlineStr">
        <is>
          <t>Nutzer, Betreiber</t>
        </is>
      </c>
      <c r="H26" s="2" t="inlineStr">
        <is>
          <t>5.10 Wurden nach Aussage des Betreibers prüfpflichtige Änderungen mit Einfluss auf die Cybersicherheit durchgeführt (Steuerungstausch, neue Fernanbindung, Software-Update sicherheitsrelevanter Komponenten)? [Auslöser · Pflicht]
5.10a Wurden diese Änderungen geprüft (ZÜS-Prüfung nach prüfpflichtiger Änderung) und in der Gefährdungsbeurteilung nachgezogen? [Auslöser · bedingt Pflicht]</t>
        </is>
      </c>
      <c r="I26" s="2" t="inlineStr">
        <is>
          <t>BetrSichV § 15, § 16; EK-ZÜS B-002 rev. 5 Anhang 2 Nr. 14</t>
        </is>
      </c>
      <c r="J26" s="2" t="inlineStr">
        <is>
          <t>K-C18</t>
        </is>
      </c>
      <c r="K26" s="2" t="n">
        <v>2</v>
      </c>
    </row>
    <row r="27">
      <c r="A27" s="4" t="inlineStr">
        <is>
          <t>CY-O07</t>
        </is>
      </c>
      <c r="B27" s="4" t="inlineStr">
        <is>
          <t>Rückwirkung der Cyber-Schutzmaßnahmen auf Sicherheitsfunktionen nicht ausgeschlossen</t>
        </is>
      </c>
      <c r="C27" s="4" t="inlineStr">
        <is>
          <t>Nachweise und Wirksamkeit</t>
        </is>
      </c>
      <c r="D27" s="4" t="inlineStr">
        <is>
          <t>O – Organisation, Notfall und Nachweise</t>
        </is>
      </c>
      <c r="E27" s="4" t="inlineStr">
        <is>
          <t>NONE</t>
        </is>
      </c>
      <c r="F27" s="4" t="inlineStr">
        <is>
          <t>Gefährdung durch Ausfall oder Fehlfunktion sicherheitsrelevanter Einrichtungen (Cybervorfall)</t>
        </is>
      </c>
      <c r="G27" s="4" t="inlineStr">
        <is>
          <t>Nutzer, Feuerwehr</t>
        </is>
      </c>
      <c r="H27" s="4" t="inlineStr">
        <is>
          <t>5.8 Ist sichergestellt, dass die Cyber-Schutzmaßnahmen die Sicherheitsfunktionen der Anlage nicht negativ beeinflussen (Rückwirkungsfreiheit, z. B. keine Abschaltung des Notrufs durch die Firewall)? [Auslöser · Pflicht]</t>
        </is>
      </c>
      <c r="I27" s="4" t="inlineStr">
        <is>
          <t>EK-ZÜS B-002 rev. 5 Anhang 2 Nr. 9; TRBS 1115 Teil 1 4.5</t>
        </is>
      </c>
      <c r="J27" s="4" t="inlineStr">
        <is>
          <t>K-C19</t>
        </is>
      </c>
      <c r="K27" s="4" t="n">
        <v>2</v>
      </c>
    </row>
    <row r="28">
      <c r="A28" s="2" t="inlineStr">
        <is>
          <t>CY-O08</t>
        </is>
      </c>
      <c r="B28" s="2" t="inlineStr">
        <is>
          <t>Keine Fortschreibung bei neuen Erkenntnissen</t>
        </is>
      </c>
      <c r="C28" s="2" t="inlineStr">
        <is>
          <t>Nachweise und Wirksamkeit</t>
        </is>
      </c>
      <c r="D28" s="2" t="inlineStr">
        <is>
          <t>O – Organisation, Notfall und Nachweise</t>
        </is>
      </c>
      <c r="E28" s="2" t="inlineStr">
        <is>
          <t>NONE</t>
        </is>
      </c>
      <c r="F28" s="2" t="inlineStr">
        <is>
          <t>Gefährdung durch organisatorische Mängel (Verantwortung, Fachkunde, Nachweise)</t>
        </is>
      </c>
      <c r="G28" s="2" t="inlineStr">
        <is>
          <t>Betreiber</t>
        </is>
      </c>
      <c r="H28" s="2" t="inlineStr">
        <is>
          <t>5.9 Werden neue Erkenntnisse zur Cybersicherheit (Herstellerhinweise, Schwachstellenmeldungen, CERT-Warnungen) in die Gefährdungsbeurteilung eingebunden? [Auslöser · Pflicht]</t>
        </is>
      </c>
      <c r="I28" s="2" t="inlineStr">
        <is>
          <t>EK-ZÜS B-002 rev. 5 Anhang 2 Nr. 10; BetrSichV § 3 Abs. 7</t>
        </is>
      </c>
      <c r="J28" s="2" t="inlineStr"/>
      <c r="K28" s="2" t="n">
        <v>2</v>
      </c>
    </row>
  </sheetData>
  <autoFilter ref="A1:K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" customWidth="1" min="2" max="2"/>
    <col width="30" customWidth="1" min="3" max="3"/>
    <col width="60" customWidth="1" min="4" max="4"/>
    <col width="9" customWidth="1" min="5" max="5"/>
    <col width="44" customWidth="1" min="6" max="6"/>
    <col width="40" customWidth="1" min="7" max="7"/>
    <col width="40" customWidth="1" min="8" max="8"/>
    <col width="30" customWidth="1" min="9" max="9"/>
  </cols>
  <sheetData>
    <row r="1" ht="30" customHeight="1">
      <c r="A1" s="1" t="inlineStr">
        <is>
          <t>Code</t>
        </is>
      </c>
      <c r="B1" s="1" t="inlineStr">
        <is>
          <t>Nr.</t>
        </is>
      </c>
      <c r="C1" s="1" t="inlineStr">
        <is>
          <t>Erhebungsbereich</t>
        </is>
      </c>
      <c r="D1" s="1" t="inlineStr">
        <is>
          <t>Frage</t>
        </is>
      </c>
      <c r="E1" s="1" t="inlineStr">
        <is>
          <t>Typ</t>
        </is>
      </c>
      <c r="F1" s="1" t="inlineStr">
        <is>
          <t>Antwortoptionen</t>
        </is>
      </c>
      <c r="G1" s="1" t="inlineStr">
        <is>
          <t>Hilfetext</t>
        </is>
      </c>
      <c r="H1" s="1" t="inlineStr">
        <is>
          <t>Sichtbar wenn</t>
        </is>
      </c>
      <c r="I1" s="1" t="inlineStr">
        <is>
          <t>Gefährdungen</t>
        </is>
      </c>
    </row>
    <row r="2">
      <c r="A2" s="2" t="inlineStr">
        <is>
          <t>qa_aufzugsart</t>
        </is>
      </c>
      <c r="B2" s="2" t="inlineStr">
        <is>
          <t>1.1</t>
        </is>
      </c>
      <c r="C2" s="2" t="inlineStr">
        <is>
          <t>A – Anlagenmerkmale und Systemabgrenzung</t>
        </is>
      </c>
      <c r="D2" s="2" t="inlineStr">
        <is>
          <t>Aufzugsart</t>
        </is>
      </c>
      <c r="E2" s="2" t="inlineStr">
        <is>
          <t>SELECT</t>
        </is>
      </c>
      <c r="F2" s="2" t="inlineStr">
        <is>
          <t>Seil-/Riemenaufzug (Treibscheibe)
Trommel- oder Kettenaufzug
Hydraulikaufzug
Seil-Hydraulikaufzug
Plattformaufzug / Kleingüteraufzug</t>
        </is>
      </c>
      <c r="G2" s="2" t="inlineStr">
        <is>
          <t>Steuert die Komponente „Hydraulischer Steuerblock".</t>
        </is>
      </c>
      <c r="H2" s="2" t="inlineStr"/>
      <c r="I2" s="2" t="inlineStr">
        <is>
          <t>CY-C10</t>
        </is>
      </c>
    </row>
    <row r="3">
      <c r="A3" s="4" t="inlineStr">
        <is>
          <t>qa_ueberwachungsbeduerftig</t>
        </is>
      </c>
      <c r="B3" s="4" t="inlineStr">
        <is>
          <t>1.2</t>
        </is>
      </c>
      <c r="C3" s="4" t="inlineStr">
        <is>
          <t>A – Anlagenmerkmale und Systemabgrenzung</t>
        </is>
      </c>
      <c r="D3" s="4" t="inlineStr">
        <is>
          <t>Überwachungsbedürftige Anlage nach ÜAnlG (Personen- oder Lastenaufzug mit ZÜS-Prüfpflicht)?</t>
        </is>
      </c>
      <c r="E3" s="4" t="inlineStr">
        <is>
          <t>YES_NO</t>
        </is>
      </c>
      <c r="F3" s="4" t="inlineStr"/>
      <c r="G3" s="4" t="inlineStr">
        <is>
          <t>Bei überwachungsbedürftigen Anlagen ist nach ÜAnlG stets von einem erheblichen Risiko für Sicherheit und Gesundheit auszugehen (EK-ZÜS B-002 Anhang 2 Nr. 3). Nein = z. B. Plattformaufzug nach MRL ohne ZÜS-Pflicht.</t>
        </is>
      </c>
      <c r="H3" s="4" t="inlineStr"/>
      <c r="I3" s="4" t="inlineStr">
        <is>
          <t>CY-O01</t>
        </is>
      </c>
    </row>
    <row r="4">
      <c r="A4" s="2" t="inlineStr">
        <is>
          <t>qa_steuerungsart</t>
        </is>
      </c>
      <c r="B4" s="2" t="inlineStr">
        <is>
          <t>1.3</t>
        </is>
      </c>
      <c r="C4" s="2" t="inlineStr">
        <is>
          <t>A – Anlagenmerkmale und Systemabgrenzung</t>
        </is>
      </c>
      <c r="D4" s="2" t="inlineStr">
        <is>
          <t>Art der Aufzugssteuerung</t>
        </is>
      </c>
      <c r="E4" s="2" t="inlineStr">
        <is>
          <t>SELECT</t>
        </is>
      </c>
      <c r="F4" s="2" t="inlineStr">
        <is>
          <t>Relais-/Schützsteuerung ohne programmierbare Komponenten
Mikroprozessor-/SPS-Steuerung ohne Netzanbindung
Programmierbare Steuerung mit Netz-/Fernanbindung</t>
        </is>
      </c>
      <c r="G4" s="2" t="inlineStr">
        <is>
          <t>„Relais" schaltet die komponentenbasierte Betrachtung weitgehend ab: ohne programmierbare Komponente gibt es keine kompromittierbare Datenschnittstelle (Vorscreening nach BA-017).</t>
        </is>
      </c>
      <c r="H4" s="2" t="inlineStr"/>
      <c r="I4" s="2" t="inlineStr">
        <is>
          <t>CY-C01</t>
        </is>
      </c>
    </row>
    <row r="5">
      <c r="A5" s="4" t="inlineStr">
        <is>
          <t>qa_maschinenraum</t>
        </is>
      </c>
      <c r="B5" s="4" t="inlineStr">
        <is>
          <t>1.4</t>
        </is>
      </c>
      <c r="C5" s="4" t="inlineStr">
        <is>
          <t>A – Anlagenmerkmale und Systemabgrenzung</t>
        </is>
      </c>
      <c r="D5" s="4" t="inlineStr">
        <is>
          <t>Triebwerks-/Maschinenraum vorhanden?</t>
        </is>
      </c>
      <c r="E5" s="4" t="inlineStr">
        <is>
          <t>YES_NO</t>
        </is>
      </c>
      <c r="F5" s="4" t="inlineStr"/>
      <c r="G5" s="4" t="inlineStr">
        <is>
          <t>Nein = maschinenraumlos; die Steuerung sitzt dann im Steuerschrank an der Haltestelle oder im Schacht. Dieselbe Angabe wie 4.7 im GBU-Teil (gleicher Fragen-Code) – aus dem Anlagenstamm vorbelegen, nicht zweimal erheben (Prüfbericht 20.09.2026).</t>
        </is>
      </c>
      <c r="H5" s="4" t="inlineStr"/>
      <c r="I5" s="4" t="inlineStr">
        <is>
          <t>CY-C01</t>
        </is>
      </c>
    </row>
    <row r="6">
      <c r="A6" s="2" t="inlineStr">
        <is>
          <t>qa_vernetzt</t>
        </is>
      </c>
      <c r="B6" s="2" t="inlineStr">
        <is>
          <t>1.5</t>
        </is>
      </c>
      <c r="C6" s="2" t="inlineStr">
        <is>
          <t>A – Anlagenmerkmale und Systemabgrenzung</t>
        </is>
      </c>
      <c r="D6" s="2" t="inlineStr">
        <is>
          <t>Anlage mit Netzwerk- oder Internetanbindung (Fernüberwachung, Fernwartung, Gateway/Router/Modem, Gebäudeleittechnik)?</t>
        </is>
      </c>
      <c r="E6" s="2" t="inlineStr">
        <is>
          <t>YES_NO</t>
        </is>
      </c>
      <c r="F6" s="2" t="inlineStr"/>
      <c r="G6" s="2" t="inlineStr">
        <is>
          <t>Steuert den Erhebungsbereich N sowie die Komponenten Fernüberwachung, Remote-Service und Gateway. Muss „Ja" sein, wenn unter 1.3 „Programmierbare Steuerung mit Netz-/Fernanbindung" gewählt wurde – die Gebäudeleittechnik wird unter 1.6 erfasst, nicht hier (Prüfbericht 20.09.2026).</t>
        </is>
      </c>
      <c r="H6" s="2" t="inlineStr"/>
      <c r="I6" s="2" t="inlineStr">
        <is>
          <t>CY-C11, CY-C12, CY-C13, CY-N01, CY-N02, CY-O03, CY-Z04</t>
        </is>
      </c>
    </row>
    <row r="7">
      <c r="A7" s="4" t="inlineStr">
        <is>
          <t>qa_gebaeude_anbindung</t>
        </is>
      </c>
      <c r="B7" s="4" t="inlineStr">
        <is>
          <t>1.6</t>
        </is>
      </c>
      <c r="C7" s="4" t="inlineStr">
        <is>
          <t>A – Anlagenmerkmale und Systemabgrenzung</t>
        </is>
      </c>
      <c r="D7" s="4" t="inlineStr">
        <is>
          <t>Anbindung an bauseitige Systeme vorhanden (Brandmeldeanlage/Brandfallsteuerung, Entrauchung, Gebäudeleittechnik, Zutrittssystem)?</t>
        </is>
      </c>
      <c r="E7" s="4" t="inlineStr">
        <is>
          <t>YES_NO</t>
        </is>
      </c>
      <c r="F7" s="4" t="inlineStr"/>
      <c r="G7" s="4" t="inlineStr"/>
      <c r="H7" s="4" t="inlineStr"/>
      <c r="I7" s="4" t="inlineStr">
        <is>
          <t>CY-C14</t>
        </is>
      </c>
    </row>
    <row r="8">
      <c r="A8" s="2" t="inlineStr">
        <is>
          <t>qa_hersteller_vorgaben</t>
        </is>
      </c>
      <c r="B8" s="2" t="inlineStr">
        <is>
          <t>1.7</t>
        </is>
      </c>
      <c r="C8" s="2" t="inlineStr">
        <is>
          <t>A – Anlagenmerkmale und Systemabgrenzung</t>
        </is>
      </c>
      <c r="D8" s="2" t="inlineStr">
        <is>
          <t>Vorgaben des Herstellers zur Cybersicherheit</t>
        </is>
      </c>
      <c r="E8" s="2" t="inlineStr">
        <is>
          <t>SELECT</t>
        </is>
      </c>
      <c r="F8" s="2" t="inlineStr">
        <is>
          <t>Vorhanden und bei den Maßnahmen berücksichtigt
Vorhanden, aber nicht berücksichtigt
Hersteller stellt keine Vorgaben bereit
Nicht bekannt / nicht angefragt</t>
        </is>
      </c>
      <c r="G8" s="2" t="inlineStr">
        <is>
          <t>EK-ZÜS B-002 Anhang 2 Nr. 7. Bewertet in O (Organisation).</t>
        </is>
      </c>
      <c r="H8" s="2" t="inlineStr"/>
      <c r="I8" s="2" t="inlineStr">
        <is>
          <t>CY-O02</t>
        </is>
      </c>
    </row>
    <row r="9">
      <c r="A9" s="4" t="inlineStr">
        <is>
          <t>qz_steuerung_frei</t>
        </is>
      </c>
      <c r="B9" s="4" t="inlineStr">
        <is>
          <t>2.1</t>
        </is>
      </c>
      <c r="C9" s="4" t="inlineStr">
        <is>
          <t>Z – Zugang und Zugriff</t>
        </is>
      </c>
      <c r="D9" s="4" t="inlineStr">
        <is>
          <t>Ist die Aufzugssteuerung (Steuerschrank, Bedien-/Serviceeinheit) für Unbefugte frei zugänglich?</t>
        </is>
      </c>
      <c r="E9" s="4" t="inlineStr">
        <is>
          <t>YES_NO</t>
        </is>
      </c>
      <c r="F9" s="4" t="inlineStr"/>
      <c r="G9" s="4" t="inlineStr">
        <is>
          <t>Ja = ohne Schlüssel oder Werkzeug erreichbar (z. B. Steuerschrank im öffentlichen Flur unverschlossen, Schranktür ohne Schloss).</t>
        </is>
      </c>
      <c r="H9" s="4" t="inlineStr"/>
      <c r="I9" s="4" t="inlineStr">
        <is>
          <t>CY-C01, CY-C02, CY-C03, CY-C04, CY-C05, CY-C06, CY-C07, CY-C08, CY-C09, CY-C10, CY-Z01</t>
        </is>
      </c>
    </row>
    <row r="10">
      <c r="A10" s="2" t="inlineStr">
        <is>
          <t>qz_triebwerksraum_frei</t>
        </is>
      </c>
      <c r="B10" s="2" t="inlineStr">
        <is>
          <t>2.2</t>
        </is>
      </c>
      <c r="C10" s="2" t="inlineStr">
        <is>
          <t>Z – Zugang und Zugriff</t>
        </is>
      </c>
      <c r="D10" s="2" t="inlineStr">
        <is>
          <t>Ist der Triebwerks-/Maschinenraum für Unbefugte frei zugänglich?</t>
        </is>
      </c>
      <c r="E10" s="2" t="inlineStr">
        <is>
          <t>YES_NO</t>
        </is>
      </c>
      <c r="F10" s="2" t="inlineStr"/>
      <c r="G10" s="2" t="inlineStr"/>
      <c r="H10" s="2" t="inlineStr">
        <is>
          <t>1.4 Triebwerks-/Maschinenraum vorhanden? = Ja</t>
        </is>
      </c>
      <c r="I10" s="2" t="inlineStr">
        <is>
          <t>CY-C01, CY-C02, CY-C03, CY-C04, CY-C05, CY-C06, CY-C07, CY-C08, CY-C09, CY-C10</t>
        </is>
      </c>
    </row>
    <row r="11">
      <c r="A11" s="4" t="inlineStr">
        <is>
          <t>qz_schacht_frei</t>
        </is>
      </c>
      <c r="B11" s="4" t="inlineStr">
        <is>
          <t>2.3</t>
        </is>
      </c>
      <c r="C11" s="4" t="inlineStr">
        <is>
          <t>Z – Zugang und Zugriff</t>
        </is>
      </c>
      <c r="D11" s="4" t="inlineStr">
        <is>
          <t>Ist der Aufzugsschacht für Unbefugte frei zugänglich (Grubenzugang, Schachttür ohne Notentriegelungsschutz, offene Wartungsklappe)?</t>
        </is>
      </c>
      <c r="E11" s="4" t="inlineStr">
        <is>
          <t>YES_NO</t>
        </is>
      </c>
      <c r="F11" s="4" t="inlineStr"/>
      <c r="G11" s="4" t="inlineStr"/>
      <c r="H11" s="4" t="inlineStr"/>
      <c r="I11" s="4" t="inlineStr">
        <is>
          <t>CY-C01, CY-C02, CY-C03, CY-C04, CY-C05, CY-C06, CY-C07, CY-C08, CY-C09, CY-C10</t>
        </is>
      </c>
    </row>
    <row r="12">
      <c r="A12" s="2" t="inlineStr">
        <is>
          <t>qz_service_gesichert</t>
        </is>
      </c>
      <c r="B12" s="2" t="inlineStr">
        <is>
          <t>2.4</t>
        </is>
      </c>
      <c r="C12" s="2" t="inlineStr">
        <is>
          <t>Z – Zugang und Zugriff</t>
        </is>
      </c>
      <c r="D12" s="2" t="inlineStr">
        <is>
          <t>Sind die Service- und Programmierschnittstellen (Serviceanschluss, USB, Speicherkarte, Diagnosestecker) gegen unbefugte Nutzung gesichert (verschlossene Abdeckung, Freigabe nur mit Schlüssel/Code)?</t>
        </is>
      </c>
      <c r="E12" s="2" t="inlineStr">
        <is>
          <t>YES_NO</t>
        </is>
      </c>
      <c r="F12" s="2" t="inlineStr"/>
      <c r="G12" s="2" t="inlineStr"/>
      <c r="H12" s="2" t="inlineStr"/>
      <c r="I12" s="2" t="inlineStr">
        <is>
          <t>CY-Z01</t>
        </is>
      </c>
    </row>
    <row r="13">
      <c r="A13" s="4" t="inlineStr">
        <is>
          <t>qz_default_zugangsdaten</t>
        </is>
      </c>
      <c r="B13" s="4" t="inlineStr">
        <is>
          <t>2.5</t>
        </is>
      </c>
      <c r="C13" s="4" t="inlineStr">
        <is>
          <t>Z – Zugang und Zugriff</t>
        </is>
      </c>
      <c r="D13" s="4" t="inlineStr">
        <is>
          <t>Werden Standard-/Werkszugangsdaten (Passwörter, PINs, Servicecodes) verwendet?</t>
        </is>
      </c>
      <c r="E13" s="4" t="inlineStr">
        <is>
          <t>YES_NO</t>
        </is>
      </c>
      <c r="F13" s="4" t="inlineStr"/>
      <c r="G13" s="4" t="inlineStr">
        <is>
          <t>Ja = Mangel. Gemeint sind alle Zugänge: Steuerung, Notruf, Umrichter, Gateway, Fernwartung. Ob die Zugangsdaten überhaupt bekannt sind, steht unter 2.5a – beides stand bisher in einer Frage, obwohl nur der erste Fall mit „Werkszugangsdaten ändern" zu beheben ist (Prüfbericht 20.09.2026).</t>
        </is>
      </c>
      <c r="H13" s="4" t="inlineStr"/>
      <c r="I13" s="4" t="inlineStr">
        <is>
          <t>CY-Z04</t>
        </is>
      </c>
    </row>
    <row r="14">
      <c r="A14" s="2" t="inlineStr">
        <is>
          <t>qz_zugangsdaten_bekannt</t>
        </is>
      </c>
      <c r="B14" s="2" t="inlineStr">
        <is>
          <t>2.5a</t>
        </is>
      </c>
      <c r="C14" s="2" t="inlineStr">
        <is>
          <t>Z – Zugang und Zugriff</t>
        </is>
      </c>
      <c r="D14" s="2" t="inlineStr">
        <is>
          <t>Sind dem Betreiber die Zugangsdaten der Anlage bekannt und liegen sie gesichert vor (Übergabe durch Hersteller/Wartungsfirma dokumentiert)?</t>
        </is>
      </c>
      <c r="E14" s="2" t="inlineStr">
        <is>
          <t>YES_NO</t>
        </is>
      </c>
      <c r="F14" s="2" t="inlineStr"/>
      <c r="G14" s="2" t="inlineStr">
        <is>
          <t>Nein = Mangel: Der Betreiber kann Zugänge weder prüfen noch bei einem Firmenwechsel entziehen (TRBS 1115-1, Zugangskontrolle Software).</t>
        </is>
      </c>
      <c r="H14" s="2" t="inlineStr"/>
      <c r="I14" s="2" t="inlineStr">
        <is>
          <t>CY-Z04</t>
        </is>
      </c>
    </row>
    <row r="15">
      <c r="A15" s="4" t="inlineStr">
        <is>
          <t>qz_rollen</t>
        </is>
      </c>
      <c r="B15" s="4" t="inlineStr">
        <is>
          <t>2.6</t>
        </is>
      </c>
      <c r="C15" s="4" t="inlineStr">
        <is>
          <t>Z – Zugang und Zugriff</t>
        </is>
      </c>
      <c r="D15" s="4" t="inlineStr">
        <is>
          <t>Sind Zugriffsrechte rollenbasiert vergeben (Betreiber, Wartungsfirma, Hersteller) und werden sie bei Personal- oder Firmenwechsel entzogen?</t>
        </is>
      </c>
      <c r="E15" s="4" t="inlineStr">
        <is>
          <t>YES_NO</t>
        </is>
      </c>
      <c r="F15" s="4" t="inlineStr"/>
      <c r="G15" s="4" t="inlineStr"/>
      <c r="H15" s="4" t="inlineStr"/>
      <c r="I15" s="4" t="inlineStr">
        <is>
          <t>CY-Z04</t>
        </is>
      </c>
    </row>
    <row r="16">
      <c r="A16" s="2" t="inlineStr">
        <is>
          <t>qz_servicegeraete</t>
        </is>
      </c>
      <c r="B16" s="2" t="inlineStr">
        <is>
          <t>2.7</t>
        </is>
      </c>
      <c r="C16" s="2" t="inlineStr">
        <is>
          <t>Z – Zugang und Zugriff</t>
        </is>
      </c>
      <c r="D16" s="2" t="inlineStr">
        <is>
          <t>Ist geregelt, welche Servicegeräte, Laptops und Wechseldatenträger an die Anlage angeschlossen werden dürfen (nur freigegebene, geprüfte Geräte; kein privater Datenträger)?</t>
        </is>
      </c>
      <c r="E16" s="2" t="inlineStr">
        <is>
          <t>YES_NO</t>
        </is>
      </c>
      <c r="F16" s="2" t="inlineStr"/>
      <c r="G16" s="2" t="inlineStr"/>
      <c r="H16" s="2" t="inlineStr"/>
      <c r="I16" s="2" t="inlineStr">
        <is>
          <t>CY-Z05</t>
        </is>
      </c>
    </row>
    <row r="17">
      <c r="A17" s="4" t="inlineStr">
        <is>
          <t>qc_steuerung_schnittstelle</t>
        </is>
      </c>
      <c r="B17" s="4" t="inlineStr">
        <is>
          <t>3.1.2</t>
        </is>
      </c>
      <c r="C17" s="4" t="inlineStr">
        <is>
          <t>C – Komponenten und Schnittstellen</t>
        </is>
      </c>
      <c r="D17" s="4" t="inlineStr">
        <is>
          <t>Höchste vorhandene Schnittstellenkategorie der Komponente „Aufzugssteuerung"</t>
        </is>
      </c>
      <c r="E17" s="4" t="inlineStr">
        <is>
          <t>SELECT</t>
        </is>
      </c>
      <c r="F17" s="4" t="inlineStr">
        <is>
          <t>Keine bzw. nicht programmierbare Schnittstelle
Kabelgebunden, nur vor Ort (USB, RS232/485, CAN, Ethernet, Serviceanschluss, Speicherkarte)
Benutzerschnittstelle (Bedienfeld, Eingabeterminal, Display mit Parametrierzugang)
Kabellos im Nahbereich (WLAN, Bluetooth, NFC, Mobilfunk/SIM)
Fernzugriff (Internet/Cloud, Hersteller-Fernzugriff, Service-App)</t>
        </is>
      </c>
      <c r="G17" s="4" t="inlineStr">
        <is>
          <t>Maßgeblich ist die angreifbarste Schnittstelle. Konkrete Schnittstellen (USB, CAN, Mobilfunk …) in der App dokumentieren.</t>
        </is>
      </c>
      <c r="H17" s="4" t="inlineStr">
        <is>
          <t>1.3 Art der Aufzugssteuerung ≠ „Relais-/Schützsteuerung ohne programmierbare Komponenten"</t>
        </is>
      </c>
      <c r="I17" s="4" t="inlineStr">
        <is>
          <t>CY-C01</t>
        </is>
      </c>
    </row>
    <row r="18">
      <c r="A18" s="2" t="inlineStr">
        <is>
          <t>qc_steuerung_massnahmen</t>
        </is>
      </c>
      <c r="B18" s="2" t="inlineStr">
        <is>
          <t>3.1.3</t>
        </is>
      </c>
      <c r="C18" s="2" t="inlineStr">
        <is>
          <t>C – Komponenten und Schnittstellen</t>
        </is>
      </c>
      <c r="D18" s="2" t="inlineStr">
        <is>
          <t>Schutzmaßnahmen nach TRBS 1115-1 für „Aufzugssteuerung"</t>
        </is>
      </c>
      <c r="E18" s="2" t="inlineStr">
        <is>
          <t>SELECT</t>
        </is>
      </c>
      <c r="F18" s="2" t="inlineStr">
        <is>
          <t>Keine Schutzmaßnahmen festgelegt
Festgelegt, aber nicht vollständig umgesetzt oder ohne Wirksamkeitsnachweis
Festgelegt, umgesetzt und Wirksamkeit nachgewiesen (TRBS 1115-1 Abschn. 5)</t>
        </is>
      </c>
      <c r="G18" s="2" t="inlineStr">
        <is>
          <t>Einschlägige Kategorien: Zugangskontrolle (Hardware/Software), Funktionsreduzierung.</t>
        </is>
      </c>
      <c r="H18" s="2" t="inlineStr">
        <is>
          <t>(1.3 Art der Aufzugssteuerung ≠ „Relais-/Schützsteuerung ohne programmierbare Komponenten" UND 3.1.2 Höchste vorhandene Schnittstellenkategorie der Komponente „Aufzugssteuerung" ≠ „Keine bzw. nicht programmierbare Schnittstelle")</t>
        </is>
      </c>
      <c r="I18" s="2" t="inlineStr">
        <is>
          <t>CY-C01</t>
        </is>
      </c>
    </row>
    <row r="19">
      <c r="A19" s="4" t="inlineStr">
        <is>
          <t>qc_steuerung_unabhaengig</t>
        </is>
      </c>
      <c r="B19" s="4" t="inlineStr">
        <is>
          <t>3.1.4</t>
        </is>
      </c>
      <c r="C19" s="4" t="inlineStr">
        <is>
          <t>C – Komponenten und Schnittstellen</t>
        </is>
      </c>
      <c r="D19" s="4" t="inlineStr">
        <is>
          <t>Bleibt der Sicherheitskreis (Türkontakte, Endschalter, Fang-/Begrenzerkontakte) bei Manipulation der Steuerung durch eine unabhängige elektromechanische Kette wirksam?</t>
        </is>
      </c>
      <c r="E19" s="4" t="inlineStr">
        <is>
          <t>YES_NO</t>
        </is>
      </c>
      <c r="F19" s="4" t="inlineStr"/>
      <c r="G19" s="4" t="inlineStr"/>
      <c r="H19" s="4" t="inlineStr">
        <is>
          <t>(1.3 Art der Aufzugssteuerung ≠ „Relais-/Schützsteuerung ohne programmierbare Komponenten" UND 3.1.2 Höchste vorhandene Schnittstellenkategorie der Komponente „Aufzugssteuerung" ≠ „Keine bzw. nicht programmierbare Schnittstelle")</t>
        </is>
      </c>
      <c r="I19" s="4" t="inlineStr">
        <is>
          <t>CY-C01</t>
        </is>
      </c>
    </row>
    <row r="20">
      <c r="A20" s="2" t="inlineStr">
        <is>
          <t>qc_pessral_vorhanden</t>
        </is>
      </c>
      <c r="B20" s="2" t="inlineStr">
        <is>
          <t>3.2.1</t>
        </is>
      </c>
      <c r="C20" s="2" t="inlineStr">
        <is>
          <t>C – Komponenten und Schnittstellen</t>
        </is>
      </c>
      <c r="D20" s="2" t="inlineStr">
        <is>
          <t>PESSRAL / programmierbare Sicherheitsschaltung vorhanden?</t>
        </is>
      </c>
      <c r="E20" s="2" t="inlineStr">
        <is>
          <t>YES_NO</t>
        </is>
      </c>
      <c r="F20" s="2" t="inlineStr"/>
      <c r="G20" s="2" t="inlineStr">
        <is>
          <t>Schutzfunktion: Elektronische Sicherheitsfunktionen im Sicherheitsstromkreis. Mögliche Cyberfolge: Manipulation oder Deaktivierung von Sicherheitsfunktionen.</t>
        </is>
      </c>
      <c r="H20" s="2" t="inlineStr"/>
      <c r="I20" s="2" t="inlineStr">
        <is>
          <t>CY-C02</t>
        </is>
      </c>
    </row>
    <row r="21">
      <c r="A21" s="4" t="inlineStr">
        <is>
          <t>qc_pessral_schnittstelle</t>
        </is>
      </c>
      <c r="B21" s="4" t="inlineStr">
        <is>
          <t>3.2.2</t>
        </is>
      </c>
      <c r="C21" s="4" t="inlineStr">
        <is>
          <t>C – Komponenten und Schnittstellen</t>
        </is>
      </c>
      <c r="D21" s="4" t="inlineStr">
        <is>
          <t>Höchste vorhandene Schnittstellenkategorie der Komponente „PESSRAL (programmierbare Sicherheitsschaltung)"</t>
        </is>
      </c>
      <c r="E21" s="4" t="inlineStr">
        <is>
          <t>SELECT</t>
        </is>
      </c>
      <c r="F21" s="4" t="inlineStr">
        <is>
          <t>Keine bzw. nicht programmierbare Schnittstelle
Kabelgebunden, nur vor Ort (USB, RS232/485, CAN, Ethernet, Serviceanschluss, Speicherkarte)
Benutzerschnittstelle (Bedienfeld, Eingabeterminal, Display mit Parametrierzugang)
Kabellos im Nahbereich (WLAN, Bluetooth, NFC, Mobilfunk/SIM)
Fernzugriff (Internet/Cloud, Hersteller-Fernzugriff, Service-App)</t>
        </is>
      </c>
      <c r="G21" s="4" t="inlineStr">
        <is>
          <t>Maßgeblich ist die angreifbarste Schnittstelle. Konkrete Schnittstellen (USB, CAN, Mobilfunk …) in der App dokumentieren.</t>
        </is>
      </c>
      <c r="H21" s="4" t="inlineStr">
        <is>
          <t>3.2.1 PESSRAL / programmierbare Sicherheitsschaltung vorhanden? = Ja</t>
        </is>
      </c>
      <c r="I21" s="4" t="inlineStr">
        <is>
          <t>CY-C02</t>
        </is>
      </c>
    </row>
    <row r="22">
      <c r="A22" s="2" t="inlineStr">
        <is>
          <t>qc_pessral_massnahmen</t>
        </is>
      </c>
      <c r="B22" s="2" t="inlineStr">
        <is>
          <t>3.2.3</t>
        </is>
      </c>
      <c r="C22" s="2" t="inlineStr">
        <is>
          <t>C – Komponenten und Schnittstellen</t>
        </is>
      </c>
      <c r="D22" s="2" t="inlineStr">
        <is>
          <t>Schutzmaßnahmen nach TRBS 1115-1 für „PESSRAL (programmierbare Sicherheitsschaltung)"</t>
        </is>
      </c>
      <c r="E22" s="2" t="inlineStr">
        <is>
          <t>SELECT</t>
        </is>
      </c>
      <c r="F22" s="2" t="inlineStr">
        <is>
          <t>Keine Schutzmaßnahmen festgelegt
Festgelegt, aber nicht vollständig umgesetzt oder ohne Wirksamkeitsnachweis
Festgelegt, umgesetzt und Wirksamkeit nachgewiesen (TRBS 1115-1 Abschn. 5)</t>
        </is>
      </c>
      <c r="G22" s="2" t="inlineStr">
        <is>
          <t>Einschlägige Kategorien: Zugangskontrolle (Hardware), Funktionsreduzierung.</t>
        </is>
      </c>
      <c r="H22" s="2" t="inlineStr">
        <is>
          <t>(3.2.1 PESSRAL / programmierbare Sicherheitsschaltung vorhanden? = Ja UND 3.2.2 Höchste vorhandene Schnittstellenkategorie der Komponente „PESSRAL (programmierbare Sicherheitsschaltung)" ≠ „Keine bzw. nicht programmierbare Schnittstelle")</t>
        </is>
      </c>
      <c r="I22" s="2" t="inlineStr">
        <is>
          <t>CY-C02</t>
        </is>
      </c>
    </row>
    <row r="23">
      <c r="A23" s="4" t="inlineStr">
        <is>
          <t>qc_fu_vorhanden</t>
        </is>
      </c>
      <c r="B23" s="4" t="inlineStr">
        <is>
          <t>3.3.1</t>
        </is>
      </c>
      <c r="C23" s="4" t="inlineStr">
        <is>
          <t>C – Komponenten und Schnittstellen</t>
        </is>
      </c>
      <c r="D23" s="4" t="inlineStr">
        <is>
          <t>Frequenzumrichter (geregelter Antrieb) vorhanden?</t>
        </is>
      </c>
      <c r="E23" s="4" t="inlineStr">
        <is>
          <t>YES_NO</t>
        </is>
      </c>
      <c r="F23" s="4" t="inlineStr"/>
      <c r="G23" s="4" t="inlineStr">
        <is>
          <t>Schutzfunktion: Regelung von Fahrgeschwindigkeit und Antrieb. Mögliche Cyberfolge: Unzulässige Geschwindigkeit oder Beschleunigung, wenn keine unabhängige Rückfallebene wirkt.</t>
        </is>
      </c>
      <c r="H23" s="4" t="inlineStr"/>
      <c r="I23" s="4" t="inlineStr">
        <is>
          <t>CY-C03</t>
        </is>
      </c>
    </row>
    <row r="24">
      <c r="A24" s="2" t="inlineStr">
        <is>
          <t>qc_fu_schnittstelle</t>
        </is>
      </c>
      <c r="B24" s="2" t="inlineStr">
        <is>
          <t>3.3.2</t>
        </is>
      </c>
      <c r="C24" s="2" t="inlineStr">
        <is>
          <t>C – Komponenten und Schnittstellen</t>
        </is>
      </c>
      <c r="D24" s="2" t="inlineStr">
        <is>
          <t>Höchste vorhandene Schnittstellenkategorie der Komponente „Frequenzumrichter"</t>
        </is>
      </c>
      <c r="E24" s="2" t="inlineStr">
        <is>
          <t>SELECT</t>
        </is>
      </c>
      <c r="F24" s="2" t="inlineStr">
        <is>
          <t>Keine bzw. nicht programmierbare Schnittstelle
Kabelgebunden, nur vor Ort (USB, RS232/485, CAN, Ethernet, Serviceanschluss, Speicherkarte)
Benutzerschnittstelle (Bedienfeld, Eingabeterminal, Display mit Parametrierzugang)
Kabellos im Nahbereich (WLAN, Bluetooth, NFC, Mobilfunk/SIM)
Fernzugriff (Internet/Cloud, Hersteller-Fernzugriff, Service-App)</t>
        </is>
      </c>
      <c r="G24" s="2" t="inlineStr">
        <is>
          <t>Maßgeblich ist die angreifbarste Schnittstelle. Konkrete Schnittstellen (USB, CAN, Mobilfunk …) in der App dokumentieren.</t>
        </is>
      </c>
      <c r="H24" s="2" t="inlineStr">
        <is>
          <t>3.3.1 Frequenzumrichter (geregelter Antrieb) vorhanden? = Ja</t>
        </is>
      </c>
      <c r="I24" s="2" t="inlineStr">
        <is>
          <t>CY-C03</t>
        </is>
      </c>
    </row>
    <row r="25">
      <c r="A25" s="4" t="inlineStr">
        <is>
          <t>qc_fu_massnahmen</t>
        </is>
      </c>
      <c r="B25" s="4" t="inlineStr">
        <is>
          <t>3.3.3</t>
        </is>
      </c>
      <c r="C25" s="4" t="inlineStr">
        <is>
          <t>C – Komponenten und Schnittstellen</t>
        </is>
      </c>
      <c r="D25" s="4" t="inlineStr">
        <is>
          <t>Schutzmaßnahmen nach TRBS 1115-1 für „Frequenzumrichter"</t>
        </is>
      </c>
      <c r="E25" s="4" t="inlineStr">
        <is>
          <t>SELECT</t>
        </is>
      </c>
      <c r="F25" s="4" t="inlineStr">
        <is>
          <t>Keine Schutzmaßnahmen festgelegt
Festgelegt, aber nicht vollständig umgesetzt oder ohne Wirksamkeitsnachweis
Festgelegt, umgesetzt und Wirksamkeit nachgewiesen (TRBS 1115-1 Abschn. 5)</t>
        </is>
      </c>
      <c r="G25" s="4" t="inlineStr">
        <is>
          <t>Einschlägige Kategorien: Zugangskontrolle (Software), Funktionsreduzierung.</t>
        </is>
      </c>
      <c r="H25" s="4" t="inlineStr">
        <is>
          <t>(3.3.1 Frequenzumrichter (geregelter Antrieb) vorhanden? = Ja UND 3.3.2 Höchste vorhandene Schnittstellenkategorie der Komponente „Frequenzumrichter" ≠ „Keine bzw. nicht programmierbare Schnittstelle")</t>
        </is>
      </c>
      <c r="I25" s="4" t="inlineStr">
        <is>
          <t>CY-C03</t>
        </is>
      </c>
    </row>
    <row r="26">
      <c r="A26" s="2" t="inlineStr">
        <is>
          <t>qc_fu_unabhaengig</t>
        </is>
      </c>
      <c r="B26" s="2" t="inlineStr">
        <is>
          <t>3.3.4</t>
        </is>
      </c>
      <c r="C26" s="2" t="inlineStr">
        <is>
          <t>C – Komponenten und Schnittstellen</t>
        </is>
      </c>
      <c r="D26" s="2" t="inlineStr">
        <is>
          <t>Wirkt bei Manipulation des Umrichters eine unabhängige Sicherheitskette (STO/sicher abgeschaltetes Moment, Bremse und Geschwindigkeitsbegrenzer unabhängig vom Umrichter)?</t>
        </is>
      </c>
      <c r="E26" s="2" t="inlineStr">
        <is>
          <t>YES_NO</t>
        </is>
      </c>
      <c r="F26" s="2" t="inlineStr"/>
      <c r="G26" s="2" t="inlineStr"/>
      <c r="H26" s="2" t="inlineStr">
        <is>
          <t>(3.3.1 Frequenzumrichter (geregelter Antrieb) vorhanden? = Ja UND 3.3.2 Höchste vorhandene Schnittstellenkategorie der Komponente „Frequenzumrichter" ≠ „Keine bzw. nicht programmierbare Schnittstelle")</t>
        </is>
      </c>
      <c r="I26" s="2" t="inlineStr">
        <is>
          <t>CY-C03</t>
        </is>
      </c>
    </row>
    <row r="27">
      <c r="A27" s="4" t="inlineStr">
        <is>
          <t>qc_notruf_vorhanden</t>
        </is>
      </c>
      <c r="B27" s="4" t="inlineStr">
        <is>
          <t>3.4.1</t>
        </is>
      </c>
      <c r="C27" s="4" t="inlineStr">
        <is>
          <t>C – Komponenten und Schnittstellen</t>
        </is>
      </c>
      <c r="D27" s="4" t="inlineStr">
        <is>
          <t>Notrufsystem mit digitaler Komponente (Mobilfunk/IP, programmierbares Notrufgerät) vorhanden?</t>
        </is>
      </c>
      <c r="E27" s="4" t="inlineStr">
        <is>
          <t>YES_NO</t>
        </is>
      </c>
      <c r="F27" s="4" t="inlineStr"/>
      <c r="G27" s="4" t="inlineStr">
        <is>
          <t>Schutzfunktion: Hilfe und Kommunikation bei Personeneinschluss. Mögliche Cyberfolge: Notruf wird nicht oder an die falsche Stelle weitergeleitet; Personeneinschluss bleibt unbemerkt.</t>
        </is>
      </c>
      <c r="H27" s="4" t="inlineStr"/>
      <c r="I27" s="4" t="inlineStr">
        <is>
          <t>CY-C04</t>
        </is>
      </c>
    </row>
    <row r="28">
      <c r="A28" s="2" t="inlineStr">
        <is>
          <t>qc_notruf_schnittstelle</t>
        </is>
      </c>
      <c r="B28" s="2" t="inlineStr">
        <is>
          <t>3.4.2</t>
        </is>
      </c>
      <c r="C28" s="2" t="inlineStr">
        <is>
          <t>C – Komponenten und Schnittstellen</t>
        </is>
      </c>
      <c r="D28" s="2" t="inlineStr">
        <is>
          <t>Höchste vorhandene Schnittstellenkategorie der Komponente „Notrufsystem (Zwei-Wege-Kommunikation)"</t>
        </is>
      </c>
      <c r="E28" s="2" t="inlineStr">
        <is>
          <t>SELECT</t>
        </is>
      </c>
      <c r="F28" s="2" t="inlineStr">
        <is>
          <t>Keine bzw. nicht programmierbare Schnittstelle
Kabelgebunden, nur vor Ort (USB, RS232/485, CAN, Ethernet, Serviceanschluss, Speicherkarte)
Benutzerschnittstelle (Bedienfeld, Eingabeterminal, Display mit Parametrierzugang)
Kabellos im Nahbereich (WLAN, Bluetooth, NFC, Mobilfunk/SIM)
Fernzugriff (Internet/Cloud, Hersteller-Fernzugriff, Service-App)</t>
        </is>
      </c>
      <c r="G28" s="2" t="inlineStr">
        <is>
          <t>Maßgeblich ist die angreifbarste Schnittstelle. Konkrete Schnittstellen (USB, CAN, Mobilfunk …) in der App dokumentieren.</t>
        </is>
      </c>
      <c r="H28" s="2" t="inlineStr">
        <is>
          <t>3.4.1 Notrufsystem mit digitaler Komponente (Mobilfunk/IP, programmierbares Notrufgerät) vorhanden? = Ja</t>
        </is>
      </c>
      <c r="I28" s="2" t="inlineStr">
        <is>
          <t>CY-C04</t>
        </is>
      </c>
    </row>
    <row r="29">
      <c r="A29" s="4" t="inlineStr">
        <is>
          <t>qc_notruf_massnahmen</t>
        </is>
      </c>
      <c r="B29" s="4" t="inlineStr">
        <is>
          <t>3.4.3</t>
        </is>
      </c>
      <c r="C29" s="4" t="inlineStr">
        <is>
          <t>C – Komponenten und Schnittstellen</t>
        </is>
      </c>
      <c r="D29" s="4" t="inlineStr">
        <is>
          <t>Schutzmaßnahmen nach TRBS 1115-1 für „Notrufsystem (Zwei-Wege-Kommunikation)"</t>
        </is>
      </c>
      <c r="E29" s="4" t="inlineStr">
        <is>
          <t>SELECT</t>
        </is>
      </c>
      <c r="F29" s="4" t="inlineStr">
        <is>
          <t>Keine Schutzmaßnahmen festgelegt
Festgelegt, aber nicht vollständig umgesetzt oder ohne Wirksamkeitsnachweis
Festgelegt, umgesetzt und Wirksamkeit nachgewiesen (TRBS 1115-1 Abschn. 5)</t>
        </is>
      </c>
      <c r="G29" s="4" t="inlineStr">
        <is>
          <t>Einschlägige Kategorien: Zugangskontrolle (Software/Hardware), Überwachung.</t>
        </is>
      </c>
      <c r="H29" s="4" t="inlineStr">
        <is>
          <t>(3.4.1 Notrufsystem mit digitaler Komponente (Mobilfunk/IP, programmierbares Notrufgerät) vorhanden? = Ja UND 3.4.2 Höchste vorhandene Schnittstellenkategorie der Komponente „Notrufsystem (Zwei-Wege-Kommunikation)" ≠ „Keine bzw. nicht programmierbare Schnittstelle")</t>
        </is>
      </c>
      <c r="I29" s="4" t="inlineStr">
        <is>
          <t>CY-C04</t>
        </is>
      </c>
    </row>
    <row r="30">
      <c r="A30" s="2" t="inlineStr">
        <is>
          <t>qc_notruf_unabhaengig</t>
        </is>
      </c>
      <c r="B30" s="2" t="inlineStr">
        <is>
          <t>3.4.4</t>
        </is>
      </c>
      <c r="C30" s="2" t="inlineStr">
        <is>
          <t>C – Komponenten und Schnittstellen</t>
        </is>
      </c>
      <c r="D30" s="2" t="inlineStr">
        <is>
          <t>Automatischer Testruf mit Ausfallmeldung an die Notrufzentrale (EN 81-28) vorhanden und wirksam?</t>
        </is>
      </c>
      <c r="E30" s="2" t="inlineStr">
        <is>
          <t>YES_NO</t>
        </is>
      </c>
      <c r="F30" s="2" t="inlineStr"/>
      <c r="G30" s="2" t="inlineStr"/>
      <c r="H30" s="2" t="inlineStr">
        <is>
          <t>(3.4.1 Notrufsystem mit digitaler Komponente (Mobilfunk/IP, programmierbares Notrufgerät) vorhanden? = Ja UND 3.4.2 Höchste vorhandene Schnittstellenkategorie der Komponente „Notrufsystem (Zwei-Wege-Kommunikation)" ≠ „Keine bzw. nicht programmierbare Schnittstelle")</t>
        </is>
      </c>
      <c r="I30" s="2" t="inlineStr">
        <is>
          <t>CY-C04</t>
        </is>
      </c>
    </row>
    <row r="31">
      <c r="A31" s="4" t="inlineStr">
        <is>
          <t>qc_kopierung_vorhanden</t>
        </is>
      </c>
      <c r="B31" s="4" t="inlineStr">
        <is>
          <t>3.5.1</t>
        </is>
      </c>
      <c r="C31" s="4" t="inlineStr">
        <is>
          <t>C – Komponenten und Schnittstellen</t>
        </is>
      </c>
      <c r="D31" s="4" t="inlineStr">
        <is>
          <t>Digitale Schachtkopierung / Absolutwertgeber vorhanden?</t>
        </is>
      </c>
      <c r="E31" s="4" t="inlineStr">
        <is>
          <t>YES_NO</t>
        </is>
      </c>
      <c r="F31" s="4" t="inlineStr"/>
      <c r="G31" s="4" t="inlineStr">
        <is>
          <t>Schutzfunktion: Positionserfassung und Haltegenauigkeit (Bündigkeit). Mögliche Cyberfolge: Fehlpositionierung oder Fehlbündigkeit; Stolper-/Absturzgefahr.</t>
        </is>
      </c>
      <c r="H31" s="4" t="inlineStr"/>
      <c r="I31" s="4" t="inlineStr">
        <is>
          <t>CY-C05</t>
        </is>
      </c>
    </row>
    <row r="32">
      <c r="A32" s="2" t="inlineStr">
        <is>
          <t>qc_kopierung_schnittstelle</t>
        </is>
      </c>
      <c r="B32" s="2" t="inlineStr">
        <is>
          <t>3.5.2</t>
        </is>
      </c>
      <c r="C32" s="2" t="inlineStr">
        <is>
          <t>C – Komponenten und Schnittstellen</t>
        </is>
      </c>
      <c r="D32" s="2" t="inlineStr">
        <is>
          <t>Höchste vorhandene Schnittstellenkategorie der Komponente „Schachtkopierung / Positionierung"</t>
        </is>
      </c>
      <c r="E32" s="2" t="inlineStr">
        <is>
          <t>SELECT</t>
        </is>
      </c>
      <c r="F32" s="2" t="inlineStr">
        <is>
          <t>Keine bzw. nicht programmierbare Schnittstelle
Kabelgebunden, nur vor Ort (USB, RS232/485, CAN, Ethernet, Serviceanschluss, Speicherkarte)
Benutzerschnittstelle (Bedienfeld, Eingabeterminal, Display mit Parametrierzugang)
Kabellos im Nahbereich (WLAN, Bluetooth, NFC, Mobilfunk/SIM)
Fernzugriff (Internet/Cloud, Hersteller-Fernzugriff, Service-App)</t>
        </is>
      </c>
      <c r="G32" s="2" t="inlineStr">
        <is>
          <t>Maßgeblich ist die angreifbarste Schnittstelle. Konkrete Schnittstellen (USB, CAN, Mobilfunk …) in der App dokumentieren.</t>
        </is>
      </c>
      <c r="H32" s="2" t="inlineStr">
        <is>
          <t>3.5.1 Digitale Schachtkopierung / Absolutwertgeber vorhanden? = Ja</t>
        </is>
      </c>
      <c r="I32" s="2" t="inlineStr">
        <is>
          <t>CY-C05</t>
        </is>
      </c>
    </row>
    <row r="33">
      <c r="A33" s="4" t="inlineStr">
        <is>
          <t>qc_kopierung_massnahmen</t>
        </is>
      </c>
      <c r="B33" s="4" t="inlineStr">
        <is>
          <t>3.5.3</t>
        </is>
      </c>
      <c r="C33" s="4" t="inlineStr">
        <is>
          <t>C – Komponenten und Schnittstellen</t>
        </is>
      </c>
      <c r="D33" s="4" t="inlineStr">
        <is>
          <t>Schutzmaßnahmen nach TRBS 1115-1 für „Schachtkopierung / Positionierung"</t>
        </is>
      </c>
      <c r="E33" s="4" t="inlineStr">
        <is>
          <t>SELECT</t>
        </is>
      </c>
      <c r="F33" s="4" t="inlineStr">
        <is>
          <t>Keine Schutzmaßnahmen festgelegt
Festgelegt, aber nicht vollständig umgesetzt oder ohne Wirksamkeitsnachweis
Festgelegt, umgesetzt und Wirksamkeit nachgewiesen (TRBS 1115-1 Abschn. 5)</t>
        </is>
      </c>
      <c r="G33" s="4" t="inlineStr">
        <is>
          <t>Einschlägige Kategorien: Zugangskontrolle (Hardware), Funktionsreduzierung.</t>
        </is>
      </c>
      <c r="H33" s="4" t="inlineStr">
        <is>
          <t>(3.5.1 Digitale Schachtkopierung / Absolutwertgeber vorhanden? = Ja UND 3.5.2 Höchste vorhandene Schnittstellenkategorie der Komponente „Schachtkopierung / Positionierung" ≠ „Keine bzw. nicht programmierbare Schnittstelle")</t>
        </is>
      </c>
      <c r="I33" s="4" t="inlineStr">
        <is>
          <t>CY-C05</t>
        </is>
      </c>
    </row>
    <row r="34">
      <c r="A34" s="2" t="inlineStr">
        <is>
          <t>qc_kopierung_unabhaengig</t>
        </is>
      </c>
      <c r="B34" s="2" t="inlineStr">
        <is>
          <t>3.5.4</t>
        </is>
      </c>
      <c r="C34" s="2" t="inlineStr">
        <is>
          <t>C – Komponenten und Schnittstellen</t>
        </is>
      </c>
      <c r="D34" s="2" t="inlineStr">
        <is>
          <t>Bleiben Bündigkeit und Endlagen bei Manipulation der Kopierung durch unabhängige Schalter/Endschalter gesichert?</t>
        </is>
      </c>
      <c r="E34" s="2" t="inlineStr">
        <is>
          <t>YES_NO</t>
        </is>
      </c>
      <c r="F34" s="2" t="inlineStr"/>
      <c r="G34" s="2" t="inlineStr"/>
      <c r="H34" s="2" t="inlineStr">
        <is>
          <t>(3.5.1 Digitale Schachtkopierung / Absolutwertgeber vorhanden? = Ja UND 3.5.2 Höchste vorhandene Schnittstellenkategorie der Komponente „Schachtkopierung / Positionierung" ≠ „Keine bzw. nicht programmierbare Schnittstelle")</t>
        </is>
      </c>
      <c r="I34" s="2" t="inlineStr">
        <is>
          <t>CY-C05</t>
        </is>
      </c>
    </row>
    <row r="35">
      <c r="A35" s="4" t="inlineStr">
        <is>
          <t>qc_tuer_vorhanden</t>
        </is>
      </c>
      <c r="B35" s="4" t="inlineStr">
        <is>
          <t>3.6.1</t>
        </is>
      </c>
      <c r="C35" s="4" t="inlineStr">
        <is>
          <t>C – Komponenten und Schnittstellen</t>
        </is>
      </c>
      <c r="D35" s="4" t="inlineStr">
        <is>
          <t>Programmierbare Türsteuerung / Türantrieb mit Parametrierzugang vorhanden?</t>
        </is>
      </c>
      <c r="E35" s="4" t="inlineStr">
        <is>
          <t>YES_NO</t>
        </is>
      </c>
      <c r="F35" s="4" t="inlineStr"/>
      <c r="G35" s="4" t="inlineStr">
        <is>
          <t>Schutzfunktion: Türbewegung und Begrenzung der Schließkräfte. Mögliche Cyberfolge: Unzulässige Türkräfte oder Türbewegung; Quetsch-/Schergefahr.</t>
        </is>
      </c>
      <c r="H35" s="4" t="inlineStr"/>
      <c r="I35" s="4" t="inlineStr">
        <is>
          <t>CY-C06</t>
        </is>
      </c>
    </row>
    <row r="36">
      <c r="A36" s="2" t="inlineStr">
        <is>
          <t>qc_tuer_schnittstelle</t>
        </is>
      </c>
      <c r="B36" s="2" t="inlineStr">
        <is>
          <t>3.6.2</t>
        </is>
      </c>
      <c r="C36" s="2" t="inlineStr">
        <is>
          <t>C – Komponenten und Schnittstellen</t>
        </is>
      </c>
      <c r="D36" s="2" t="inlineStr">
        <is>
          <t>Höchste vorhandene Schnittstellenkategorie der Komponente „Türsteuerung"</t>
        </is>
      </c>
      <c r="E36" s="2" t="inlineStr">
        <is>
          <t>SELECT</t>
        </is>
      </c>
      <c r="F36" s="2" t="inlineStr">
        <is>
          <t>Keine bzw. nicht programmierbare Schnittstelle
Kabelgebunden, nur vor Ort (USB, RS232/485, CAN, Ethernet, Serviceanschluss, Speicherkarte)
Benutzerschnittstelle (Bedienfeld, Eingabeterminal, Display mit Parametrierzugang)
Kabellos im Nahbereich (WLAN, Bluetooth, NFC, Mobilfunk/SIM)
Fernzugriff (Internet/Cloud, Hersteller-Fernzugriff, Service-App)</t>
        </is>
      </c>
      <c r="G36" s="2" t="inlineStr">
        <is>
          <t>Maßgeblich ist die angreifbarste Schnittstelle. Konkrete Schnittstellen (USB, CAN, Mobilfunk …) in der App dokumentieren.</t>
        </is>
      </c>
      <c r="H36" s="2" t="inlineStr">
        <is>
          <t>3.6.1 Programmierbare Türsteuerung / Türantrieb mit Parametrierzugang vorhanden? = Ja</t>
        </is>
      </c>
      <c r="I36" s="2" t="inlineStr">
        <is>
          <t>CY-C06</t>
        </is>
      </c>
    </row>
    <row r="37">
      <c r="A37" s="4" t="inlineStr">
        <is>
          <t>qc_tuer_massnahmen</t>
        </is>
      </c>
      <c r="B37" s="4" t="inlineStr">
        <is>
          <t>3.6.3</t>
        </is>
      </c>
      <c r="C37" s="4" t="inlineStr">
        <is>
          <t>C – Komponenten und Schnittstellen</t>
        </is>
      </c>
      <c r="D37" s="4" t="inlineStr">
        <is>
          <t>Schutzmaßnahmen nach TRBS 1115-1 für „Türsteuerung"</t>
        </is>
      </c>
      <c r="E37" s="4" t="inlineStr">
        <is>
          <t>SELECT</t>
        </is>
      </c>
      <c r="F37" s="4" t="inlineStr">
        <is>
          <t>Keine Schutzmaßnahmen festgelegt
Festgelegt, aber nicht vollständig umgesetzt oder ohne Wirksamkeitsnachweis
Festgelegt, umgesetzt und Wirksamkeit nachgewiesen (TRBS 1115-1 Abschn. 5)</t>
        </is>
      </c>
      <c r="G37" s="4" t="inlineStr">
        <is>
          <t>Einschlägige Kategorien: Zugangskontrolle (Hardware), Funktionsreduzierung.</t>
        </is>
      </c>
      <c r="H37" s="4" t="inlineStr">
        <is>
          <t>(3.6.1 Programmierbare Türsteuerung / Türantrieb mit Parametrierzugang vorhanden? = Ja UND 3.6.2 Höchste vorhandene Schnittstellenkategorie der Komponente „Türsteuerung" ≠ „Keine bzw. nicht programmierbare Schnittstelle")</t>
        </is>
      </c>
      <c r="I37" s="4" t="inlineStr">
        <is>
          <t>CY-C06</t>
        </is>
      </c>
    </row>
    <row r="38">
      <c r="A38" s="2" t="inlineStr">
        <is>
          <t>qc_tuer_unabhaengig</t>
        </is>
      </c>
      <c r="B38" s="2" t="inlineStr">
        <is>
          <t>3.6.4</t>
        </is>
      </c>
      <c r="C38" s="2" t="inlineStr">
        <is>
          <t>C – Komponenten und Schnittstellen</t>
        </is>
      </c>
      <c r="D38" s="2" t="inlineStr">
        <is>
          <t>Wirkt die Schließkraftbegrenzung/Reversierung unabhängig von der programmierbaren Türsteuerung (mechanisch oder separates Gerät)?</t>
        </is>
      </c>
      <c r="E38" s="2" t="inlineStr">
        <is>
          <t>YES_NO</t>
        </is>
      </c>
      <c r="F38" s="2" t="inlineStr"/>
      <c r="G38" s="2" t="inlineStr"/>
      <c r="H38" s="2" t="inlineStr">
        <is>
          <t>(3.6.1 Programmierbare Türsteuerung / Türantrieb mit Parametrierzugang vorhanden? = Ja UND 3.6.2 Höchste vorhandene Schnittstellenkategorie der Komponente „Türsteuerung" ≠ „Keine bzw. nicht programmierbare Schnittstelle")</t>
        </is>
      </c>
      <c r="I38" s="2" t="inlineStr">
        <is>
          <t>CY-C06</t>
        </is>
      </c>
    </row>
    <row r="39">
      <c r="A39" s="4" t="inlineStr">
        <is>
          <t>qc_ucm_vorhanden</t>
        </is>
      </c>
      <c r="B39" s="4" t="inlineStr">
        <is>
          <t>3.7.1</t>
        </is>
      </c>
      <c r="C39" s="4" t="inlineStr">
        <is>
          <t>C – Komponenten und Schnittstellen</t>
        </is>
      </c>
      <c r="D39" s="4" t="inlineStr">
        <is>
          <t>UCM-Erkennung (Schutz gegen unbeabsichtigte Bewegung) mit programmierbarer Komponente vorhanden?</t>
        </is>
      </c>
      <c r="E39" s="4" t="inlineStr">
        <is>
          <t>YES_NO</t>
        </is>
      </c>
      <c r="F39" s="4" t="inlineStr"/>
      <c r="G39" s="4" t="inlineStr">
        <is>
          <t>Schutzfunktion: Verhinderung unkontrollierter Fahrkorbbewegung bei offenen Türen. Mögliche Cyberfolge: Quetsch-/Schergefahr durch Deaktivierung oder Parameteränderung.</t>
        </is>
      </c>
      <c r="H39" s="4" t="inlineStr"/>
      <c r="I39" s="4" t="inlineStr">
        <is>
          <t>CY-C07</t>
        </is>
      </c>
    </row>
    <row r="40">
      <c r="A40" s="2" t="inlineStr">
        <is>
          <t>qc_ucm_schnittstelle</t>
        </is>
      </c>
      <c r="B40" s="2" t="inlineStr">
        <is>
          <t>3.7.2</t>
        </is>
      </c>
      <c r="C40" s="2" t="inlineStr">
        <is>
          <t>C – Komponenten und Schnittstellen</t>
        </is>
      </c>
      <c r="D40" s="2" t="inlineStr">
        <is>
          <t>Höchste vorhandene Schnittstellenkategorie der Komponente „UCM-Erkennung"</t>
        </is>
      </c>
      <c r="E40" s="2" t="inlineStr">
        <is>
          <t>SELECT</t>
        </is>
      </c>
      <c r="F40" s="2" t="inlineStr">
        <is>
          <t>Keine bzw. nicht programmierbare Schnittstelle
Kabelgebunden, nur vor Ort (USB, RS232/485, CAN, Ethernet, Serviceanschluss, Speicherkarte)
Benutzerschnittstelle (Bedienfeld, Eingabeterminal, Display mit Parametrierzugang)
Kabellos im Nahbereich (WLAN, Bluetooth, NFC, Mobilfunk/SIM)
Fernzugriff (Internet/Cloud, Hersteller-Fernzugriff, Service-App)</t>
        </is>
      </c>
      <c r="G40" s="2" t="inlineStr">
        <is>
          <t>Maßgeblich ist die angreifbarste Schnittstelle. Konkrete Schnittstellen (USB, CAN, Mobilfunk …) in der App dokumentieren.</t>
        </is>
      </c>
      <c r="H40" s="2" t="inlineStr">
        <is>
          <t>3.7.1 UCM-Erkennung (Schutz gegen unbeabsichtigte Bewegung) mit programmierbarer Komponente vorhanden? = Ja</t>
        </is>
      </c>
      <c r="I40" s="2" t="inlineStr">
        <is>
          <t>CY-C07</t>
        </is>
      </c>
    </row>
    <row r="41">
      <c r="A41" s="4" t="inlineStr">
        <is>
          <t>qc_ucm_massnahmen</t>
        </is>
      </c>
      <c r="B41" s="4" t="inlineStr">
        <is>
          <t>3.7.3</t>
        </is>
      </c>
      <c r="C41" s="4" t="inlineStr">
        <is>
          <t>C – Komponenten und Schnittstellen</t>
        </is>
      </c>
      <c r="D41" s="4" t="inlineStr">
        <is>
          <t>Schutzmaßnahmen nach TRBS 1115-1 für „UCM-Erkennung"</t>
        </is>
      </c>
      <c r="E41" s="4" t="inlineStr">
        <is>
          <t>SELECT</t>
        </is>
      </c>
      <c r="F41" s="4" t="inlineStr">
        <is>
          <t>Keine Schutzmaßnahmen festgelegt
Festgelegt, aber nicht vollständig umgesetzt oder ohne Wirksamkeitsnachweis
Festgelegt, umgesetzt und Wirksamkeit nachgewiesen (TRBS 1115-1 Abschn. 5)</t>
        </is>
      </c>
      <c r="G41" s="4" t="inlineStr">
        <is>
          <t>Einschlägige Kategorien: Zugangskontrolle (Hardware), Funktionsreduzierung.</t>
        </is>
      </c>
      <c r="H41" s="4" t="inlineStr">
        <is>
          <t>(3.7.1 UCM-Erkennung (Schutz gegen unbeabsichtigte Bewegung) mit programmierbarer Komponente vorhanden? = Ja UND 3.7.2 Höchste vorhandene Schnittstellenkategorie der Komponente „UCM-Erkennung" ≠ „Keine bzw. nicht programmierbare Schnittstelle")</t>
        </is>
      </c>
      <c r="I41" s="4" t="inlineStr">
        <is>
          <t>CY-C07</t>
        </is>
      </c>
    </row>
    <row r="42">
      <c r="A42" s="2" t="inlineStr">
        <is>
          <t>qc_ucm_unabhaengig</t>
        </is>
      </c>
      <c r="B42" s="2" t="inlineStr">
        <is>
          <t>3.7.4</t>
        </is>
      </c>
      <c r="C42" s="2" t="inlineStr">
        <is>
          <t>C – Komponenten und Schnittstellen</t>
        </is>
      </c>
      <c r="D42" s="2" t="inlineStr">
        <is>
          <t>Wirkt das UCM-Bremselement (Bremse/Fangvorrichtung) über eine unabhängige, nicht programmierbare Auslösung?</t>
        </is>
      </c>
      <c r="E42" s="2" t="inlineStr">
        <is>
          <t>YES_NO</t>
        </is>
      </c>
      <c r="F42" s="2" t="inlineStr"/>
      <c r="G42" s="2" t="inlineStr"/>
      <c r="H42" s="2" t="inlineStr">
        <is>
          <t>(3.7.1 UCM-Erkennung (Schutz gegen unbeabsichtigte Bewegung) mit programmierbarer Komponente vorhanden? = Ja UND 3.7.2 Höchste vorhandene Schnittstellenkategorie der Komponente „UCM-Erkennung" ≠ „Keine bzw. nicht programmierbare Schnittstelle")</t>
        </is>
      </c>
      <c r="I42" s="2" t="inlineStr">
        <is>
          <t>CY-C07</t>
        </is>
      </c>
    </row>
    <row r="43">
      <c r="A43" s="4" t="inlineStr">
        <is>
          <t>qc_safue_vorhanden</t>
        </is>
      </c>
      <c r="B43" s="4" t="inlineStr">
        <is>
          <t>3.8.1</t>
        </is>
      </c>
      <c r="C43" s="4" t="inlineStr">
        <is>
          <t>C – Komponenten und Schnittstellen</t>
        </is>
      </c>
      <c r="D43" s="4" t="inlineStr">
        <is>
          <t>Elektronischer Geschwindigkeitsbegrenzer / SAFÜ mit programmierbarer Komponente vorhanden?</t>
        </is>
      </c>
      <c r="E43" s="4" t="inlineStr">
        <is>
          <t>YES_NO</t>
        </is>
      </c>
      <c r="F43" s="4" t="inlineStr"/>
      <c r="G43" s="4" t="inlineStr">
        <is>
          <t>Schutzfunktion: Schutz gegen Übergeschwindigkeit. Mögliche Cyberfolge: Deaktivierung oder Manipulation des Übergeschwindigkeitsschutzes.</t>
        </is>
      </c>
      <c r="H43" s="4" t="inlineStr"/>
      <c r="I43" s="4" t="inlineStr">
        <is>
          <t>CY-C08</t>
        </is>
      </c>
    </row>
    <row r="44">
      <c r="A44" s="2" t="inlineStr">
        <is>
          <t>qc_safue_schnittstelle</t>
        </is>
      </c>
      <c r="B44" s="2" t="inlineStr">
        <is>
          <t>3.8.2</t>
        </is>
      </c>
      <c r="C44" s="2" t="inlineStr">
        <is>
          <t>C – Komponenten und Schnittstellen</t>
        </is>
      </c>
      <c r="D44" s="2" t="inlineStr">
        <is>
          <t>Höchste vorhandene Schnittstellenkategorie der Komponente „SAFÜ (Schutz gegen Übergeschwindigkeit)"</t>
        </is>
      </c>
      <c r="E44" s="2" t="inlineStr">
        <is>
          <t>SELECT</t>
        </is>
      </c>
      <c r="F44" s="2" t="inlineStr">
        <is>
          <t>Keine bzw. nicht programmierbare Schnittstelle
Kabelgebunden, nur vor Ort (USB, RS232/485, CAN, Ethernet, Serviceanschluss, Speicherkarte)
Benutzerschnittstelle (Bedienfeld, Eingabeterminal, Display mit Parametrierzugang)
Kabellos im Nahbereich (WLAN, Bluetooth, NFC, Mobilfunk/SIM)
Fernzugriff (Internet/Cloud, Hersteller-Fernzugriff, Service-App)</t>
        </is>
      </c>
      <c r="G44" s="2" t="inlineStr">
        <is>
          <t>Maßgeblich ist die angreifbarste Schnittstelle. Konkrete Schnittstellen (USB, CAN, Mobilfunk …) in der App dokumentieren.</t>
        </is>
      </c>
      <c r="H44" s="2" t="inlineStr">
        <is>
          <t>3.8.1 Elektronischer Geschwindigkeitsbegrenzer / SAFÜ mit programmierbarer Komponente vorhanden? = Ja</t>
        </is>
      </c>
      <c r="I44" s="2" t="inlineStr">
        <is>
          <t>CY-C08</t>
        </is>
      </c>
    </row>
    <row r="45">
      <c r="A45" s="4" t="inlineStr">
        <is>
          <t>qc_safue_massnahmen</t>
        </is>
      </c>
      <c r="B45" s="4" t="inlineStr">
        <is>
          <t>3.8.3</t>
        </is>
      </c>
      <c r="C45" s="4" t="inlineStr">
        <is>
          <t>C – Komponenten und Schnittstellen</t>
        </is>
      </c>
      <c r="D45" s="4" t="inlineStr">
        <is>
          <t>Schutzmaßnahmen nach TRBS 1115-1 für „SAFÜ (Schutz gegen Übergeschwindigkeit)"</t>
        </is>
      </c>
      <c r="E45" s="4" t="inlineStr">
        <is>
          <t>SELECT</t>
        </is>
      </c>
      <c r="F45" s="4" t="inlineStr">
        <is>
          <t>Keine Schutzmaßnahmen festgelegt
Festgelegt, aber nicht vollständig umgesetzt oder ohne Wirksamkeitsnachweis
Festgelegt, umgesetzt und Wirksamkeit nachgewiesen (TRBS 1115-1 Abschn. 5)</t>
        </is>
      </c>
      <c r="G45" s="4" t="inlineStr">
        <is>
          <t>Einschlägige Kategorien: Zugangskontrolle (Hardware), Funktionsreduzierung.</t>
        </is>
      </c>
      <c r="H45" s="4" t="inlineStr">
        <is>
          <t>(3.8.1 Elektronischer Geschwindigkeitsbegrenzer / SAFÜ mit programmierbarer Komponente vorhanden? = Ja UND 3.8.2 Höchste vorhandene Schnittstellenkategorie der Komponente „SAFÜ (Schutz gegen Übergeschwindigkeit)" ≠ „Keine bzw. nicht programmierbare Schnittstelle")</t>
        </is>
      </c>
      <c r="I45" s="4" t="inlineStr">
        <is>
          <t>CY-C08</t>
        </is>
      </c>
    </row>
    <row r="46">
      <c r="A46" s="2" t="inlineStr">
        <is>
          <t>qc_safue_unabhaengig</t>
        </is>
      </c>
      <c r="B46" s="2" t="inlineStr">
        <is>
          <t>3.8.4</t>
        </is>
      </c>
      <c r="C46" s="2" t="inlineStr">
        <is>
          <t>C – Komponenten und Schnittstellen</t>
        </is>
      </c>
      <c r="D46" s="2" t="inlineStr">
        <is>
          <t>Bleibt die Fangvorrichtung bei Manipulation der elektronischen Überwachung durch einen mechanischen Begrenzer auslösbar?</t>
        </is>
      </c>
      <c r="E46" s="2" t="inlineStr">
        <is>
          <t>YES_NO</t>
        </is>
      </c>
      <c r="F46" s="2" t="inlineStr"/>
      <c r="G46" s="2" t="inlineStr"/>
      <c r="H46" s="2" t="inlineStr">
        <is>
          <t>(3.8.1 Elektronischer Geschwindigkeitsbegrenzer / SAFÜ mit programmierbarer Komponente vorhanden? = Ja UND 3.8.2 Höchste vorhandene Schnittstellenkategorie der Komponente „SAFÜ (Schutz gegen Übergeschwindigkeit)" ≠ „Keine bzw. nicht programmierbare Schnittstelle")</t>
        </is>
      </c>
      <c r="I46" s="2" t="inlineStr">
        <is>
          <t>CY-C08</t>
        </is>
      </c>
    </row>
    <row r="47">
      <c r="A47" s="4" t="inlineStr">
        <is>
          <t>qc_tragmittel_vorhanden</t>
        </is>
      </c>
      <c r="B47" s="4" t="inlineStr">
        <is>
          <t>3.9.1</t>
        </is>
      </c>
      <c r="C47" s="4" t="inlineStr">
        <is>
          <t>C – Komponenten und Schnittstellen</t>
        </is>
      </c>
      <c r="D47" s="4" t="inlineStr">
        <is>
          <t>Elektronische Tragmittelüberwachung (z. B. Riemenüberwachung) vorhanden?</t>
        </is>
      </c>
      <c r="E47" s="4" t="inlineStr">
        <is>
          <t>YES_NO</t>
        </is>
      </c>
      <c r="F47" s="4" t="inlineStr"/>
      <c r="G47" s="4" t="inlineStr">
        <is>
          <t>Schutzfunktion: Überwachung des Zustands der Tragmittel (Riemen/Seile). Mögliche Cyberfolge: Ausfall oder Umgehung der Überwachung bleibt unbemerkt.</t>
        </is>
      </c>
      <c r="H47" s="4" t="inlineStr"/>
      <c r="I47" s="4" t="inlineStr">
        <is>
          <t>CY-C09</t>
        </is>
      </c>
    </row>
    <row r="48">
      <c r="A48" s="2" t="inlineStr">
        <is>
          <t>qc_tragmittel_schnittstelle</t>
        </is>
      </c>
      <c r="B48" s="2" t="inlineStr">
        <is>
          <t>3.9.2</t>
        </is>
      </c>
      <c r="C48" s="2" t="inlineStr">
        <is>
          <t>C – Komponenten und Schnittstellen</t>
        </is>
      </c>
      <c r="D48" s="2" t="inlineStr">
        <is>
          <t>Höchste vorhandene Schnittstellenkategorie der Komponente „Tragmittelüberwachung"</t>
        </is>
      </c>
      <c r="E48" s="2" t="inlineStr">
        <is>
          <t>SELECT</t>
        </is>
      </c>
      <c r="F48" s="2" t="inlineStr">
        <is>
          <t>Keine bzw. nicht programmierbare Schnittstelle
Kabelgebunden, nur vor Ort (USB, RS232/485, CAN, Ethernet, Serviceanschluss, Speicherkarte)
Benutzerschnittstelle (Bedienfeld, Eingabeterminal, Display mit Parametrierzugang)
Kabellos im Nahbereich (WLAN, Bluetooth, NFC, Mobilfunk/SIM)
Fernzugriff (Internet/Cloud, Hersteller-Fernzugriff, Service-App)</t>
        </is>
      </c>
      <c r="G48" s="2" t="inlineStr">
        <is>
          <t>Maßgeblich ist die angreifbarste Schnittstelle. Konkrete Schnittstellen (USB, CAN, Mobilfunk …) in der App dokumentieren.</t>
        </is>
      </c>
      <c r="H48" s="2" t="inlineStr">
        <is>
          <t>3.9.1 Elektronische Tragmittelüberwachung (z. B. Riemenüberwachung) vorhanden? = Ja</t>
        </is>
      </c>
      <c r="I48" s="2" t="inlineStr">
        <is>
          <t>CY-C09</t>
        </is>
      </c>
    </row>
    <row r="49">
      <c r="A49" s="4" t="inlineStr">
        <is>
          <t>qc_tragmittel_massnahmen</t>
        </is>
      </c>
      <c r="B49" s="4" t="inlineStr">
        <is>
          <t>3.9.3</t>
        </is>
      </c>
      <c r="C49" s="4" t="inlineStr">
        <is>
          <t>C – Komponenten und Schnittstellen</t>
        </is>
      </c>
      <c r="D49" s="4" t="inlineStr">
        <is>
          <t>Schutzmaßnahmen nach TRBS 1115-1 für „Tragmittelüberwachung"</t>
        </is>
      </c>
      <c r="E49" s="4" t="inlineStr">
        <is>
          <t>SELECT</t>
        </is>
      </c>
      <c r="F49" s="4" t="inlineStr">
        <is>
          <t>Keine Schutzmaßnahmen festgelegt
Festgelegt, aber nicht vollständig umgesetzt oder ohne Wirksamkeitsnachweis
Festgelegt, umgesetzt und Wirksamkeit nachgewiesen (TRBS 1115-1 Abschn. 5)</t>
        </is>
      </c>
      <c r="G49" s="4" t="inlineStr">
        <is>
          <t>Einschlägige Kategorien: Zugangskontrolle (Hardware), Überwachung.</t>
        </is>
      </c>
      <c r="H49" s="4" t="inlineStr">
        <is>
          <t>(3.9.1 Elektronische Tragmittelüberwachung (z. B. Riemenüberwachung) vorhanden? = Ja UND 3.9.2 Höchste vorhandene Schnittstellenkategorie der Komponente „Tragmittelüberwachung" ≠ „Keine bzw. nicht programmierbare Schnittstelle")</t>
        </is>
      </c>
      <c r="I49" s="4" t="inlineStr">
        <is>
          <t>CY-C09</t>
        </is>
      </c>
    </row>
    <row r="50">
      <c r="A50" s="2" t="inlineStr">
        <is>
          <t>qc_tragmittel_unabhaengig</t>
        </is>
      </c>
      <c r="B50" s="2" t="inlineStr">
        <is>
          <t>3.9.4</t>
        </is>
      </c>
      <c r="C50" s="2" t="inlineStr">
        <is>
          <t>C – Komponenten und Schnittstellen</t>
        </is>
      </c>
      <c r="D50" s="2" t="inlineStr">
        <is>
          <t>Wird der Tragmittelzustand zusätzlich unabhängig geprüft (Sichtprüfung nach Wartungsplan, Ablegereife)?</t>
        </is>
      </c>
      <c r="E50" s="2" t="inlineStr">
        <is>
          <t>YES_NO</t>
        </is>
      </c>
      <c r="F50" s="2" t="inlineStr"/>
      <c r="G50" s="2" t="inlineStr"/>
      <c r="H50" s="2" t="inlineStr">
        <is>
          <t>(3.9.1 Elektronische Tragmittelüberwachung (z. B. Riemenüberwachung) vorhanden? = Ja UND 3.9.2 Höchste vorhandene Schnittstellenkategorie der Komponente „Tragmittelüberwachung" ≠ „Keine bzw. nicht programmierbare Schnittstelle")</t>
        </is>
      </c>
      <c r="I50" s="2" t="inlineStr">
        <is>
          <t>CY-C09</t>
        </is>
      </c>
    </row>
    <row r="51">
      <c r="A51" s="4" t="inlineStr">
        <is>
          <t>qc_hydraulik_vorhanden</t>
        </is>
      </c>
      <c r="B51" s="4" t="inlineStr">
        <is>
          <t>3.10.1</t>
        </is>
      </c>
      <c r="C51" s="4" t="inlineStr">
        <is>
          <t>C – Komponenten und Schnittstellen</t>
        </is>
      </c>
      <c r="D51" s="4" t="inlineStr">
        <is>
          <t>Elektronisch geregelter Hydraulik-Steuerblock vorhanden?</t>
        </is>
      </c>
      <c r="E51" s="4" t="inlineStr">
        <is>
          <t>YES_NO</t>
        </is>
      </c>
      <c r="F51" s="4" t="inlineStr"/>
      <c r="G51" s="4" t="inlineStr">
        <is>
          <t>Schutzfunktion: Schutz gegen Absinken und Übergeschwindigkeit bei Hydraulikaufzügen. Mögliche Cyberfolge: Manipulation von Ventilen/Parametern; unkontrolliertes Absinken.</t>
        </is>
      </c>
      <c r="H51" s="4" t="inlineStr">
        <is>
          <t>1.1 Aufzugsart in [„Hydraulikaufzug", „Seil-Hydraulikaufzug"]</t>
        </is>
      </c>
      <c r="I51" s="4" t="inlineStr">
        <is>
          <t>CY-C10</t>
        </is>
      </c>
    </row>
    <row r="52">
      <c r="A52" s="2" t="inlineStr">
        <is>
          <t>qc_hydraulik_schnittstelle</t>
        </is>
      </c>
      <c r="B52" s="2" t="inlineStr">
        <is>
          <t>3.10.2</t>
        </is>
      </c>
      <c r="C52" s="2" t="inlineStr">
        <is>
          <t>C – Komponenten und Schnittstellen</t>
        </is>
      </c>
      <c r="D52" s="2" t="inlineStr">
        <is>
          <t>Höchste vorhandene Schnittstellenkategorie der Komponente „Hydraulischer Steuerblock"</t>
        </is>
      </c>
      <c r="E52" s="2" t="inlineStr">
        <is>
          <t>SELECT</t>
        </is>
      </c>
      <c r="F52" s="2" t="inlineStr">
        <is>
          <t>Keine bzw. nicht programmierbare Schnittstelle
Kabelgebunden, nur vor Ort (USB, RS232/485, CAN, Ethernet, Serviceanschluss, Speicherkarte)
Benutzerschnittstelle (Bedienfeld, Eingabeterminal, Display mit Parametrierzugang)
Kabellos im Nahbereich (WLAN, Bluetooth, NFC, Mobilfunk/SIM)
Fernzugriff (Internet/Cloud, Hersteller-Fernzugriff, Service-App)</t>
        </is>
      </c>
      <c r="G52" s="2" t="inlineStr">
        <is>
          <t>Maßgeblich ist die angreifbarste Schnittstelle. Konkrete Schnittstellen (USB, CAN, Mobilfunk …) in der App dokumentieren.</t>
        </is>
      </c>
      <c r="H52" s="2" t="inlineStr">
        <is>
          <t>(1.1 Aufzugsart in [„Hydraulikaufzug", „Seil-Hydraulikaufzug"] UND 3.10.1 Elektronisch geregelter Hydraulik-Steuerblock vorhanden? = Ja)</t>
        </is>
      </c>
      <c r="I52" s="2" t="inlineStr">
        <is>
          <t>CY-C10</t>
        </is>
      </c>
    </row>
    <row r="53">
      <c r="A53" s="4" t="inlineStr">
        <is>
          <t>qc_hydraulik_massnahmen</t>
        </is>
      </c>
      <c r="B53" s="4" t="inlineStr">
        <is>
          <t>3.10.3</t>
        </is>
      </c>
      <c r="C53" s="4" t="inlineStr">
        <is>
          <t>C – Komponenten und Schnittstellen</t>
        </is>
      </c>
      <c r="D53" s="4" t="inlineStr">
        <is>
          <t>Schutzmaßnahmen nach TRBS 1115-1 für „Hydraulischer Steuerblock"</t>
        </is>
      </c>
      <c r="E53" s="4" t="inlineStr">
        <is>
          <t>SELECT</t>
        </is>
      </c>
      <c r="F53" s="4" t="inlineStr">
        <is>
          <t>Keine Schutzmaßnahmen festgelegt
Festgelegt, aber nicht vollständig umgesetzt oder ohne Wirksamkeitsnachweis
Festgelegt, umgesetzt und Wirksamkeit nachgewiesen (TRBS 1115-1 Abschn. 5)</t>
        </is>
      </c>
      <c r="G53" s="4" t="inlineStr">
        <is>
          <t>Einschlägige Kategorien: Zugangskontrolle (Hardware), Funktionsreduzierung.</t>
        </is>
      </c>
      <c r="H53" s="4" t="inlineStr">
        <is>
          <t>((1.1 Aufzugsart in [„Hydraulikaufzug", „Seil-Hydraulikaufzug"] UND 3.10.1 Elektronisch geregelter Hydraulik-Steuerblock vorhanden? = Ja) UND 3.10.2 Höchste vorhandene Schnittstellenkategorie der Komponente „Hydraulischer Steuerblock" ≠ „Keine bzw. nicht programmierbare Schnittstelle")</t>
        </is>
      </c>
      <c r="I53" s="4" t="inlineStr">
        <is>
          <t>CY-C10</t>
        </is>
      </c>
    </row>
    <row r="54">
      <c r="A54" s="2" t="inlineStr">
        <is>
          <t>qc_hydraulik_unabhaengig</t>
        </is>
      </c>
      <c r="B54" s="2" t="inlineStr">
        <is>
          <t>3.10.4</t>
        </is>
      </c>
      <c r="C54" s="2" t="inlineStr">
        <is>
          <t>C – Komponenten und Schnittstellen</t>
        </is>
      </c>
      <c r="D54" s="2" t="inlineStr">
        <is>
          <t>Wirken Rohrbruchventil und Absinkschutz mechanisch/hydraulisch unabhängig von der Elektronik?</t>
        </is>
      </c>
      <c r="E54" s="2" t="inlineStr">
        <is>
          <t>YES_NO</t>
        </is>
      </c>
      <c r="F54" s="2" t="inlineStr"/>
      <c r="G54" s="2" t="inlineStr"/>
      <c r="H54" s="2" t="inlineStr">
        <is>
          <t>((1.1 Aufzugsart in [„Hydraulikaufzug", „Seil-Hydraulikaufzug"] UND 3.10.1 Elektronisch geregelter Hydraulik-Steuerblock vorhanden? = Ja) UND 3.10.2 Höchste vorhandene Schnittstellenkategorie der Komponente „Hydraulischer Steuerblock" ≠ „Keine bzw. nicht programmierbare Schnittstelle")</t>
        </is>
      </c>
      <c r="I54" s="2" t="inlineStr">
        <is>
          <t>CY-C10</t>
        </is>
      </c>
    </row>
    <row r="55">
      <c r="A55" s="4" t="inlineStr">
        <is>
          <t>qc_fernueb_vorhanden</t>
        </is>
      </c>
      <c r="B55" s="4" t="inlineStr">
        <is>
          <t>3.11.1</t>
        </is>
      </c>
      <c r="C55" s="4" t="inlineStr">
        <is>
          <t>C – Komponenten und Schnittstellen</t>
        </is>
      </c>
      <c r="D55" s="4" t="inlineStr">
        <is>
          <t>Fernüberwachung (Zustandsmeldung, Störungsmeldung an Leitstelle/Hersteller) vorhanden?</t>
        </is>
      </c>
      <c r="E55" s="4" t="inlineStr">
        <is>
          <t>YES_NO</t>
        </is>
      </c>
      <c r="F55" s="4" t="inlineStr"/>
      <c r="G55" s="4" t="inlineStr"/>
      <c r="H55" s="4" t="inlineStr">
        <is>
          <t>1.5 Anlage mit Netzwerk- oder Internetanbindung (Fernüberwachung, Fernwartung, Gateway/Router/Modem, Gebäudeleittechnik)? = Ja</t>
        </is>
      </c>
      <c r="I55" s="4" t="inlineStr">
        <is>
          <t>CY-C11</t>
        </is>
      </c>
    </row>
    <row r="56">
      <c r="A56" s="2" t="inlineStr">
        <is>
          <t>qc_fernueb_lesend</t>
        </is>
      </c>
      <c r="B56" s="2" t="inlineStr">
        <is>
          <t>3.11.2</t>
        </is>
      </c>
      <c r="C56" s="2" t="inlineStr">
        <is>
          <t>C – Komponenten und Schnittstellen</t>
        </is>
      </c>
      <c r="D56" s="2" t="inlineStr">
        <is>
          <t>Ist die Fernüberwachung ausschließlich lesend (kein Schreib-, Steuer- oder Parametrierzugriff über diesen Kanal)?</t>
        </is>
      </c>
      <c r="E56" s="2" t="inlineStr">
        <is>
          <t>YES_NO</t>
        </is>
      </c>
      <c r="F56" s="2" t="inlineStr"/>
      <c r="G56" s="2" t="inlineStr"/>
      <c r="H56" s="2" t="inlineStr">
        <is>
          <t>(1.5 Anlage mit Netzwerk- oder Internetanbindung (Fernüberwachung, Fernwartung, Gateway/Router/Modem, Gebäudeleittechnik)? = Ja UND 3.11.1 Fernüberwachung (Zustandsmeldung, Störungsmeldung an Leitstelle/Hersteller) vorhanden? = Ja)</t>
        </is>
      </c>
      <c r="I56" s="2" t="inlineStr">
        <is>
          <t>CY-C11</t>
        </is>
      </c>
    </row>
    <row r="57">
      <c r="A57" s="4" t="inlineStr">
        <is>
          <t>qc_remote_vorhanden</t>
        </is>
      </c>
      <c r="B57" s="4" t="inlineStr">
        <is>
          <t>3.12.1</t>
        </is>
      </c>
      <c r="C57" s="4" t="inlineStr">
        <is>
          <t>C – Komponenten und Schnittstellen</t>
        </is>
      </c>
      <c r="D57" s="4" t="inlineStr">
        <is>
          <t>Remote-Service / Fernwartung (Hersteller-Fernzugriff, Service-App, VPN) vorhanden?</t>
        </is>
      </c>
      <c r="E57" s="4" t="inlineStr">
        <is>
          <t>YES_NO</t>
        </is>
      </c>
      <c r="F57" s="4" t="inlineStr"/>
      <c r="G57" s="4" t="inlineStr"/>
      <c r="H57" s="4" t="inlineStr">
        <is>
          <t>1.5 Anlage mit Netzwerk- oder Internetanbindung (Fernüberwachung, Fernwartung, Gateway/Router/Modem, Gebäudeleittechnik)? = Ja</t>
        </is>
      </c>
      <c r="I57" s="4" t="inlineStr">
        <is>
          <t>CY-C12</t>
        </is>
      </c>
    </row>
    <row r="58">
      <c r="A58" s="2" t="inlineStr">
        <is>
          <t>qc_gateway_vorhanden</t>
        </is>
      </c>
      <c r="B58" s="2" t="inlineStr">
        <is>
          <t>3.13.1</t>
        </is>
      </c>
      <c r="C58" s="2" t="inlineStr">
        <is>
          <t>C – Komponenten und Schnittstellen</t>
        </is>
      </c>
      <c r="D58" s="2" t="inlineStr">
        <is>
          <t>Gateway / Router / Modem / WLAN- oder Service-Dongle an der Anlage vorhanden?</t>
        </is>
      </c>
      <c r="E58" s="2" t="inlineStr">
        <is>
          <t>YES_NO</t>
        </is>
      </c>
      <c r="F58" s="2" t="inlineStr"/>
      <c r="G58" s="2" t="inlineStr"/>
      <c r="H58" s="2" t="inlineStr">
        <is>
          <t>1.5 Anlage mit Netzwerk- oder Internetanbindung (Fernüberwachung, Fernwartung, Gateway/Router/Modem, Gebäudeleittechnik)? = Ja</t>
        </is>
      </c>
      <c r="I58" s="2" t="inlineStr">
        <is>
          <t>CY-C13</t>
        </is>
      </c>
    </row>
    <row r="59">
      <c r="A59" s="4" t="inlineStr">
        <is>
          <t>qc_gateway_firewall</t>
        </is>
      </c>
      <c r="B59" s="4" t="inlineStr">
        <is>
          <t>3.13.2</t>
        </is>
      </c>
      <c r="C59" s="4" t="inlineStr">
        <is>
          <t>C – Komponenten und Schnittstellen</t>
        </is>
      </c>
      <c r="D59" s="4" t="inlineStr">
        <is>
          <t>Ist das Gateway mit Firewall/Netztrennung zur Aufzugssteuerung konfiguriert und sind nur benötigte Ports und Dienste freigegeben?</t>
        </is>
      </c>
      <c r="E59" s="4" t="inlineStr">
        <is>
          <t>YES_NO</t>
        </is>
      </c>
      <c r="F59" s="4" t="inlineStr"/>
      <c r="G59" s="4" t="inlineStr"/>
      <c r="H59" s="4" t="inlineStr">
        <is>
          <t>(1.5 Anlage mit Netzwerk- oder Internetanbindung (Fernüberwachung, Fernwartung, Gateway/Router/Modem, Gebäudeleittechnik)? = Ja UND 3.13.1 Gateway / Router / Modem / WLAN- oder Service-Dongle an der Anlage vorhanden? = Ja)</t>
        </is>
      </c>
      <c r="I59" s="4" t="inlineStr">
        <is>
          <t>CY-C13</t>
        </is>
      </c>
    </row>
    <row r="60">
      <c r="A60" s="2" t="inlineStr">
        <is>
          <t>qc_gateway_default</t>
        </is>
      </c>
      <c r="B60" s="2" t="inlineStr">
        <is>
          <t>3.13.3</t>
        </is>
      </c>
      <c r="C60" s="2" t="inlineStr">
        <is>
          <t>C – Komponenten und Schnittstellen</t>
        </is>
      </c>
      <c r="D60" s="2" t="inlineStr">
        <is>
          <t>Sind die Werkszugangsdaten des Gateways/Routers geändert und ist die Administration nur für Berechtigte erreichbar?</t>
        </is>
      </c>
      <c r="E60" s="2" t="inlineStr">
        <is>
          <t>YES_NO</t>
        </is>
      </c>
      <c r="F60" s="2" t="inlineStr"/>
      <c r="G60" s="2" t="inlineStr"/>
      <c r="H60" s="2" t="inlineStr">
        <is>
          <t>(1.5 Anlage mit Netzwerk- oder Internetanbindung (Fernüberwachung, Fernwartung, Gateway/Router/Modem, Gebäudeleittechnik)? = Ja UND 3.13.1 Gateway / Router / Modem / WLAN- oder Service-Dongle an der Anlage vorhanden? = Ja)</t>
        </is>
      </c>
      <c r="I60" s="2" t="inlineStr">
        <is>
          <t>CY-C13</t>
        </is>
      </c>
    </row>
    <row r="61">
      <c r="A61" s="4" t="inlineStr">
        <is>
          <t>qc_gateway_updates</t>
        </is>
      </c>
      <c r="B61" s="4" t="inlineStr">
        <is>
          <t>3.13.4</t>
        </is>
      </c>
      <c r="C61" s="4" t="inlineStr">
        <is>
          <t>C – Komponenten und Schnittstellen</t>
        </is>
      </c>
      <c r="D61" s="4" t="inlineStr">
        <is>
          <t>Ist die Firmware des Gateways aktuell und ein Update-Verfahren geregelt?</t>
        </is>
      </c>
      <c r="E61" s="4" t="inlineStr">
        <is>
          <t>YES_NO</t>
        </is>
      </c>
      <c r="F61" s="4" t="inlineStr"/>
      <c r="G61" s="4" t="inlineStr"/>
      <c r="H61" s="4" t="inlineStr">
        <is>
          <t>(1.5 Anlage mit Netzwerk- oder Internetanbindung (Fernüberwachung, Fernwartung, Gateway/Router/Modem, Gebäudeleittechnik)? = Ja UND 3.13.1 Gateway / Router / Modem / WLAN- oder Service-Dongle an der Anlage vorhanden? = Ja)</t>
        </is>
      </c>
      <c r="I61" s="4" t="inlineStr">
        <is>
          <t>CY-C13</t>
        </is>
      </c>
    </row>
    <row r="62">
      <c r="A62" s="2" t="inlineStr">
        <is>
          <t>qc_geb_rueckwirkungsfrei</t>
        </is>
      </c>
      <c r="B62" s="2" t="inlineStr">
        <is>
          <t>3.14.1</t>
        </is>
      </c>
      <c r="C62" s="2" t="inlineStr">
        <is>
          <t>C – Komponenten und Schnittstellen</t>
        </is>
      </c>
      <c r="D62" s="2" t="inlineStr">
        <is>
          <t>Ist die Schnittstelle zu den bauseitigen Systemen rückwirkungsfrei (definierte Signale/potenzialfreie Kontakte; bauseitige Signale können Sicherheitsfunktionen des Aufzugs nicht außer Kraft setzen)?</t>
        </is>
      </c>
      <c r="E62" s="2" t="inlineStr">
        <is>
          <t>YES_NO</t>
        </is>
      </c>
      <c r="F62" s="2" t="inlineStr"/>
      <c r="G62" s="2" t="inlineStr"/>
      <c r="H62" s="2" t="inlineStr">
        <is>
          <t>1.6 Anbindung an bauseitige Systeme vorhanden (Brandmeldeanlage/Brandfallsteuerung, Entrauchung, Gebäudeleittechnik, Zutrittssystem)? = Ja</t>
        </is>
      </c>
      <c r="I62" s="2" t="inlineStr">
        <is>
          <t>CY-C14</t>
        </is>
      </c>
    </row>
    <row r="63">
      <c r="A63" s="4" t="inlineStr">
        <is>
          <t>qc_geb_sicherer_zustand</t>
        </is>
      </c>
      <c r="B63" s="4" t="inlineStr">
        <is>
          <t>3.14.2</t>
        </is>
      </c>
      <c r="C63" s="4" t="inlineStr">
        <is>
          <t>C – Komponenten und Schnittstellen</t>
        </is>
      </c>
      <c r="D63" s="4" t="inlineStr">
        <is>
          <t>Nimmt der Aufzug bei Ausfall oder Manipulation des bauseitigen Signals (z. B. Brandfallsteuerung) einen sicheren Zustand ein (Brandfallfahrt in die Evakuierungshaltestelle, kein Weiterbetrieb)?</t>
        </is>
      </c>
      <c r="E63" s="4" t="inlineStr">
        <is>
          <t>YES_NO</t>
        </is>
      </c>
      <c r="F63" s="4" t="inlineStr"/>
      <c r="G63" s="4" t="inlineStr"/>
      <c r="H63" s="4" t="inlineStr">
        <is>
          <t>1.6 Anbindung an bauseitige Systeme vorhanden (Brandmeldeanlage/Brandfallsteuerung, Entrauchung, Gebäudeleittechnik, Zutrittssystem)? = Ja</t>
        </is>
      </c>
      <c r="I63" s="4" t="inlineStr">
        <is>
          <t>CY-C14</t>
        </is>
      </c>
    </row>
    <row r="64">
      <c r="A64" s="2" t="inlineStr">
        <is>
          <t>qn_segmentierung</t>
        </is>
      </c>
      <c r="B64" s="2" t="inlineStr">
        <is>
          <t>4.1</t>
        </is>
      </c>
      <c r="C64" s="2" t="inlineStr">
        <is>
          <t>N – Netz, Fernzugriff und Härtung</t>
        </is>
      </c>
      <c r="D64" s="2" t="inlineStr">
        <is>
          <t>Ist das Aufzugsnetz vom Gebäude-/Büronetz und vom Internet getrennt (eigenes Segment, Firewall, keine direkte Erreichbarkeit der Steuerung von außen)?</t>
        </is>
      </c>
      <c r="E64" s="2" t="inlineStr">
        <is>
          <t>YES_NO</t>
        </is>
      </c>
      <c r="F64" s="2" t="inlineStr"/>
      <c r="G64" s="2" t="inlineStr">
        <is>
          <t>Gilt kanalübergreifend für ALLE Zugangswege der Anlage (Fernüberwachung, Remote-Service/Fernwartung, Gateway, Servicegeräte vor Ort). Sind die Kanäle technisch getrennt – etwa Hersteller-Cloud und Wartungs-VPN –, gilt der schlechteste Fall: „Ja" nur, wenn es für JEDEN vorhandenen Kanal zutrifft (Prüfbericht 20.09.2026).</t>
        </is>
      </c>
      <c r="H64" s="2" t="inlineStr">
        <is>
          <t>1.5 Anlage mit Netzwerk- oder Internetanbindung (Fernüberwachung, Fernwartung, Gateway/Router/Modem, Gebäudeleittechnik)? = Ja</t>
        </is>
      </c>
      <c r="I64" s="2" t="inlineStr">
        <is>
          <t>CY-C11, CY-C12</t>
        </is>
      </c>
    </row>
    <row r="65">
      <c r="A65" s="4" t="inlineStr">
        <is>
          <t>qn_fern_freigabe</t>
        </is>
      </c>
      <c r="B65" s="4" t="inlineStr">
        <is>
          <t>4.2</t>
        </is>
      </c>
      <c r="C65" s="4" t="inlineStr">
        <is>
          <t>N – Netz, Fernzugriff und Härtung</t>
        </is>
      </c>
      <c r="D65" s="4" t="inlineStr">
        <is>
          <t>Wird ein Fernzugriff nur nach Freigabe durch den Betreiber und nur für die Dauer des Bedarfs aktiviert?</t>
        </is>
      </c>
      <c r="E65" s="4" t="inlineStr">
        <is>
          <t>YES_NO</t>
        </is>
      </c>
      <c r="F65" s="4" t="inlineStr"/>
      <c r="G65" s="4" t="inlineStr">
        <is>
          <t>Nur bei vorhandenem Remote-Service / vorhandener Fernwartung (3.12.1). Eine reine Fernüberwachung ohne Schreibzugriff braucht kein Freigabeverfahren (Prüfbericht 20.09.2026).</t>
        </is>
      </c>
      <c r="H65" s="4" t="inlineStr">
        <is>
          <t>(1.5 Anlage mit Netzwerk- oder Internetanbindung (Fernüberwachung, Fernwartung, Gateway/Router/Modem, Gebäudeleittechnik)? = Ja UND 3.12.1 Remote-Service / Fernwartung (Hersteller-Fernzugriff, Service-App, VPN) vorhanden? = Ja)</t>
        </is>
      </c>
      <c r="I65" s="4" t="inlineStr">
        <is>
          <t>CY-C12</t>
        </is>
      </c>
    </row>
    <row r="66">
      <c r="A66" s="2" t="inlineStr">
        <is>
          <t>qn_fern_auth</t>
        </is>
      </c>
      <c r="B66" s="2" t="inlineStr">
        <is>
          <t>4.3</t>
        </is>
      </c>
      <c r="C66" s="2" t="inlineStr">
        <is>
          <t>N – Netz, Fernzugriff und Härtung</t>
        </is>
      </c>
      <c r="D66" s="2" t="inlineStr">
        <is>
          <t>Ist der Fernzugriff individuell authentifiziert (personenbezogene Zugänge, Zwei-Faktor oder gleichwertig) und verschlüsselt?</t>
        </is>
      </c>
      <c r="E66" s="2" t="inlineStr">
        <is>
          <t>YES_NO</t>
        </is>
      </c>
      <c r="F66" s="2" t="inlineStr"/>
      <c r="G66" s="2" t="inlineStr">
        <is>
          <t>Gilt kanalübergreifend für ALLE Zugangswege der Anlage (Fernüberwachung, Remote-Service/Fernwartung, Gateway, Servicegeräte vor Ort). Sind die Kanäle technisch getrennt – etwa Hersteller-Cloud und Wartungs-VPN –, gilt der schlechteste Fall: „Ja" nur, wenn es für JEDEN vorhandenen Kanal zutrifft (Prüfbericht 20.09.2026).</t>
        </is>
      </c>
      <c r="H66" s="2" t="inlineStr">
        <is>
          <t>1.5 Anlage mit Netzwerk- oder Internetanbindung (Fernüberwachung, Fernwartung, Gateway/Router/Modem, Gebäudeleittechnik)? = Ja</t>
        </is>
      </c>
      <c r="I66" s="2" t="inlineStr">
        <is>
          <t>CY-C11, CY-C12</t>
        </is>
      </c>
    </row>
    <row r="67">
      <c r="A67" s="4" t="inlineStr">
        <is>
          <t>qn_protokoll</t>
        </is>
      </c>
      <c r="B67" s="4" t="inlineStr">
        <is>
          <t>4.4</t>
        </is>
      </c>
      <c r="C67" s="4" t="inlineStr">
        <is>
          <t>N – Netz, Fernzugriff und Härtung</t>
        </is>
      </c>
      <c r="D67" s="4" t="inlineStr">
        <is>
          <t>Werden Zugriffe auf die Anlage (vor Ort über Servicegeräte und per Fernzugriff) protokolliert und die Protokolle ausgewertet?</t>
        </is>
      </c>
      <c r="E67" s="4" t="inlineStr">
        <is>
          <t>YES_NO</t>
        </is>
      </c>
      <c r="F67" s="4" t="inlineStr"/>
      <c r="G67" s="4" t="inlineStr">
        <is>
          <t>Gilt kanalübergreifend für ALLE Zugangswege der Anlage (Fernüberwachung, Remote-Service/Fernwartung, Gateway, Servicegeräte vor Ort). Sind die Kanäle technisch getrennt – etwa Hersteller-Cloud und Wartungs-VPN –, gilt der schlechteste Fall: „Ja" nur, wenn es für JEDEN vorhandenen Kanal zutrifft (Prüfbericht 20.09.2026).</t>
        </is>
      </c>
      <c r="H67" s="4" t="inlineStr"/>
      <c r="I67" s="4" t="inlineStr">
        <is>
          <t>CY-C11, CY-C12</t>
        </is>
      </c>
    </row>
    <row r="68">
      <c r="A68" s="2" t="inlineStr">
        <is>
          <t>qn_softwarestand</t>
        </is>
      </c>
      <c r="B68" s="2" t="inlineStr">
        <is>
          <t>4.5</t>
        </is>
      </c>
      <c r="C68" s="2" t="inlineStr">
        <is>
          <t>N – Netz, Fernzugriff und Härtung</t>
        </is>
      </c>
      <c r="D68" s="2" t="inlineStr">
        <is>
          <t>Software-/Firmwarestand und bekannte Schwachstellen</t>
        </is>
      </c>
      <c r="E68" s="2" t="inlineStr">
        <is>
          <t>SELECT</t>
        </is>
      </c>
      <c r="F68" s="2" t="inlineStr">
        <is>
          <t>Stand bekannt; Sicherheitsupdates und Schwachstellenhinweise des Herstellers werden geregelt umgesetzt
Stand bekannt, aber kein Verfahren für Updates/Schwachstellenhinweise
Stand nicht bekannt / nicht dokumentiert</t>
        </is>
      </c>
      <c r="G68" s="2" t="inlineStr">
        <is>
          <t>TRBS 1115-1: Herstellerhinweise zu Schwachstellen sind Teil des Stands der Technik (EK-ZÜS B-002 Anhang 2 Nr. 5 und 10).</t>
        </is>
      </c>
      <c r="H68" s="2" t="inlineStr"/>
      <c r="I68" s="2" t="inlineStr">
        <is>
          <t>CY-N01</t>
        </is>
      </c>
    </row>
    <row r="69">
      <c r="A69" s="4" t="inlineStr">
        <is>
          <t>qn_funktionsreduzierung</t>
        </is>
      </c>
      <c r="B69" s="4" t="inlineStr">
        <is>
          <t>4.6</t>
        </is>
      </c>
      <c r="C69" s="4" t="inlineStr">
        <is>
          <t>N – Netz, Fernzugriff und Härtung</t>
        </is>
      </c>
      <c r="D69" s="4" t="inlineStr">
        <is>
          <t>Sind nicht benötigte Funktionen, Ports, Dienste und Schnittstellen deaktiviert (Funktionsreduzierung)?</t>
        </is>
      </c>
      <c r="E69" s="4" t="inlineStr">
        <is>
          <t>YES_NO</t>
        </is>
      </c>
      <c r="F69" s="4" t="inlineStr"/>
      <c r="G69" s="4" t="inlineStr"/>
      <c r="H69" s="4" t="inlineStr"/>
      <c r="I69" s="4" t="inlineStr">
        <is>
          <t>CY-N02</t>
        </is>
      </c>
    </row>
    <row r="70">
      <c r="A70" s="2" t="inlineStr">
        <is>
          <t>qo_verantwortlich</t>
        </is>
      </c>
      <c r="B70" s="2" t="inlineStr">
        <is>
          <t>5.1</t>
        </is>
      </c>
      <c r="C70" s="2" t="inlineStr">
        <is>
          <t>O – Organisation, Notfall und Nachweise</t>
        </is>
      </c>
      <c r="D70" s="2" t="inlineStr">
        <is>
          <t>Ist eine verantwortliche Person des Betreibers für die Cybersicherheit der Anlage benannt und die Zuständigkeit der Wartungsfirma vertraglich geregelt?</t>
        </is>
      </c>
      <c r="E70" s="2" t="inlineStr">
        <is>
          <t>YES_NO</t>
        </is>
      </c>
      <c r="F70" s="2" t="inlineStr"/>
      <c r="G70" s="2" t="inlineStr"/>
      <c r="H70" s="2" t="inlineStr"/>
      <c r="I70" s="2" t="inlineStr">
        <is>
          <t>CY-O01</t>
        </is>
      </c>
    </row>
    <row r="71">
      <c r="A71" s="4" t="inlineStr">
        <is>
          <t>qo_fachkunde</t>
        </is>
      </c>
      <c r="B71" s="4" t="inlineStr">
        <is>
          <t>5.2</t>
        </is>
      </c>
      <c r="C71" s="4" t="inlineStr">
        <is>
          <t>O – Organisation, Notfall und Nachweise</t>
        </is>
      </c>
      <c r="D71" s="4" t="inlineStr">
        <is>
          <t>Wurden die Cyber-Schutzmaßnahmen durch fachkundige Personen festgelegt (TRBS 1115-1 Abschnitt 3.3.2)?</t>
        </is>
      </c>
      <c r="E71" s="4" t="inlineStr">
        <is>
          <t>YES_NO</t>
        </is>
      </c>
      <c r="F71" s="4" t="inlineStr"/>
      <c r="G71" s="4" t="inlineStr"/>
      <c r="H71" s="4" t="inlineStr"/>
      <c r="I71" s="4" t="inlineStr">
        <is>
          <t>CY-O01</t>
        </is>
      </c>
    </row>
    <row r="72">
      <c r="A72" s="2" t="inlineStr">
        <is>
          <t>qo_notfall</t>
        </is>
      </c>
      <c r="B72" s="2" t="inlineStr">
        <is>
          <t>5.3</t>
        </is>
      </c>
      <c r="C72" s="2" t="inlineStr">
        <is>
          <t>O – Organisation, Notfall und Nachweise</t>
        </is>
      </c>
      <c r="D72" s="2" t="inlineStr">
        <is>
          <t>Ist ein Notfallmanagement für Cybervorfälle festgelegt (Erkennen, Anlage in sicheren Zustand bringen/außer Betrieb nehmen, Meldung, Wiederinbetriebnahme erst nach Prüfung)?</t>
        </is>
      </c>
      <c r="E72" s="2" t="inlineStr">
        <is>
          <t>YES_NO</t>
        </is>
      </c>
      <c r="F72" s="2" t="inlineStr"/>
      <c r="G72" s="2" t="inlineStr"/>
      <c r="H72" s="2" t="inlineStr"/>
      <c r="I72" s="2" t="inlineStr">
        <is>
          <t>CY-O03</t>
        </is>
      </c>
    </row>
    <row r="73">
      <c r="A73" s="4" t="inlineStr">
        <is>
          <t>qo_unterweisung</t>
        </is>
      </c>
      <c r="B73" s="4" t="inlineStr">
        <is>
          <t>5.4</t>
        </is>
      </c>
      <c r="C73" s="4" t="inlineStr">
        <is>
          <t>O – Organisation, Notfall und Nachweise</t>
        </is>
      </c>
      <c r="D73" s="4" t="inlineStr">
        <is>
          <t>Sind die Beschäftigten (beauftragte Person, Betreiberpersonal) zur Cybersicherheit der Anlage unterwiesen?</t>
        </is>
      </c>
      <c r="E73" s="4" t="inlineStr">
        <is>
          <t>YES_NO</t>
        </is>
      </c>
      <c r="F73" s="4" t="inlineStr"/>
      <c r="G73" s="4" t="inlineStr"/>
      <c r="H73" s="4" t="inlineStr"/>
      <c r="I73" s="4" t="inlineStr">
        <is>
          <t>CY-O04</t>
        </is>
      </c>
    </row>
    <row r="74">
      <c r="A74" s="2" t="inlineStr">
        <is>
          <t>qo_pruefung_fristen</t>
        </is>
      </c>
      <c r="B74" s="2" t="inlineStr">
        <is>
          <t>5.5</t>
        </is>
      </c>
      <c r="C74" s="2" t="inlineStr">
        <is>
          <t>O – Organisation, Notfall und Nachweise</t>
        </is>
      </c>
      <c r="D74" s="2" t="inlineStr">
        <is>
          <t>Sind Art, Umfang und Fristen der Überprüfung und Kontrolle der Cyber-Schutzmaßnahmen schriftlich festgelegt?</t>
        </is>
      </c>
      <c r="E74" s="2" t="inlineStr">
        <is>
          <t>YES_NO</t>
        </is>
      </c>
      <c r="F74" s="2" t="inlineStr"/>
      <c r="G74" s="2" t="inlineStr"/>
      <c r="H74" s="2" t="inlineStr"/>
      <c r="I74" s="2" t="inlineStr">
        <is>
          <t>CY-O05</t>
        </is>
      </c>
    </row>
    <row r="75">
      <c r="A75" s="4" t="inlineStr">
        <is>
          <t>qo_wirksamkeit</t>
        </is>
      </c>
      <c r="B75" s="4" t="inlineStr">
        <is>
          <t>5.6</t>
        </is>
      </c>
      <c r="C75" s="4" t="inlineStr">
        <is>
          <t>O – Organisation, Notfall und Nachweise</t>
        </is>
      </c>
      <c r="D75" s="4" t="inlineStr">
        <is>
          <t>Liegt ein Nachweis der Wirksamkeit der Cyber-Schutzmaßnahmen vor (TRBS 1115-1 Abschnitt 5)?</t>
        </is>
      </c>
      <c r="E75" s="4" t="inlineStr">
        <is>
          <t>YES_NO</t>
        </is>
      </c>
      <c r="F75" s="4" t="inlineStr"/>
      <c r="G75" s="4" t="inlineStr"/>
      <c r="H75" s="4" t="inlineStr"/>
      <c r="I75" s="4" t="inlineStr">
        <is>
          <t>CY-O05</t>
        </is>
      </c>
    </row>
    <row r="76">
      <c r="A76" s="2" t="inlineStr">
        <is>
          <t>qo_funktion</t>
        </is>
      </c>
      <c r="B76" s="2" t="inlineStr">
        <is>
          <t>5.7</t>
        </is>
      </c>
      <c r="C76" s="2" t="inlineStr">
        <is>
          <t>O – Organisation, Notfall und Nachweise</t>
        </is>
      </c>
      <c r="D76" s="2" t="inlineStr">
        <is>
          <t>Liegt eine Bestätigung der Funktionsfähigkeit der Cyber-Schutzmaßnahmen vor (TRBS 1115-1 Abschnitt 8.2)?</t>
        </is>
      </c>
      <c r="E76" s="2" t="inlineStr">
        <is>
          <t>YES_NO</t>
        </is>
      </c>
      <c r="F76" s="2" t="inlineStr"/>
      <c r="G76" s="2" t="inlineStr"/>
      <c r="H76" s="2" t="inlineStr"/>
      <c r="I76" s="2" t="inlineStr">
        <is>
          <t>CY-O05</t>
        </is>
      </c>
    </row>
    <row r="77">
      <c r="A77" s="4" t="inlineStr">
        <is>
          <t>qo_rueckwirkung</t>
        </is>
      </c>
      <c r="B77" s="4" t="inlineStr">
        <is>
          <t>5.8</t>
        </is>
      </c>
      <c r="C77" s="4" t="inlineStr">
        <is>
          <t>O – Organisation, Notfall und Nachweise</t>
        </is>
      </c>
      <c r="D77" s="4" t="inlineStr">
        <is>
          <t>Ist sichergestellt, dass die Cyber-Schutzmaßnahmen die Sicherheitsfunktionen der Anlage nicht negativ beeinflussen (Rückwirkungsfreiheit, z. B. keine Abschaltung des Notrufs durch die Firewall)?</t>
        </is>
      </c>
      <c r="E77" s="4" t="inlineStr">
        <is>
          <t>YES_NO</t>
        </is>
      </c>
      <c r="F77" s="4" t="inlineStr"/>
      <c r="G77" s="4" t="inlineStr"/>
      <c r="H77" s="4" t="inlineStr"/>
      <c r="I77" s="4" t="inlineStr">
        <is>
          <t>CY-O07</t>
        </is>
      </c>
    </row>
    <row r="78">
      <c r="A78" s="2" t="inlineStr">
        <is>
          <t>qo_erkenntnisse</t>
        </is>
      </c>
      <c r="B78" s="2" t="inlineStr">
        <is>
          <t>5.9</t>
        </is>
      </c>
      <c r="C78" s="2" t="inlineStr">
        <is>
          <t>O – Organisation, Notfall und Nachweise</t>
        </is>
      </c>
      <c r="D78" s="2" t="inlineStr">
        <is>
          <t>Werden neue Erkenntnisse zur Cybersicherheit (Herstellerhinweise, Schwachstellenmeldungen, CERT-Warnungen) in die Gefährdungsbeurteilung eingebunden?</t>
        </is>
      </c>
      <c r="E78" s="2" t="inlineStr">
        <is>
          <t>YES_NO</t>
        </is>
      </c>
      <c r="F78" s="2" t="inlineStr"/>
      <c r="G78" s="2" t="inlineStr"/>
      <c r="H78" s="2" t="inlineStr"/>
      <c r="I78" s="2" t="inlineStr">
        <is>
          <t>CY-O08</t>
        </is>
      </c>
    </row>
    <row r="79">
      <c r="A79" s="4" t="inlineStr">
        <is>
          <t>qo_aenderungen</t>
        </is>
      </c>
      <c r="B79" s="4" t="inlineStr">
        <is>
          <t>5.10</t>
        </is>
      </c>
      <c r="C79" s="4" t="inlineStr">
        <is>
          <t>O – Organisation, Notfall und Nachweise</t>
        </is>
      </c>
      <c r="D79" s="4" t="inlineStr">
        <is>
          <t>Wurden nach Aussage des Betreibers prüfpflichtige Änderungen mit Einfluss auf die Cybersicherheit durchgeführt (Steuerungstausch, neue Fernanbindung, Software-Update sicherheitsrelevanter Komponenten)?</t>
        </is>
      </c>
      <c r="E79" s="4" t="inlineStr">
        <is>
          <t>YES_NO</t>
        </is>
      </c>
      <c r="F79" s="4" t="inlineStr"/>
      <c r="G79" s="4" t="inlineStr"/>
      <c r="H79" s="4" t="inlineStr"/>
      <c r="I79" s="4" t="inlineStr">
        <is>
          <t>CY-O06</t>
        </is>
      </c>
    </row>
    <row r="80">
      <c r="A80" s="2" t="inlineStr">
        <is>
          <t>qo_aenderungen_geprueft</t>
        </is>
      </c>
      <c r="B80" s="2" t="inlineStr">
        <is>
          <t>5.10a</t>
        </is>
      </c>
      <c r="C80" s="2" t="inlineStr">
        <is>
          <t>O – Organisation, Notfall und Nachweise</t>
        </is>
      </c>
      <c r="D80" s="2" t="inlineStr">
        <is>
          <t>Wurden diese Änderungen geprüft (ZÜS-Prüfung nach prüfpflichtiger Änderung) und in der Gefährdungsbeurteilung nachgezogen?</t>
        </is>
      </c>
      <c r="E80" s="2" t="inlineStr">
        <is>
          <t>YES_NO</t>
        </is>
      </c>
      <c r="F80" s="2" t="inlineStr"/>
      <c r="G80" s="2" t="inlineStr"/>
      <c r="H80" s="2" t="inlineStr">
        <is>
          <t>5.10 Wurden nach Aussage des Betreibers prüfpflichtige Änderungen mit Einfluss auf die Cybersicherheit durchgeführt (Steuerungstausch, neue Fernanbindung, Software-Update sicherheitsrelevanter Komponenten)? = Ja</t>
        </is>
      </c>
      <c r="I80" s="2" t="inlineStr">
        <is>
          <t>CY-O06</t>
        </is>
      </c>
    </row>
    <row r="81">
      <c r="A81" s="4" t="inlineStr">
        <is>
          <t>qo_zues_beruecksichtigt</t>
        </is>
      </c>
      <c r="B81" s="4" t="inlineStr">
        <is>
          <t>5.11</t>
        </is>
      </c>
      <c r="C81" s="4" t="inlineStr">
        <is>
          <t>O – Organisation, Notfall und Nachweise</t>
        </is>
      </c>
      <c r="D81" s="4" t="inlineStr">
        <is>
          <t>Wurden Cyberbedrohungen gemäß TRBS 1115 Teil 1 bei der Gefährdungsbeurteilung der Anlage berücksichtigt (diese Cyber-GBU vollständig bearbeitet und in die Gesamt-GBU übernommen)?</t>
        </is>
      </c>
      <c r="E81" s="4" t="inlineStr">
        <is>
          <t>YES_NO</t>
        </is>
      </c>
      <c r="F81" s="4" t="inlineStr"/>
      <c r="G81" s="4" t="inlineStr">
        <is>
          <t>EK-ZÜS B-002 Anhang 2 Nr. 1. Dokumentation, keine Stufe.</t>
        </is>
      </c>
      <c r="H81" s="4" t="inlineStr"/>
      <c r="I81" s="4" t="inlineStr">
        <is>
          <t>CY-O05</t>
        </is>
      </c>
    </row>
    <row r="82">
      <c r="A82" s="2" t="inlineStr">
        <is>
          <t>qo_zues_erfasst</t>
        </is>
      </c>
      <c r="B82" s="2" t="inlineStr">
        <is>
          <t>5.12</t>
        </is>
      </c>
      <c r="C82" s="2" t="inlineStr">
        <is>
          <t>O – Organisation, Notfall und Nachweise</t>
        </is>
      </c>
      <c r="D82" s="2" t="inlineStr">
        <is>
          <t>Sind alle sicherheitsrelevanten MSR-Einrichtungen und weiteren schutzbedürftigen Einrichtungen erfasst und dokumentiert (Komponentenliste vollständig, weitere Komponenten als Freitext ergänzt)?</t>
        </is>
      </c>
      <c r="E82" s="2" t="inlineStr">
        <is>
          <t>YES_NO</t>
        </is>
      </c>
      <c r="F82" s="2" t="inlineStr"/>
      <c r="G82" s="2" t="inlineStr">
        <is>
          <t>EK-ZÜS B-002 Anhang 2 Nr. 2. Dokumentation, keine Stufe.</t>
        </is>
      </c>
      <c r="H82" s="2" t="inlineStr"/>
      <c r="I82" s="2" t="inlineStr">
        <is>
          <t>CY-O05</t>
        </is>
      </c>
    </row>
    <row r="83">
      <c r="A83" s="4" t="inlineStr">
        <is>
          <t>qo_zues_erhebliches_risiko</t>
        </is>
      </c>
      <c r="B83" s="4" t="inlineStr">
        <is>
          <t>5.13</t>
        </is>
      </c>
      <c r="C83" s="4" t="inlineStr">
        <is>
          <t>O – Organisation, Notfall und Nachweise</t>
        </is>
      </c>
      <c r="D83" s="4" t="inlineStr">
        <is>
          <t>Wurde bei der Festlegung der Maßnahmen berücksichtigt, dass bei überwachungsbedürftigen Anlagen nach ÜAnlG stets von einem erheblichen Risiko für Sicherheit und Gesundheit auszugehen ist?</t>
        </is>
      </c>
      <c r="E83" s="4" t="inlineStr">
        <is>
          <t>YES_NO</t>
        </is>
      </c>
      <c r="F83" s="4" t="inlineStr"/>
      <c r="G83" s="4" t="inlineStr">
        <is>
          <t>EK-ZÜS B-002 Anhang 2 Nr. 3. Dokumentation, keine Stufe.</t>
        </is>
      </c>
      <c r="H83" s="4" t="inlineStr">
        <is>
          <t>1.2 Überwachungsbedürftige Anlage nach ÜAnlG (Personen- oder Lastenaufzug mit ZÜS-Prüfpflicht)? = Ja</t>
        </is>
      </c>
      <c r="I83" s="4" t="inlineStr">
        <is>
          <t>CY-O05</t>
        </is>
      </c>
    </row>
    <row r="84">
      <c r="A84" s="2" t="inlineStr">
        <is>
          <t>qo_zues_stand_technik</t>
        </is>
      </c>
      <c r="B84" s="2" t="inlineStr">
        <is>
          <t>5.14</t>
        </is>
      </c>
      <c r="C84" s="2" t="inlineStr">
        <is>
          <t>O – Organisation, Notfall und Nachweise</t>
        </is>
      </c>
      <c r="D84" s="2" t="inlineStr">
        <is>
          <t>Wurde der Stand der Technik herangezogen (TRBS 1115 Teil 1, EK-ZÜS B-002/BA-017, Herstellervorgaben, aktuelle Schwachstellenhinweise)?</t>
        </is>
      </c>
      <c r="E84" s="2" t="inlineStr">
        <is>
          <t>YES_NO</t>
        </is>
      </c>
      <c r="F84" s="2" t="inlineStr"/>
      <c r="G84" s="2" t="inlineStr">
        <is>
          <t>EK-ZÜS B-002 Anhang 2 Nr. 5. Dokumentation, keine Stufe.</t>
        </is>
      </c>
      <c r="H84" s="2" t="inlineStr"/>
      <c r="I84" s="2" t="inlineStr">
        <is>
          <t>CY-O05</t>
        </is>
      </c>
    </row>
  </sheetData>
  <autoFilter ref="A1:I8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8" t="inlineStr">
        <is>
          <t>Cyber-GBU komponentenbasiert (CY) – Klärungsliste zur fachlichen Gegenlesung</t>
        </is>
      </c>
    </row>
    <row r="2">
      <c r="A2" s="9" t="inlineStr">
        <is>
          <t>Stand 02.09.2026 · Regelwerk cyber-mf-2026.3 · 83 Fragen · 27 Gefährdungen · 190 Regeln · 25 Klärungspunkte</t>
        </is>
      </c>
    </row>
    <row r="3">
      <c r="A3" s="9" t="inlineStr"/>
    </row>
    <row r="4">
      <c r="A4" s="9" t="inlineStr">
        <is>
          <t>Aufbau: Frage → Gefährdung (Rolle) → Regel → Stufe. Eine Gefährdung hat mehrere Fragen. Anlagenmerkmale (Blatt Fragen, Bereich A) filtern Gefährdungen auf „Nicht zutreffend". Fehlt eine Pflichtfrage, ist die Gefährdung „Unvollständig" – nie „Kein Risiko".</t>
        </is>
      </c>
    </row>
    <row r="5">
      <c r="A5" s="9" t="inlineStr">
        <is>
          <t>Quellen: Komponenten, Schnittstellen-Taxonomie, Maßnahmenkategorien und die 14 ZÜS-Prüfpunkte stammen aus dem zues-Katalog der App (EK-ZÜS B-002 rev. 5 Anhang 2, BA-017, DEKRA-Ausfüllhilfe 09/2024) und aus TRBS 1115 Teil 1; das Muster „vorhanden → Schnittstellen → Zugang frei → Maßnahmen" mit geteilten Zugangsfragen folgt als Methode der Schindler-Analyse (Kategorie 12, MC1/MC4). Anders als dort: sechs Zustände, ausdrückliche Kein-Risiko-Regel, Normbezug je Gefährdung, Stufe Hoch erreichbar. Alle Texte sind eigenständig formuliert.</t>
        </is>
      </c>
    </row>
    <row r="6">
      <c r="A6" s="9" t="inlineStr">
        <is>
          <t>Evidenz je Regel: HIGH_CONFIDENCE = Stufe und Maßnahme aus einer bestehenden App-Option übernommen; INFERRED = aus App-Katalog oder Schindler-Struktur abgeleitet, Text neu; HYPOTHESIS = eigener Vorschlag ohne Vorlage – bitte besonders prüfen.</t>
        </is>
      </c>
    </row>
    <row r="7">
      <c r="A7" s="9" t="inlineStr">
        <is>
          <t>Was zu tun ist: (1) Blatt Klaerungen – jede Zeile entscheiden (gelbe Spalten). (2) Blatt Regeln – stichprobenartig oder vollständig prüfen, Spalte „Prüfung OK?" und ggf. Korrektur eintragen. (3) Rückgabe der Datei; die Änderungen werden in mf_content/*.py eingepflegt und das Seed neu erzeugt.</t>
        </is>
      </c>
    </row>
    <row r="8">
      <c r="A8" s="9" t="inlineStr">
        <is>
          <t>Dieselben Inhalte sind im Prototyp „GBU-Bewertung" (Typ „GBU mehrfragig") interaktiv durchklickbar; dort zeigt jede Gefährdung ihre Fragen, die zutreffende Regel, Maßnahmen, Quellen und offene Klärungen.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2026-09-20T19:13:56Z</dcterms:created>
  <dcterms:modified xmlns:dcterms="http://purl.org/dc/terms/" xmlns:xsi="http://www.w3.org/2001/XMLSchema-instance" xsi:type="dcterms:W3CDTF">2026-09-20T19:13:56Z</dcterms:modified>
</cp:coreProperties>
</file>