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laerungen" sheetId="1" state="visible" r:id="rId1"/>
    <sheet xmlns:r="http://schemas.openxmlformats.org/officeDocument/2006/relationships" name="Regeln" sheetId="2" state="visible" r:id="rId2"/>
    <sheet xmlns:r="http://schemas.openxmlformats.org/officeDocument/2006/relationships" name="Gefaehrdungen" sheetId="3" state="visible" r:id="rId3"/>
    <sheet xmlns:r="http://schemas.openxmlformats.org/officeDocument/2006/relationships" name="Fragen" sheetId="4" state="visible" r:id="rId4"/>
    <sheet xmlns:r="http://schemas.openxmlformats.org/officeDocument/2006/relationships" name="Lesehinweise" sheetId="5" state="visible" r:id="rId5"/>
  </sheets>
  <definedNames>
    <definedName name="_xlnm._FilterDatabase" localSheetId="1" hidden="1">'Regeln'!$A$1:$N$388</definedName>
    <definedName name="_xlnm._FilterDatabase" localSheetId="2" hidden="1">'Gefaehrdungen'!$A$1:$K$100</definedName>
    <definedName name="_xlnm._FilterDatabase" localSheetId="3" hidden="1">'Fragen'!$A$1:$I$283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3F5F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9D1DB"/>
      </left>
      <right style="thin">
        <color rgb="00C9D1DB"/>
      </right>
      <top style="thin">
        <color rgb="00C9D1DB"/>
      </top>
      <bottom style="thin">
        <color rgb="00C9D1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4" customWidth="1" min="3" max="3"/>
    <col width="60" customWidth="1" min="4" max="4"/>
    <col width="30" customWidth="1" min="5" max="5"/>
    <col width="34" customWidth="1" min="6" max="6"/>
    <col width="36" customWidth="1" min="7" max="7"/>
    <col width="24" customWidth="1" min="8" max="8"/>
    <col width="18" customWidth="1" min="9" max="9"/>
    <col width="40" customWidth="1" min="10" max="10"/>
  </cols>
  <sheetData>
    <row r="1" ht="30" customHeight="1">
      <c r="A1" s="1" t="inlineStr">
        <is>
          <t>ID</t>
        </is>
      </c>
      <c r="B1" s="1" t="inlineStr">
        <is>
          <t>Bereich</t>
        </is>
      </c>
      <c r="C1" s="1" t="inlineStr">
        <is>
          <t>Thema</t>
        </is>
      </c>
      <c r="D1" s="1" t="inlineStr">
        <is>
          <t>Frage</t>
        </is>
      </c>
      <c r="E1" s="1" t="inlineStr">
        <is>
          <t>Vorschlag</t>
        </is>
      </c>
      <c r="F1" s="1" t="inlineStr">
        <is>
          <t>Alternative</t>
        </is>
      </c>
      <c r="G1" s="1" t="inlineStr">
        <is>
          <t>Grund</t>
        </is>
      </c>
      <c r="H1" s="1" t="inlineStr">
        <is>
          <t>Betroffene Gefährdungen</t>
        </is>
      </c>
      <c r="I1" s="1" t="inlineStr">
        <is>
          <t>Entscheidung</t>
        </is>
      </c>
      <c r="J1" s="1" t="inlineStr">
        <is>
          <t>Bemerkung / Festlegung</t>
        </is>
      </c>
    </row>
    <row r="2">
      <c r="A2" s="2" t="inlineStr">
        <is>
          <t>K-Z01</t>
        </is>
      </c>
      <c r="B2" s="2" t="inlineStr">
        <is>
          <t>Zugang</t>
        </is>
      </c>
      <c r="C2" s="2" t="inlineStr">
        <is>
          <t>Schlüsseltresor</t>
        </is>
      </c>
      <c r="D2" s="2" t="inlineStr">
        <is>
          <t>Ist ein Zugang „jederzeit über Schlüsseltresor" wirklich „Kein Risiko" – oder ein niedriges Restrisiko (Tresor kann fehlen/defekt sein)?</t>
        </is>
      </c>
      <c r="E2" s="2" t="inlineStr">
        <is>
          <t>Kein Risiko (wie App-Katalog Z5)</t>
        </is>
      </c>
      <c r="F2" s="2" t="inlineStr">
        <is>
          <t>Niedrig (so bewertet es die Schindler-App bei „Ja, über Schlüsseltresor")</t>
        </is>
      </c>
      <c r="G2" s="2" t="inlineStr">
        <is>
          <t>App und Schindler weichen voneinander ab.</t>
        </is>
      </c>
      <c r="H2" s="2" t="inlineStr">
        <is>
          <t>MF-Z09</t>
        </is>
      </c>
      <c r="I2" s="3" t="inlineStr">
        <is>
          <t>Vorschlag</t>
        </is>
      </c>
      <c r="J2" s="3" t="inlineStr">
        <is>
          <t>Schlüsseltresor = Kein Risiko. (Stand 2026-09-02)</t>
        </is>
      </c>
    </row>
    <row r="3">
      <c r="A3" s="4" t="inlineStr">
        <is>
          <t>K-Z02</t>
        </is>
      </c>
      <c r="B3" s="4" t="inlineStr">
        <is>
          <t>Zugang</t>
        </is>
      </c>
      <c r="C3" s="4" t="inlineStr">
        <is>
          <t>Fluchtweg Triebwerksraum</t>
        </is>
      </c>
      <c r="D3" s="4" t="inlineStr">
        <is>
          <t>Versperrter Flucht-/Rettungsweg im Triebwerksraum: Hoch oder Niedrig?</t>
        </is>
      </c>
      <c r="E3" s="4" t="inlineStr">
        <is>
          <t>Hoch (App-Katalog Z10)</t>
        </is>
      </c>
      <c r="F3" s="4" t="inlineStr">
        <is>
          <t>Niedrig (Schindler M120, da nur Instandhaltungspersonal betroffen; an den Fahrkorbausgängen dagegen Mittel)</t>
        </is>
      </c>
      <c r="G3" s="4" t="inlineStr">
        <is>
          <t>App und Schindler weichen deutlich voneinander ab.</t>
        </is>
      </c>
      <c r="H3" s="4" t="inlineStr">
        <is>
          <t>MF-Z08</t>
        </is>
      </c>
      <c r="I3" s="3" t="inlineStr">
        <is>
          <t>Alternative</t>
        </is>
      </c>
      <c r="J3" s="3" t="inlineStr">
        <is>
          <t>Flucht-/Rettungsweg Triebwerksraum: Niedrig (alle drei Befunde). (Stand 2026-09-02)</t>
        </is>
      </c>
    </row>
    <row r="4">
      <c r="A4" s="2" t="inlineStr">
        <is>
          <t>K-Z03</t>
        </is>
      </c>
      <c r="B4" s="2" t="inlineStr">
        <is>
          <t>Zugang</t>
        </is>
      </c>
      <c r="C4" s="2" t="inlineStr">
        <is>
          <t>Enge Durchgänge</t>
        </is>
      </c>
      <c r="D4" s="2" t="inlineStr">
        <is>
          <t>Enge/niedrige Durchgänge (&lt; 0,60 m / &lt; 2,00 m) als eigene Stufe Mittel – oder nur als Hinweis ohne Stufe?</t>
        </is>
      </c>
      <c r="E4" s="2" t="inlineStr">
        <is>
          <t>Mittel</t>
        </is>
      </c>
      <c r="F4" s="2" t="inlineStr">
        <is>
          <t>Nur Dokumentation</t>
        </is>
      </c>
      <c r="G4" s="2" t="inlineStr">
        <is>
          <t>Schindler zählt es zu M019 (Hoch im Worst Case), der App-Katalog kennt es nicht.</t>
        </is>
      </c>
      <c r="H4" s="2" t="inlineStr"/>
      <c r="I4" s="3" t="inlineStr">
        <is>
          <t>Alternative</t>
        </is>
      </c>
      <c r="J4" s="3" t="inlineStr">
        <is>
          <t>Enge Durchgänge nur Dokumentation, keine Stufe. (Stand 2026-09-02)</t>
        </is>
      </c>
    </row>
    <row r="5">
      <c r="A5" s="4" t="inlineStr">
        <is>
          <t>K-Z04</t>
        </is>
      </c>
      <c r="B5" s="4" t="inlineStr">
        <is>
          <t>Zugang</t>
        </is>
      </c>
      <c r="C5" s="4" t="inlineStr">
        <is>
          <t>Mobile Leiter</t>
        </is>
      </c>
      <c r="D5" s="4" t="inlineStr">
        <is>
          <t>Zugang nur über mobile Anlegeleiter: Mittel oder Hoch?</t>
        </is>
      </c>
      <c r="E5" s="4" t="inlineStr">
        <is>
          <t>Mittel</t>
        </is>
      </c>
      <c r="F5" s="4" t="inlineStr">
        <is>
          <t>Hoch (Absturz)</t>
        </is>
      </c>
      <c r="G5" s="4" t="inlineStr">
        <is>
          <t>Im App-Katalog nicht als eigene Option enthalten.</t>
        </is>
      </c>
      <c r="H5" s="4" t="inlineStr">
        <is>
          <t>MF-Z03</t>
        </is>
      </c>
      <c r="I5" s="3" t="inlineStr">
        <is>
          <t>Alternative</t>
        </is>
      </c>
      <c r="J5" s="3" t="inlineStr">
        <is>
          <t>Zugang nur über mobile Leiter: Hoch. (Stand 2026-09-02)</t>
        </is>
      </c>
    </row>
    <row r="6">
      <c r="A6" s="2" t="inlineStr">
        <is>
          <t>K-M01</t>
        </is>
      </c>
      <c r="B6" s="2" t="inlineStr">
        <is>
          <t>Triebwerksraum</t>
        </is>
      </c>
      <c r="C6" s="2" t="inlineStr">
        <is>
          <t>DGUV-V3-Nachweis</t>
        </is>
      </c>
      <c r="D6" s="2" t="inlineStr">
        <is>
          <t>Fehlender Nachweis der Prüfung nach DGUV Vorschrift 3: Hoch (wie App M1) oder Mittel (organisatorischer Mangel, kein unmittelbarer Schaden)?</t>
        </is>
      </c>
      <c r="E6" s="2" t="inlineStr">
        <is>
          <t>Hoch (App-Katalog M1)</t>
        </is>
      </c>
      <c r="F6" s="2" t="inlineStr">
        <is>
          <t>Mittel</t>
        </is>
      </c>
      <c r="G6" s="2" t="inlineStr">
        <is>
          <t>Rein organisatorischer Befund mit Stufe Hoch.</t>
        </is>
      </c>
      <c r="H6" s="2" t="inlineStr">
        <is>
          <t>MF-M02</t>
        </is>
      </c>
      <c r="I6" s="3" t="inlineStr">
        <is>
          <t>Alternative</t>
        </is>
      </c>
      <c r="J6" s="3" t="inlineStr">
        <is>
          <t>Fehlender DGUV-V3-Nachweis: Mittel. (Stand 2026-09-02)</t>
        </is>
      </c>
    </row>
    <row r="7">
      <c r="A7" s="4" t="inlineStr">
        <is>
          <t>K-M02</t>
        </is>
      </c>
      <c r="B7" s="4" t="inlineStr">
        <is>
          <t>Triebwerksraum</t>
        </is>
      </c>
      <c r="C7" s="4" t="inlineStr">
        <is>
          <t>Hauptschalter nicht abschließbar</t>
        </is>
      </c>
      <c r="D7" s="4" t="inlineStr">
        <is>
          <t>Hauptschalter vorhanden, aber nicht abschließbar: Mittel (App M9) oder Hoch (App M5)?</t>
        </is>
      </c>
      <c r="E7" s="4" t="inlineStr">
        <is>
          <t>Mittel (M9 ist die neuere Kategorie)</t>
        </is>
      </c>
      <c r="F7" s="4" t="inlineStr">
        <is>
          <t>Hoch (M5)</t>
        </is>
      </c>
      <c r="G7" s="4" t="inlineStr">
        <is>
          <t>Die beiden App-Kategorien M5 und M9 widersprechen sich.</t>
        </is>
      </c>
      <c r="H7" s="4" t="inlineStr">
        <is>
          <t>MF-M07</t>
        </is>
      </c>
      <c r="I7" s="3" t="inlineStr">
        <is>
          <t>Alternative</t>
        </is>
      </c>
      <c r="J7" s="3" t="inlineStr">
        <is>
          <t>Hauptschalter nicht abschließbar: Hoch (App M5). (Stand 2026-09-02)</t>
        </is>
      </c>
    </row>
    <row r="8">
      <c r="A8" s="2" t="inlineStr">
        <is>
          <t>K-M03</t>
        </is>
      </c>
      <c r="B8" s="2" t="inlineStr">
        <is>
          <t>Antrieb</t>
        </is>
      </c>
      <c r="C8" s="2" t="inlineStr">
        <is>
          <t>Motorschutz</t>
        </is>
      </c>
      <c r="D8" s="2" t="inlineStr">
        <is>
          <t>Fehlender Schutz gegen Überhitzen des Antriebs: Hoch (App M10) oder Mittel (Schindler M006)?</t>
        </is>
      </c>
      <c r="E8" s="2" t="inlineStr">
        <is>
          <t>Hoch (App)</t>
        </is>
      </c>
      <c r="F8" s="2" t="inlineStr">
        <is>
          <t>Mittel (Schindler)</t>
        </is>
      </c>
      <c r="G8" s="2" t="inlineStr">
        <is>
          <t>Abweichung App/Schindler.</t>
        </is>
      </c>
      <c r="H8" s="2" t="inlineStr">
        <is>
          <t>MF-M09</t>
        </is>
      </c>
      <c r="I8" s="3" t="inlineStr">
        <is>
          <t>Alternative</t>
        </is>
      </c>
      <c r="J8" s="3" t="inlineStr">
        <is>
          <t>Fehlender Motorschutz: Mittel. (Stand 2026-09-02)</t>
        </is>
      </c>
    </row>
    <row r="9">
      <c r="A9" s="4" t="inlineStr">
        <is>
          <t>K-M04</t>
        </is>
      </c>
      <c r="B9" s="4" t="inlineStr">
        <is>
          <t>Antrieb</t>
        </is>
      </c>
      <c r="C9" s="4" t="inlineStr">
        <is>
          <t>Ein Fahrschütz mit selbstüberwachender Steuerung</t>
        </is>
      </c>
      <c r="D9" s="4" t="inlineStr">
        <is>
          <t>Nur ein Fahrschütz, aber selbstüberwachende Steuerung mit Baumusterprüfung: Kein Risiko (App M5) oder Mittel (App M10)?</t>
        </is>
      </c>
      <c r="E9" s="4" t="inlineStr">
        <is>
          <t>Kein Risiko</t>
        </is>
      </c>
      <c r="F9" s="4" t="inlineStr">
        <is>
          <t>Mittel</t>
        </is>
      </c>
      <c r="G9" s="4" t="inlineStr">
        <is>
          <t>Die App-Kategorien M5 und M10 widersprechen sich.</t>
        </is>
      </c>
      <c r="H9" s="4" t="inlineStr">
        <is>
          <t>MF-M10</t>
        </is>
      </c>
      <c r="I9" s="3" t="inlineStr">
        <is>
          <t>Vorschlag</t>
        </is>
      </c>
      <c r="J9" s="3" t="inlineStr">
        <is>
          <t>Ein Fahrschütz mit selbstüberwachender Steuerung: Kein Risiko. (Stand 2026-09-02)</t>
        </is>
      </c>
    </row>
    <row r="10">
      <c r="A10" s="2" t="inlineStr">
        <is>
          <t>K-M05</t>
        </is>
      </c>
      <c r="B10" s="2" t="inlineStr">
        <is>
          <t>Antrieb</t>
        </is>
      </c>
      <c r="C10" s="2" t="inlineStr">
        <is>
          <t>Phasenumkehrschutz bei geregelten Antrieben</t>
        </is>
      </c>
      <c r="D10" s="2" t="inlineStr">
        <is>
          <t>Darf der Phasenumkehrschutz bei Frequenzumrichter-Antrieben als „nicht zutreffend" gelten (Schutz ist im Umrichter enthalten)?</t>
        </is>
      </c>
      <c r="E10" s="2" t="inlineStr">
        <is>
          <t>Ja, nicht zutreffend</t>
        </is>
      </c>
      <c r="F10" s="2" t="inlineStr">
        <is>
          <t>Nein, immer prüfen</t>
        </is>
      </c>
      <c r="G10" s="2" t="inlineStr">
        <is>
          <t>Eigene Annahme; im App-Katalog nicht geregelt.</t>
        </is>
      </c>
      <c r="H10" s="2" t="inlineStr">
        <is>
          <t>MF-M12</t>
        </is>
      </c>
      <c r="I10" s="3" t="inlineStr">
        <is>
          <t>Vorschlag</t>
        </is>
      </c>
      <c r="J10" s="3" t="inlineStr">
        <is>
          <t>Phasenumkehrschutz bei geregelten Antrieben: nicht zutreffend. (Stand 2026-09-02)</t>
        </is>
      </c>
    </row>
    <row r="11">
      <c r="A11" s="4" t="inlineStr">
        <is>
          <t>K-M06</t>
        </is>
      </c>
      <c r="B11" s="4" t="inlineStr">
        <is>
          <t>Elektrik</t>
        </is>
      </c>
      <c r="C11" s="4" t="inlineStr">
        <is>
          <t>Potenzialausgleich</t>
        </is>
      </c>
      <c r="D11" s="4" t="inlineStr">
        <is>
          <t>Fehlender Hauptpotenzialausgleich: Hoch (App M14) oder Mittel (Schindler M110)?</t>
        </is>
      </c>
      <c r="E11" s="4" t="inlineStr">
        <is>
          <t>Hoch (App)</t>
        </is>
      </c>
      <c r="F11" s="4" t="inlineStr">
        <is>
          <t>Mittel (Schindler)</t>
        </is>
      </c>
      <c r="G11" s="4" t="inlineStr">
        <is>
          <t>Abweichung App/Schindler.</t>
        </is>
      </c>
      <c r="H11" s="4" t="inlineStr">
        <is>
          <t>MF-M16</t>
        </is>
      </c>
      <c r="I11" s="3" t="inlineStr">
        <is>
          <t>Alternative</t>
        </is>
      </c>
      <c r="J11" s="3" t="inlineStr">
        <is>
          <t>Fehlender Potenzialausgleich: Mittel. (Stand 2026-09-02)</t>
        </is>
      </c>
    </row>
    <row r="12">
      <c r="A12" s="2" t="inlineStr">
        <is>
          <t>K-M07</t>
        </is>
      </c>
      <c r="B12" s="2" t="inlineStr">
        <is>
          <t>Personenbefreiung</t>
        </is>
      </c>
      <c r="C12" s="2" t="inlineStr">
        <is>
          <t>Notbefreiungsanleitung</t>
        </is>
      </c>
      <c r="D12" s="2" t="inlineStr">
        <is>
          <t>Fehlende oder veraltete Notbefreiungsanleitung: Mittel (App M13) oder Hoch (Schindler M116)?</t>
        </is>
      </c>
      <c r="E12" s="2" t="inlineStr">
        <is>
          <t>Hoch, wenn sie fehlt; Mittel, wenn nur veraltet</t>
        </is>
      </c>
      <c r="F12" s="2" t="inlineStr">
        <is>
          <t>Immer Mittel</t>
        </is>
      </c>
      <c r="G12" s="2" t="inlineStr">
        <is>
          <t>Abweichung App/Schindler; hier als abgestufte Regel vorgeschlagen.</t>
        </is>
      </c>
      <c r="H12" s="2" t="inlineStr">
        <is>
          <t>MF-D02</t>
        </is>
      </c>
      <c r="I12" s="3" t="inlineStr">
        <is>
          <t>Vorschlag</t>
        </is>
      </c>
      <c r="J12" s="3" t="inlineStr">
        <is>
          <t>Notbefreiungsanleitung fehlt: Hoch; veraltet oder nicht zur Anlage passend: Mittel. (Stand 2026-09-02)</t>
        </is>
      </c>
    </row>
    <row r="13">
      <c r="A13" s="4" t="inlineStr">
        <is>
          <t>K-M08</t>
        </is>
      </c>
      <c r="B13" s="4" t="inlineStr">
        <is>
          <t>Elektrik</t>
        </is>
      </c>
      <c r="C13" s="4" t="inlineStr">
        <is>
          <t>Ohne Maschinenraum</t>
        </is>
      </c>
      <c r="D13" s="4" t="inlineStr">
        <is>
          <t>Bei maschinenraumlosen Anlagen: Gelten die Fragen zu Berührungssicherheit, Hauptschalter, Kennzeichnung und Stromlaufplan unverändert für den Steuerschrank?</t>
        </is>
      </c>
      <c r="E13" s="4" t="inlineStr">
        <is>
          <t>Ja (so umgesetzt: nur raumbezogene Gefährdungen entfallen)</t>
        </is>
      </c>
      <c r="F13" s="4" t="inlineStr">
        <is>
          <t>Eigener Fragensatz</t>
        </is>
      </c>
      <c r="G13" s="4" t="inlineStr">
        <is>
          <t>Eigene Annahme.</t>
        </is>
      </c>
      <c r="H13" s="4" t="inlineStr">
        <is>
          <t>MF-M02, MF-M07, MF-M17</t>
        </is>
      </c>
      <c r="I13" s="3" t="inlineStr">
        <is>
          <t>Vorschlag</t>
        </is>
      </c>
      <c r="J13" s="3" t="inlineStr">
        <is>
          <t>Ohne Maschinenraum gelten die Elektrik-Fragen für den Steuerschrank. (Stand 2026-09-02)</t>
        </is>
      </c>
    </row>
    <row r="14">
      <c r="A14" s="2" t="inlineStr">
        <is>
          <t>K-M09</t>
        </is>
      </c>
      <c r="B14" s="2" t="inlineStr">
        <is>
          <t>Antrieb</t>
        </is>
      </c>
      <c r="C14" s="2" t="inlineStr">
        <is>
          <t>Zweikreisbremse ohne Überwachung</t>
        </is>
      </c>
      <c r="D14" s="2" t="inlineStr">
        <is>
          <t>Zweikreisbremse vorhanden, aber kein Bremskontrollschalter: Mittel (App K4.2) – auch wenn kein SR-Modul / keine Nachregulierung mit offener Tür vorhanden ist?</t>
        </is>
      </c>
      <c r="E14" s="2" t="inlineStr">
        <is>
          <t>Mittel</t>
        </is>
      </c>
      <c r="F14" s="2" t="inlineStr">
        <is>
          <t>Kein Risiko ohne Türüberbrückung</t>
        </is>
      </c>
      <c r="G14" s="2" t="inlineStr">
        <is>
          <t>Eigene Nachfrage.</t>
        </is>
      </c>
      <c r="H14" s="2" t="inlineStr">
        <is>
          <t>MF-M08</t>
        </is>
      </c>
      <c r="I14" s="3" t="inlineStr">
        <is>
          <t>Alternative</t>
        </is>
      </c>
      <c r="J14" s="3" t="inlineStr">
        <is>
          <t>Zweikreisbremse ohne Überwachung: Mittel nur mit Türüberbrückung (SR-Modul), sonst Kein Risiko. (Stand 2026-09-02)</t>
        </is>
      </c>
    </row>
    <row r="15">
      <c r="A15" s="4" t="inlineStr">
        <is>
          <t>K-K01</t>
        </is>
      </c>
      <c r="B15" s="4" t="inlineStr">
        <is>
          <t>Fahrkorb</t>
        </is>
      </c>
      <c r="C15" s="4" t="inlineStr">
        <is>
          <t>Notruf ohne 24-h-Aufschaltung</t>
        </is>
      </c>
      <c r="D15" s="4" t="inlineStr">
        <is>
          <t>Notruf vorhanden, aber nicht auf eine rund um die Uhr besetzte Stelle aufgeschaltet: eigene Stufe Mittel?</t>
        </is>
      </c>
      <c r="E15" s="4" t="inlineStr">
        <is>
          <t>Mittel</t>
        </is>
      </c>
      <c r="F15" s="4" t="inlineStr">
        <is>
          <t>Kein eigener Beitrag (so verhält sich die Schindler-App)</t>
        </is>
      </c>
      <c r="G15" s="4" t="inlineStr">
        <is>
          <t>Schindler M032 wertet nur „Notruf vorhanden?"; 24 h und EN 81-28 ohne Beitrag – fachlich fragwürdig.</t>
        </is>
      </c>
      <c r="H15" s="4" t="inlineStr">
        <is>
          <t>MF-K01</t>
        </is>
      </c>
      <c r="I15" s="3" t="inlineStr">
        <is>
          <t>Vorschlag</t>
        </is>
      </c>
      <c r="J15" s="3" t="inlineStr">
        <is>
          <t>Notruf ohne 24-h-Aufschaltung: Mittel. (Stand 2026-09-02)</t>
        </is>
      </c>
    </row>
    <row r="16">
      <c r="A16" s="2" t="inlineStr">
        <is>
          <t>K-K02</t>
        </is>
      </c>
      <c r="B16" s="2" t="inlineStr">
        <is>
          <t>Fahrkorb</t>
        </is>
      </c>
      <c r="C16" s="2" t="inlineStr">
        <is>
          <t>Fehlende Notbeleuchtung</t>
        </is>
      </c>
      <c r="D16" s="2" t="inlineStr">
        <is>
          <t>Keine Notbeleuchtung im Fahrkorb: Mittel (App K10) oder Hoch (Schindler M023)?</t>
        </is>
      </c>
      <c r="E16" s="2" t="inlineStr">
        <is>
          <t>Mittel (App)</t>
        </is>
      </c>
      <c r="F16" s="2" t="inlineStr">
        <is>
          <t>Hoch (Schindler)</t>
        </is>
      </c>
      <c r="G16" s="2" t="inlineStr">
        <is>
          <t>Abweichung App/Schindler.</t>
        </is>
      </c>
      <c r="H16" s="2" t="inlineStr">
        <is>
          <t>MF-K02</t>
        </is>
      </c>
      <c r="I16" s="3" t="inlineStr">
        <is>
          <t>Alternative</t>
        </is>
      </c>
      <c r="J16" s="3" t="inlineStr">
        <is>
          <t>Keine Notbeleuchtung im Fahrkorb: Hoch. (Stand 2026-09-02)</t>
        </is>
      </c>
    </row>
    <row r="17">
      <c r="A17" s="4" t="inlineStr">
        <is>
          <t>K-K03</t>
        </is>
      </c>
      <c r="B17" s="4" t="inlineStr">
        <is>
          <t>Fahrkorb</t>
        </is>
      </c>
      <c r="C17" s="4" t="inlineStr">
        <is>
          <t>Stufenbildung bei Personen mit eingeschränkter Mobilität</t>
        </is>
      </c>
      <c r="D17" s="4" t="inlineStr">
        <is>
          <t>Stufenbildung 10–20 mm bei zu erwartender Nutzung durch Personen mit eingeschränkter Mobilität: Hochstufung auf Hoch?</t>
        </is>
      </c>
      <c r="E17" s="4" t="inlineStr">
        <is>
          <t>Ja (Modifier)</t>
        </is>
      </c>
      <c r="F17" s="4" t="inlineStr">
        <is>
          <t>Nein, bleibt Mittel</t>
        </is>
      </c>
      <c r="G17" s="4" t="inlineStr">
        <is>
          <t>Eigene Regel nach Schindler-Muster (A73 Behindertennutzung als Modifier bei M001).</t>
        </is>
      </c>
      <c r="H17" s="4" t="inlineStr">
        <is>
          <t>MF-K03</t>
        </is>
      </c>
      <c r="I17" s="3" t="inlineStr">
        <is>
          <t>Vorschlag</t>
        </is>
      </c>
      <c r="J17" s="3" t="inlineStr">
        <is>
          <t>Stufenbildung 10–20 mm bei PmeM-Nutzung: Hoch. (Stand 2026-09-02)</t>
        </is>
      </c>
    </row>
    <row r="18">
      <c r="A18" s="2" t="inlineStr">
        <is>
          <t>K-K04</t>
        </is>
      </c>
      <c r="B18" s="2" t="inlineStr">
        <is>
          <t>Fahrkorb</t>
        </is>
      </c>
      <c r="C18" s="2" t="inlineStr">
        <is>
          <t>Schwellenabstand</t>
        </is>
      </c>
      <c r="D18" s="2" t="inlineStr">
        <is>
          <t>Abstand Fahrkorbschwelle–Schachtwand &gt; 150 mm mit verriegelter Fahrkorbtür: Kein Risiko (App K8) – reicht die Verriegelung als vollständige Kompensation?</t>
        </is>
      </c>
      <c r="E18" s="2" t="inlineStr">
        <is>
          <t>Kein Risiko</t>
        </is>
      </c>
      <c r="F18" s="2" t="inlineStr">
        <is>
          <t>Niedrig</t>
        </is>
      </c>
      <c r="G18" s="2" t="inlineStr">
        <is>
          <t>Eigene Nachfrage.</t>
        </is>
      </c>
      <c r="H18" s="2" t="inlineStr">
        <is>
          <t>MF-K05</t>
        </is>
      </c>
      <c r="I18" s="3" t="inlineStr">
        <is>
          <t>Anders (siehe Bemerkung)</t>
        </is>
      </c>
      <c r="J18" s="3" t="inlineStr">
        <is>
          <t>Kein Risiko nur mit Fahrkorbtür-Verriegelung UND Zusatzverriegelung an der Schachttür (neue Frage 8.15a). (Stand 2026-09-02)</t>
        </is>
      </c>
    </row>
    <row r="19">
      <c r="A19" s="4" t="inlineStr">
        <is>
          <t>K-K05</t>
        </is>
      </c>
      <c r="B19" s="4" t="inlineStr">
        <is>
          <t>Fahrkorb</t>
        </is>
      </c>
      <c r="C19" s="4" t="inlineStr">
        <is>
          <t>Überlastkontrolle nicht geprüft</t>
        </is>
      </c>
      <c r="D19" s="4" t="inlineStr">
        <is>
          <t>Überlastkontrolle vorhanden, Funktion nicht nachweislich geprüft: Mittel?</t>
        </is>
      </c>
      <c r="E19" s="4" t="inlineStr">
        <is>
          <t>Mittel (App K13)</t>
        </is>
      </c>
      <c r="F19" s="4" t="inlineStr">
        <is>
          <t>Niedrig</t>
        </is>
      </c>
      <c r="G19" s="4" t="inlineStr">
        <is>
          <t>Eigene Nachfrage.</t>
        </is>
      </c>
      <c r="H19" s="4" t="inlineStr">
        <is>
          <t>MF-K06</t>
        </is>
      </c>
      <c r="I19" s="3" t="inlineStr">
        <is>
          <t>Alternative</t>
        </is>
      </c>
      <c r="J19" s="3" t="inlineStr">
        <is>
          <t>Überlastkontrolle nicht nachweislich geprüft: Niedrig. (Stand 2026-09-02)</t>
        </is>
      </c>
    </row>
    <row r="20">
      <c r="A20" s="2" t="inlineStr">
        <is>
          <t>K-K06</t>
        </is>
      </c>
      <c r="B20" s="2" t="inlineStr">
        <is>
          <t>Türen</t>
        </is>
      </c>
      <c r="C20" s="2" t="inlineStr">
        <is>
          <t>Notentriegelung nicht an allen Zugängen</t>
        </is>
      </c>
      <c r="D20" s="2" t="inlineStr">
        <is>
          <t>Notentriegelung fehlt an einzelnen Schachttüren: Mittel (App F5) oder Hoch (Schindler M079)?</t>
        </is>
      </c>
      <c r="E20" s="2" t="inlineStr">
        <is>
          <t>Mittel, wenn einzelne fehlen; Hoch, wenn Dreikant/Werkzeug fehlt</t>
        </is>
      </c>
      <c r="F20" s="2" t="inlineStr">
        <is>
          <t>Immer Hoch</t>
        </is>
      </c>
      <c r="G20" s="2" t="inlineStr">
        <is>
          <t>Abweichung App/Schindler.</t>
        </is>
      </c>
      <c r="H20" s="2" t="inlineStr">
        <is>
          <t>MF-T02</t>
        </is>
      </c>
      <c r="I20" s="3" t="inlineStr">
        <is>
          <t>Alternative</t>
        </is>
      </c>
      <c r="J20" s="3" t="inlineStr">
        <is>
          <t>Notentriegelung fehlt an einzelnen Schachttüren: Hoch. (Stand 2026-09-02)</t>
        </is>
      </c>
    </row>
    <row r="21">
      <c r="A21" s="4" t="inlineStr">
        <is>
          <t>K-K07</t>
        </is>
      </c>
      <c r="B21" s="4" t="inlineStr">
        <is>
          <t>Türen</t>
        </is>
      </c>
      <c r="C21" s="4" t="inlineStr">
        <is>
          <t>Feuerwiderstand unbekannt</t>
        </is>
      </c>
      <c r="D21" s="4" t="inlineStr">
        <is>
          <t>Feuerwiderstand der Schachttüren unbekannt (kein Nachweis): Mittel oder nur Dokumentation?</t>
        </is>
      </c>
      <c r="E21" s="4" t="inlineStr">
        <is>
          <t>Mittel</t>
        </is>
      </c>
      <c r="F21" s="4" t="inlineStr">
        <is>
          <t>Dokumentation</t>
        </is>
      </c>
      <c r="G21" s="4" t="inlineStr">
        <is>
          <t>Schindler M083 = Mittel; im App-Katalog nicht enthalten.</t>
        </is>
      </c>
      <c r="H21" s="4" t="inlineStr">
        <is>
          <t>MF-T05</t>
        </is>
      </c>
      <c r="I21" s="3" t="inlineStr">
        <is>
          <t>Vorschlag</t>
        </is>
      </c>
      <c r="J21" s="3" t="inlineStr">
        <is>
          <t>Feuerwiderstand unbekannt: Mittel. (Stand 2026-09-02)</t>
        </is>
      </c>
    </row>
    <row r="22">
      <c r="A22" s="2" t="inlineStr">
        <is>
          <t>K-K08</t>
        </is>
      </c>
      <c r="B22" s="2" t="inlineStr">
        <is>
          <t>Fahrkorb</t>
        </is>
      </c>
      <c r="C22" s="2" t="inlineStr">
        <is>
          <t>UCM „nicht notwendig"</t>
        </is>
      </c>
      <c r="D22" s="2" t="inlineStr">
        <is>
          <t>Kein UCM, aber kein SR-Modul, Zweikreisbremse mit Schalter und statisch bestimmte Lagerung: Mittel (App K4.2) oder Kein Risiko / Niedrig?</t>
        </is>
      </c>
      <c r="E22" s="2" t="inlineStr">
        <is>
          <t>Mittel (App)</t>
        </is>
      </c>
      <c r="F22" s="2" t="inlineStr">
        <is>
          <t>Niedrig</t>
        </is>
      </c>
      <c r="G22" s="2" t="inlineStr">
        <is>
          <t>Der App-Text sagt „UCM nicht notwendig", bewertet aber gelb.</t>
        </is>
      </c>
      <c r="H22" s="2" t="inlineStr">
        <is>
          <t>MF-K12</t>
        </is>
      </c>
      <c r="I22" s="3" t="inlineStr">
        <is>
          <t>Alternative</t>
        </is>
      </c>
      <c r="J22" s="3" t="inlineStr">
        <is>
          <t>UCM „nicht notwendig" (kein SR-Modul, 2K-Bremse mit Schalter, statisch bestimmt): Niedrig. (Stand 2026-09-02)</t>
        </is>
      </c>
    </row>
    <row r="23">
      <c r="A23" s="4" t="inlineStr">
        <is>
          <t>K-K09</t>
        </is>
      </c>
      <c r="B23" s="4" t="inlineStr">
        <is>
          <t>Fahrkorb</t>
        </is>
      </c>
      <c r="C23" s="4" t="inlineStr">
        <is>
          <t>Fahrkorb ohne Tür</t>
        </is>
      </c>
      <c r="D23" s="4" t="inlineStr">
        <is>
          <t>Fahrkorb ohne Abschlusstür, aber mit Sicherheitslichtgitter: Mittel (App K2.2). Bei Nutzung durch Personen mit eingeschränkter Mobilität oder Kinder Hoch?</t>
        </is>
      </c>
      <c r="E23" s="4" t="inlineStr">
        <is>
          <t>Ja (Modifier)</t>
        </is>
      </c>
      <c r="F23" s="4" t="inlineStr">
        <is>
          <t>Nein</t>
        </is>
      </c>
      <c r="G23" s="4" t="inlineStr">
        <is>
          <t>Schindler M076 nutzt A73 Behindertennutzung als Modifier.</t>
        </is>
      </c>
      <c r="H23" s="4" t="inlineStr">
        <is>
          <t>MF-T06</t>
        </is>
      </c>
      <c r="I23" s="3" t="inlineStr">
        <is>
          <t>Vorschlag</t>
        </is>
      </c>
      <c r="J23" s="3" t="inlineStr">
        <is>
          <t>Fahrkorb ohne Tür bei PmeM-/Kindernutzung: Hoch. (Stand 2026-09-02)</t>
        </is>
      </c>
    </row>
    <row r="24">
      <c r="A24" s="2" t="inlineStr">
        <is>
          <t>K-T01</t>
        </is>
      </c>
      <c r="B24" s="2" t="inlineStr">
        <is>
          <t>Türen</t>
        </is>
      </c>
      <c r="C24" s="2" t="inlineStr">
        <is>
          <t>Drahtglas (TRBS-Matrix)</t>
        </is>
      </c>
      <c r="D24" s="2" t="inlineStr">
        <is>
          <t>TRBS 3121 Anh. 1 Nr. 9 nennt das Risiko bei intaktem, sicher befestigtem Drahtglas ausdrücklich niedrig; der App-Katalog K9 bewertet Gitterglas gelb (Mittel). Umgesetzt: Niedrig.</t>
        </is>
      </c>
      <c r="E24" s="2" t="inlineStr">
        <is>
          <t>Niedrig (TRBS-explizit)</t>
        </is>
      </c>
      <c r="F24" s="2" t="inlineStr">
        <is>
          <t>Mittel (App K9)</t>
        </is>
      </c>
      <c r="G24" s="2" t="inlineStr">
        <is>
          <t>Neu aus der TRBS-Risikomatrix vom 02.09.2026.</t>
        </is>
      </c>
      <c r="H24" s="2" t="inlineStr">
        <is>
          <t>MF-T04</t>
        </is>
      </c>
      <c r="I24" s="3" t="inlineStr">
        <is>
          <t>Vorschlag</t>
        </is>
      </c>
      <c r="J24" s="3" t="inlineStr">
        <is>
          <t>Intaktes Drahtglas: Niedrig (TRBS 3121 Anh. 1 Nr. 9). (Stand 2026-09-02)</t>
        </is>
      </c>
    </row>
    <row r="25">
      <c r="A25" s="4" t="inlineStr">
        <is>
          <t>K-T02</t>
        </is>
      </c>
      <c r="B25" s="4" t="inlineStr">
        <is>
          <t>Türen</t>
        </is>
      </c>
      <c r="C25" s="4" t="inlineStr">
        <is>
          <t>Einzel-Lichtschranke (TRBS-Matrix)</t>
        </is>
      </c>
      <c r="D25" s="4" t="inlineStr">
        <is>
          <t>Neue Option „Einzel-Lichtschranke mit 150 N / 10 J": TRBS 3121 Anh. 1 Nr. 10 = ausdrücklich Mittel, bei behinderten/alten/gebrechlichen Personen höher. Umgesetzt: Mittel, Hoch mit PmeM-Nutzung.</t>
        </is>
      </c>
      <c r="E25" s="4" t="inlineStr">
        <is>
          <t>Mittel / Hoch mit PmeM</t>
        </is>
      </c>
      <c r="F25" s="4" t="inlineStr">
        <is>
          <t>Option nicht aufnehmen</t>
        </is>
      </c>
      <c r="G25" s="4" t="inlineStr">
        <is>
          <t>Neu aus der TRBS-Risikomatrix vom 02.09.2026.</t>
        </is>
      </c>
      <c r="H25" s="4" t="inlineStr">
        <is>
          <t>MF-T06</t>
        </is>
      </c>
      <c r="I25" s="3" t="inlineStr">
        <is>
          <t>Vorschlag</t>
        </is>
      </c>
      <c r="J25" s="3" t="inlineStr">
        <is>
          <t>Einzel-Lichtschranke 150 N / 10 J: Mittel, Hoch mit PmeM-Nutzung. (Stand 2026-09-02)</t>
        </is>
      </c>
    </row>
    <row r="26">
      <c r="A26" s="2" t="inlineStr">
        <is>
          <t>K-K10</t>
        </is>
      </c>
      <c r="B26" s="2" t="inlineStr">
        <is>
          <t>Fahrkorb</t>
        </is>
      </c>
      <c r="C26" s="2" t="inlineStr">
        <is>
          <t>Warnhinweis als Kompensation bei Stufenbildung (TRBS-Matrix)</t>
        </is>
      </c>
      <c r="D26" s="2" t="inlineStr">
        <is>
          <t>TRBS 3121 Anh. 1 Nr. 1 lässt einen Warnhinweis nur bei eingeschränktem Benutzerkreis zu, nicht bei behindertengerechten Aufzügen. Umgesetzt: Stufe 10–20 mm + eingewiesener Benutzerkreis + Warnhinweis, keine PmeM-Nutzung = Niedrig (neue Frage 8.10a).</t>
        </is>
      </c>
      <c r="E26" s="2" t="inlineStr">
        <is>
          <t>Niedrig als Kompensation</t>
        </is>
      </c>
      <c r="F26" s="2" t="inlineStr">
        <is>
          <t>Keine Kompensation, bleibt Mittel</t>
        </is>
      </c>
      <c r="G26" s="2" t="inlineStr">
        <is>
          <t>Neu aus der TRBS-Risikomatrix vom 02.09.2026.</t>
        </is>
      </c>
      <c r="H26" s="2" t="inlineStr">
        <is>
          <t>MF-K03</t>
        </is>
      </c>
      <c r="I26" s="3" t="inlineStr">
        <is>
          <t>Alternative</t>
        </is>
      </c>
      <c r="J26" s="3" t="inlineStr">
        <is>
          <t>Kein Warnhinweis als Kompensation bei Stufenbildung; 10–20 mm bleibt Mittel. (Stand 2026-09-02)</t>
        </is>
      </c>
    </row>
    <row r="27">
      <c r="A27" s="4" t="inlineStr">
        <is>
          <t>K-K11</t>
        </is>
      </c>
      <c r="B27" s="4" t="inlineStr">
        <is>
          <t>Fahrkorb</t>
        </is>
      </c>
      <c r="C27" s="4" t="inlineStr">
        <is>
          <t>UCM ohne Bremsüberwachung (TRBS-Matrix)</t>
        </is>
      </c>
      <c r="D27" s="4" t="inlineStr">
        <is>
          <t>TRBS 3121 Anh. 1 Nr. 16: statisch bestimmte Lagerung und Zweikreisbremse OHNE Überwachung = ausdrücklich Mittel (bisher fiel dieser Fall auf Hoch). Mit Überwachung bleibt es bei der Entscheidung K-K08 (Niedrig).</t>
        </is>
      </c>
      <c r="E27" s="4" t="inlineStr">
        <is>
          <t>Mittel (TRBS-explizit)</t>
        </is>
      </c>
      <c r="F27" s="4" t="inlineStr">
        <is>
          <t>Hoch</t>
        </is>
      </c>
      <c r="G27" s="4" t="inlineStr">
        <is>
          <t>Neu aus der TRBS-Risikomatrix vom 02.09.2026.</t>
        </is>
      </c>
      <c r="H27" s="4" t="inlineStr">
        <is>
          <t>MF-K12</t>
        </is>
      </c>
      <c r="I27" s="3" t="inlineStr">
        <is>
          <t>Vorschlag</t>
        </is>
      </c>
      <c r="J27" s="3" t="inlineStr">
        <is>
          <t>Statisch bestimmte Lagerung + Zweikreisbremse ohne Überwachung: Mittel. (Stand 2026-09-02)</t>
        </is>
      </c>
    </row>
    <row r="28">
      <c r="A28" s="2" t="inlineStr">
        <is>
          <t>K-K12</t>
        </is>
      </c>
      <c r="B28" s="2" t="inlineStr">
        <is>
          <t>Fahrkorb</t>
        </is>
      </c>
      <c r="C28" s="2" t="inlineStr">
        <is>
          <t>Hydraulikaufzug ohne UCM</t>
        </is>
      </c>
      <c r="D28" s="2" t="inlineStr">
        <is>
          <t>Hydraulikaufzug ohne UCM-Schutz und ohne Türüberbrückung: Mittel (eigene Annahme; Absinken wird über MF-M13 Hydraulikeinrichtungen bewertet) – oder Hoch wie bei Seilaufzügen?</t>
        </is>
      </c>
      <c r="E28" s="2" t="inlineStr">
        <is>
          <t>Mittel</t>
        </is>
      </c>
      <c r="F28" s="2" t="inlineStr">
        <is>
          <t>Hoch</t>
        </is>
      </c>
      <c r="G28" s="2" t="inlineStr">
        <is>
          <t>Letzte Regel ohne Vorlage (HYPOTHESIS); aus dem Review vom 02.09.2026. Entscheidung: der Fall existiert nicht – ein Hydraulikaufzug hat immer eine Türüberbrückung (Nachregulieren bei Druckverlust).</t>
        </is>
      </c>
      <c r="H28" s="2" t="inlineStr">
        <is>
          <t>MF-K12</t>
        </is>
      </c>
      <c r="I28" s="3" t="inlineStr">
        <is>
          <t>Anders (siehe Bemerkung)</t>
        </is>
      </c>
      <c r="J28" s="3" t="inlineStr">
        <is>
          <t>Fall existiert nicht: ein Hydraulikaufzug hat immer eine Türüberbrückung (Nachregulieren bei Druckverlust). Ohne UCM daher Hoch (MF-K12-R1); Frage 8.27 wird bei Hydraulik nicht gestellt. (Stand 2026-09-02)</t>
        </is>
      </c>
    </row>
    <row r="29">
      <c r="A29" s="4" t="inlineStr">
        <is>
          <t>K-F01</t>
        </is>
      </c>
      <c r="B29" s="4" t="inlineStr">
        <is>
          <t>Fahrkorbdach</t>
        </is>
      </c>
      <c r="C29" s="4" t="inlineStr">
        <is>
          <t>Geländerhöhe bei großem Spalt</t>
        </is>
      </c>
      <c r="D29" s="4" t="inlineStr">
        <is>
          <t>Spalt &gt; 850 mm und Geländer unter 1.100 mm: Hoch (eigene Regel) – App F1 nennt nur „Geländerhöhe 70 cm bei Spalt &gt; 50 ≤ 85 cm = Mittel"?</t>
        </is>
      </c>
      <c r="E29" s="4" t="inlineStr">
        <is>
          <t>Hoch</t>
        </is>
      </c>
      <c r="F29" s="4" t="inlineStr">
        <is>
          <t>Mittel</t>
        </is>
      </c>
      <c r="G29" s="4" t="inlineStr">
        <is>
          <t>Lücke im App-Katalog; nach EN 81-20 5.4.7.4 ist ab 850 mm ein Geländer 1.100 mm gefordert.</t>
        </is>
      </c>
      <c r="H29" s="4" t="inlineStr">
        <is>
          <t>MF-F01</t>
        </is>
      </c>
      <c r="I29" s="3" t="inlineStr">
        <is>
          <t>Vorschlag</t>
        </is>
      </c>
      <c r="J29" s="3" t="inlineStr">
        <is>
          <t>Spalt &gt; 850 mm und Geländer &lt; 1.100 mm: Hoch. (Stand 2026-09-02)</t>
        </is>
      </c>
    </row>
    <row r="30">
      <c r="A30" s="2" t="inlineStr">
        <is>
          <t>K-F02</t>
        </is>
      </c>
      <c r="B30" s="2" t="inlineStr">
        <is>
          <t>Fahrkorbdach</t>
        </is>
      </c>
      <c r="C30" s="2" t="inlineStr">
        <is>
          <t>Absturz gesamt</t>
        </is>
      </c>
      <c r="D30" s="2" t="inlineStr">
        <is>
          <t>Schindler bewertet die Absturzsicherung auf dem Fahrkorbdach (M028) im Worst Case nur mit Niedrig, der App-Katalog mit Hoch. Bleibt es bei Hoch?</t>
        </is>
      </c>
      <c r="E30" s="2" t="inlineStr">
        <is>
          <t>Hoch (App F1)</t>
        </is>
      </c>
      <c r="F30" s="2" t="inlineStr">
        <is>
          <t>Niedrig (Schindler M028)</t>
        </is>
      </c>
      <c r="G30" s="2" t="inlineStr">
        <is>
          <t>Deutliche Abweichung.</t>
        </is>
      </c>
      <c r="H30" s="2" t="inlineStr">
        <is>
          <t>MF-F01</t>
        </is>
      </c>
      <c r="I30" s="3" t="inlineStr">
        <is>
          <t>Vorschlag</t>
        </is>
      </c>
      <c r="J30" s="3" t="inlineStr">
        <is>
          <t>Absturzsicherung Fahrkorbdach bleibt Hoch. (Stand 2026-09-02)</t>
        </is>
      </c>
    </row>
    <row r="31">
      <c r="A31" s="4" t="inlineStr">
        <is>
          <t>K-F03</t>
        </is>
      </c>
      <c r="B31" s="4" t="inlineStr">
        <is>
          <t>Fahrkorbdach</t>
        </is>
      </c>
      <c r="C31" s="4" t="inlineStr">
        <is>
          <t>Reduzierter Schachtkopf</t>
        </is>
      </c>
      <c r="D31" s="4" t="inlineStr">
        <is>
          <t>Reduzierter Schachtkopf mit wirksamer Zusatzeinrichtung: Mittel (App F8) oder Kein Risiko (App F5 „Flacher Schachtkopf, aber Schutzraum durch temporäre Maßnahme gegeben")?</t>
        </is>
      </c>
      <c r="E31" s="4" t="inlineStr">
        <is>
          <t>Mittel</t>
        </is>
      </c>
      <c r="F31" s="4" t="inlineStr">
        <is>
          <t>Kein Risiko</t>
        </is>
      </c>
      <c r="G31" s="4" t="inlineStr">
        <is>
          <t>Die App-Kategorien F5 und F8 widersprechen sich.</t>
        </is>
      </c>
      <c r="H31" s="4" t="inlineStr">
        <is>
          <t>MF-F04, MF-G02</t>
        </is>
      </c>
      <c r="I31" s="3" t="inlineStr">
        <is>
          <t>Alternative</t>
        </is>
      </c>
      <c r="J31" s="3" t="inlineStr">
        <is>
          <t>Reduzierter Schachtkopf / reduzierte Grube mit wirksamer Zusatzeinrichtung: Kein Risiko. (Stand 2026-09-02)</t>
        </is>
      </c>
    </row>
    <row r="32">
      <c r="A32" s="2" t="inlineStr">
        <is>
          <t>K-F04</t>
        </is>
      </c>
      <c r="B32" s="2" t="inlineStr">
        <is>
          <t>Fahrkorbdach</t>
        </is>
      </c>
      <c r="C32" s="2" t="inlineStr">
        <is>
          <t>Notbeleuchtung auf dem Dach</t>
        </is>
      </c>
      <c r="D32" s="2" t="inlineStr">
        <is>
          <t>Fehlende Notbeleuchtung auf dem Fahrkorbdach: Mittel (eigener Vorschlag) oder Hoch (Schindler M023 gemeinsam mit Fahrkorb)?</t>
        </is>
      </c>
      <c r="E32" s="2" t="inlineStr">
        <is>
          <t>Mittel</t>
        </is>
      </c>
      <c r="F32" s="2" t="inlineStr">
        <is>
          <t>Hoch</t>
        </is>
      </c>
      <c r="G32" s="2" t="inlineStr">
        <is>
          <t>Im App-Katalog nicht als eigene Option enthalten.</t>
        </is>
      </c>
      <c r="H32" s="2" t="inlineStr">
        <is>
          <t>MF-F08</t>
        </is>
      </c>
      <c r="I32" s="3" t="inlineStr">
        <is>
          <t>Alternative</t>
        </is>
      </c>
      <c r="J32" s="3" t="inlineStr">
        <is>
          <t>Fehlende Notbeleuchtung auf dem Fahrkorbdach: Hoch. (Stand 2026-09-02)</t>
        </is>
      </c>
    </row>
    <row r="33">
      <c r="A33" s="4" t="inlineStr">
        <is>
          <t>K-F05</t>
        </is>
      </c>
      <c r="B33" s="4" t="inlineStr">
        <is>
          <t>Fahrkorbdach</t>
        </is>
      </c>
      <c r="C33" s="4" t="inlineStr">
        <is>
          <t>Schutzraum nach Altnorm (TRBS-Matrix)</t>
        </is>
      </c>
      <c r="D33" s="4" t="inlineStr">
        <is>
          <t>Neue Option „Schutzraum nach TRA 200 / EN 81-1/-2 (kleiner als EN 81-20)" für Schachtkopf und Grube: TRBS 3121 Anh. 1 Nr. 5 nennt das Risiko dafür niedrig. Umgesetzt: Niedrig statt Kein Risiko.</t>
        </is>
      </c>
      <c r="E33" s="4" t="inlineStr">
        <is>
          <t>Niedrig (TRBS-explizit)</t>
        </is>
      </c>
      <c r="F33" s="4" t="inlineStr">
        <is>
          <t>Kein Risiko / Option nicht aufnehmen</t>
        </is>
      </c>
      <c r="G33" s="4" t="inlineStr">
        <is>
          <t>Neu aus der TRBS-Risikomatrix vom 02.09.2026.</t>
        </is>
      </c>
      <c r="H33" s="4" t="inlineStr">
        <is>
          <t>MF-F04, MF-G02</t>
        </is>
      </c>
      <c r="I33" s="3" t="inlineStr">
        <is>
          <t>Vorschlag</t>
        </is>
      </c>
      <c r="J33" s="3" t="inlineStr">
        <is>
          <t>Schutzraum nach TRA 200 / EN 81-1/-2 als eigene Option: Niedrig (TRBS 3121 Anh. 1 Nr. 5). (Stand 2026-09-02)</t>
        </is>
      </c>
    </row>
    <row r="34">
      <c r="A34" s="2" t="inlineStr">
        <is>
          <t>K-S01</t>
        </is>
      </c>
      <c r="B34" s="2" t="inlineStr">
        <is>
          <t>Schachtgrube</t>
        </is>
      </c>
      <c r="C34" s="2" t="inlineStr">
        <is>
          <t>Inspektionssteuerung Grube</t>
        </is>
      </c>
      <c r="D34" s="2" t="inlineStr">
        <is>
          <t>Fehlende Inspektionssteuerung in der Schachtgrube: Hoch (App S8) oder Mittel (Schindler M051)?</t>
        </is>
      </c>
      <c r="E34" s="2" t="inlineStr">
        <is>
          <t>Hoch (App)</t>
        </is>
      </c>
      <c r="F34" s="2" t="inlineStr">
        <is>
          <t>Mittel (Schindler)</t>
        </is>
      </c>
      <c r="G34" s="2" t="inlineStr">
        <is>
          <t>Abweichung App/Schindler.</t>
        </is>
      </c>
      <c r="H34" s="2" t="inlineStr">
        <is>
          <t>MF-G03</t>
        </is>
      </c>
      <c r="I34" s="3" t="inlineStr">
        <is>
          <t>Alternative</t>
        </is>
      </c>
      <c r="J34" s="3" t="inlineStr">
        <is>
          <t>Fehlende Inspektionssteuerung in der Grube: Mittel. (Stand 2026-09-02)</t>
        </is>
      </c>
    </row>
    <row r="35">
      <c r="A35" s="4" t="inlineStr">
        <is>
          <t>K-S02</t>
        </is>
      </c>
      <c r="B35" s="4" t="inlineStr">
        <is>
          <t>Schachtgrube</t>
        </is>
      </c>
      <c r="C35" s="4" t="inlineStr">
        <is>
          <t>Leiter im Fahrzeug</t>
        </is>
      </c>
      <c r="D35" s="4" t="inlineStr">
        <is>
          <t>Grubenleiter wird nur im Kundendienstfahrzeug mitgeführt: Mittel (App S3) – auch für die beauftragte Person des Betreibers, die kein Fahrzeug hat?</t>
        </is>
      </c>
      <c r="E35" s="4" t="inlineStr">
        <is>
          <t>Mittel</t>
        </is>
      </c>
      <c r="F35" s="4" t="inlineStr">
        <is>
          <t>Hoch für Betreiber-Kontrollen</t>
        </is>
      </c>
      <c r="G35" s="4" t="inlineStr">
        <is>
          <t>Eigene Nachfrage.</t>
        </is>
      </c>
      <c r="H35" s="4" t="inlineStr">
        <is>
          <t>MF-G04</t>
        </is>
      </c>
      <c r="I35" s="3" t="inlineStr">
        <is>
          <t>Alternative</t>
        </is>
      </c>
      <c r="J35" s="3" t="inlineStr">
        <is>
          <t>Grubenleiter nur im Kundendienstfahrzeug: Hoch. (Stand 2026-09-02)</t>
        </is>
      </c>
    </row>
    <row r="36">
      <c r="A36" s="2" t="inlineStr">
        <is>
          <t>K-S03</t>
        </is>
      </c>
      <c r="B36" s="2" t="inlineStr">
        <is>
          <t>Schacht</t>
        </is>
      </c>
      <c r="C36" s="2" t="inlineStr">
        <is>
          <t>Aufzugsfremde Leitungen fachgerecht</t>
        </is>
      </c>
      <c r="D36" s="2" t="inlineStr">
        <is>
          <t>Aufzugsfremde Leitungen vorhanden, aber fachgerecht verlegt und gekennzeichnet: Mittel (App S12) oder Niedrig?</t>
        </is>
      </c>
      <c r="E36" s="2" t="inlineStr">
        <is>
          <t>Mittel</t>
        </is>
      </c>
      <c r="F36" s="2" t="inlineStr">
        <is>
          <t>Niedrig</t>
        </is>
      </c>
      <c r="G36" s="2" t="inlineStr">
        <is>
          <t>Eigene Nachfrage.</t>
        </is>
      </c>
      <c r="H36" s="2" t="inlineStr">
        <is>
          <t>MF-S06</t>
        </is>
      </c>
      <c r="I36" s="3" t="inlineStr">
        <is>
          <t>Vorschlag</t>
        </is>
      </c>
      <c r="J36" s="3" t="inlineStr">
        <is>
          <t>Aufzugsfremde Leitungen fachgerecht verlegt: Mittel. (Stand 2026-09-02)</t>
        </is>
      </c>
    </row>
    <row r="37">
      <c r="A37" s="4" t="inlineStr">
        <is>
          <t>K-S04</t>
        </is>
      </c>
      <c r="B37" s="4" t="inlineStr">
        <is>
          <t>Schacht</t>
        </is>
      </c>
      <c r="C37" s="4" t="inlineStr">
        <is>
          <t>Puffer bei &gt; 1,0 m/s</t>
        </is>
      </c>
      <c r="D37" s="4" t="inlineStr">
        <is>
          <t>Energiespeichernde Puffer bei Nenngeschwindigkeit über 1,0 m/s: Mittel (App S9)?</t>
        </is>
      </c>
      <c r="E37" s="4" t="inlineStr">
        <is>
          <t>Mittel</t>
        </is>
      </c>
      <c r="F37" s="4" t="inlineStr">
        <is>
          <t>Hoch</t>
        </is>
      </c>
      <c r="G37" s="4" t="inlineStr">
        <is>
          <t>Eigene Nachfrage; EN 81-20 5.8.2.1 begrenzt auf 1,0 m/s.</t>
        </is>
      </c>
      <c r="H37" s="4" t="inlineStr">
        <is>
          <t>MF-G06</t>
        </is>
      </c>
      <c r="I37" s="3" t="inlineStr">
        <is>
          <t>Alternative</t>
        </is>
      </c>
      <c r="J37" s="3" t="inlineStr">
        <is>
          <t>Energiespeichernde Puffer über 1,0 m/s: Hoch. (Stand 2026-09-02)</t>
        </is>
      </c>
    </row>
    <row r="38">
      <c r="A38" s="2" t="inlineStr">
        <is>
          <t>K-S05</t>
        </is>
      </c>
      <c r="B38" s="2" t="inlineStr">
        <is>
          <t>Schacht</t>
        </is>
      </c>
      <c r="C38" s="2" t="inlineStr">
        <is>
          <t>Teilumwehrter Schacht</t>
        </is>
      </c>
      <c r="D38" s="2" t="inlineStr">
        <is>
          <t>Teilumwehrter Schacht, nach aktuellen Vorgaben zulässig ausgeführt: Mittel (App S6) – oder Kein Risiko, wenn zulässig?</t>
        </is>
      </c>
      <c r="E38" s="2" t="inlineStr">
        <is>
          <t>Mittel</t>
        </is>
      </c>
      <c r="F38" s="2" t="inlineStr">
        <is>
          <t>Kein Risiko</t>
        </is>
      </c>
      <c r="G38" s="2" t="inlineStr">
        <is>
          <t>Die App-Option ist gelb, obwohl „zulässig".</t>
        </is>
      </c>
      <c r="H38" s="2" t="inlineStr">
        <is>
          <t>MF-S03</t>
        </is>
      </c>
      <c r="I38" s="3" t="inlineStr">
        <is>
          <t>Alternative</t>
        </is>
      </c>
      <c r="J38" s="3" t="inlineStr">
        <is>
          <t>Zulässig ausgeführte Teilumwehrung: Kein Risiko. (Stand 2026-09-02)</t>
        </is>
      </c>
    </row>
    <row r="39">
      <c r="A39" s="4" t="inlineStr">
        <is>
          <t>K-U01</t>
        </is>
      </c>
      <c r="B39" s="4" t="inlineStr">
        <is>
          <t>Umfeld</t>
        </is>
      </c>
      <c r="C39" s="4" t="inlineStr">
        <is>
          <t>Ortsfragen Pflicht oder optional</t>
        </is>
      </c>
      <c r="D39" s="4" t="inlineStr">
        <is>
          <t>Sollen die vier Ortsfragen (Zugang / Triebwerksraum / Schacht / Grube) je Mangeltyp alle beantwortet sein, bevor die Gefährdung bewertet wird (Pflicht -&gt; sonst Unvollständig)?</t>
        </is>
      </c>
      <c r="E39" s="4" t="inlineStr">
        <is>
          <t>Ja, alle Pflicht (ehrlicher Stand)</t>
        </is>
      </c>
      <c r="F39" s="4" t="inlineStr">
        <is>
          <t>Nein, eine Ja-Antwort genügt, Rest optional (Schindler-Verhalten M087/M090/M103)</t>
        </is>
      </c>
      <c r="G39" s="4" t="inlineStr">
        <is>
          <t>Bewusste Abweichung vom Original.</t>
        </is>
      </c>
      <c r="H39" s="4" t="inlineStr">
        <is>
          <t>MF-U01, MF-U02, MF-U03</t>
        </is>
      </c>
      <c r="I39" s="3" t="inlineStr">
        <is>
          <t>Vorschlag</t>
        </is>
      </c>
      <c r="J39" s="3" t="inlineStr">
        <is>
          <t>Ortsfragen sind alle Pflicht. (Stand 2026-09-02)</t>
        </is>
      </c>
    </row>
    <row r="40">
      <c r="A40" s="2" t="inlineStr">
        <is>
          <t>K-U02</t>
        </is>
      </c>
      <c r="B40" s="2" t="inlineStr">
        <is>
          <t>Umfeld</t>
        </is>
      </c>
      <c r="C40" s="2" t="inlineStr">
        <is>
          <t>Gefahrstofflagerung</t>
        </is>
      </c>
      <c r="D40" s="2" t="inlineStr">
        <is>
          <t>Chemische / biologische Gefahrstoffe in der Nähe gelagert: Niedrig (Schindler M101/M102) – oder Mittel wie bei brennbaren Stoffen?</t>
        </is>
      </c>
      <c r="E40" s="2" t="inlineStr">
        <is>
          <t>Niedrig</t>
        </is>
      </c>
      <c r="F40" s="2" t="inlineStr">
        <is>
          <t>Mittel</t>
        </is>
      </c>
      <c r="G40" s="2" t="inlineStr">
        <is>
          <t>Nur aus Schindler ableitbar; die Ergänzung 2026 (G5) kennt nur Hoch für „unbekannt/unbewertet".</t>
        </is>
      </c>
      <c r="H40" s="2" t="inlineStr">
        <is>
          <t>MF-U04</t>
        </is>
      </c>
      <c r="I40" s="3" t="inlineStr">
        <is>
          <t>Alternative</t>
        </is>
      </c>
      <c r="J40" s="3" t="inlineStr">
        <is>
          <t>Chemische/biologische Gefahrstoffe gelagert: Mittel. (Stand 2026-09-02)</t>
        </is>
      </c>
    </row>
    <row r="41">
      <c r="A41" s="4" t="inlineStr">
        <is>
          <t>K-U03</t>
        </is>
      </c>
      <c r="B41" s="4" t="inlineStr">
        <is>
          <t>Umfeld</t>
        </is>
      </c>
      <c r="C41" s="4" t="inlineStr">
        <is>
          <t>Explosionsfähiges Gemisch</t>
        </is>
      </c>
      <c r="D41" s="4" t="inlineStr">
        <is>
          <t>Explosionsfähiges Gemisch möglich, Explosionsschutz bewertet: Mittel? Nicht bewertet: Hoch?</t>
        </is>
      </c>
      <c r="E41" s="4" t="inlineStr">
        <is>
          <t>Mittel / Hoch</t>
        </is>
      </c>
      <c r="F41" s="4" t="inlineStr">
        <is>
          <t>Immer Mittel (Schindler M092)</t>
        </is>
      </c>
      <c r="G41" s="4" t="inlineStr">
        <is>
          <t>Ergänzung 2026 G5 sagt Hoch für „ohne Bewertung".</t>
        </is>
      </c>
      <c r="H41" s="4" t="inlineStr">
        <is>
          <t>MF-U06</t>
        </is>
      </c>
      <c r="I41" s="3" t="inlineStr">
        <is>
          <t>Vorschlag</t>
        </is>
      </c>
      <c r="J41" s="3" t="inlineStr">
        <is>
          <t>Ex-Gemisch bewertet: Mittel; nicht bewertet: Hoch. (Stand 2026-09-02)</t>
        </is>
      </c>
    </row>
    <row r="42">
      <c r="A42" s="2" t="inlineStr">
        <is>
          <t>K-U04</t>
        </is>
      </c>
      <c r="B42" s="2" t="inlineStr">
        <is>
          <t>Umfeld</t>
        </is>
      </c>
      <c r="C42" s="2" t="inlineStr">
        <is>
          <t>Lärm und Unfallhistorie</t>
        </is>
      </c>
      <c r="D42" s="2" t="inlineStr">
        <is>
          <t>Lärm (Niedrig), Unfälle mit Sachschaden (Niedrig) und mit Personenschaden (Hoch) sind aus der Schindler-Kundenbefragung übernommen – sinnvoll für die eigene GBU?</t>
        </is>
      </c>
      <c r="E42" s="2" t="inlineStr">
        <is>
          <t>Übernehmen</t>
        </is>
      </c>
      <c r="F42" s="2" t="inlineStr">
        <is>
          <t>Nur dokumentieren, keine Stufe</t>
        </is>
      </c>
      <c r="G42" s="2" t="inlineStr">
        <is>
          <t>Im App-Katalog nicht enthalten.</t>
        </is>
      </c>
      <c r="H42" s="2" t="inlineStr"/>
      <c r="I42" s="3" t="inlineStr">
        <is>
          <t>Alternative</t>
        </is>
      </c>
      <c r="J42" s="3" t="inlineStr">
        <is>
          <t>Lärm und Unfallhistorie nur Dokumentation, keine Stufe (MF-U16 entfällt). (Stand 2026-09-02)</t>
        </is>
      </c>
    </row>
    <row r="43">
      <c r="A43" s="4" t="inlineStr">
        <is>
          <t>K-U05</t>
        </is>
      </c>
      <c r="B43" s="4" t="inlineStr">
        <is>
          <t>Umfeld</t>
        </is>
      </c>
      <c r="C43" s="4" t="inlineStr">
        <is>
          <t>Angrenzende Verkehrswege</t>
        </is>
      </c>
      <c r="D43" s="4" t="inlineStr">
        <is>
          <t>Aufzugszugang an Fahrwegen: Mittel nur bei Nutzung durch Personen mit eingeschränkter Mobilität (Schindler M106) – oder immer Mittel?</t>
        </is>
      </c>
      <c r="E43" s="4" t="inlineStr">
        <is>
          <t>Immer Mittel, Hoch mit PmeM-Nutzung</t>
        </is>
      </c>
      <c r="F43" s="4" t="inlineStr">
        <is>
          <t>Nur mit PmeM-Nutzung</t>
        </is>
      </c>
      <c r="G43" s="4" t="inlineStr">
        <is>
          <t>Eigene Verschärfung.</t>
        </is>
      </c>
      <c r="H43" s="4" t="inlineStr">
        <is>
          <t>MF-U14</t>
        </is>
      </c>
      <c r="I43" s="3" t="inlineStr">
        <is>
          <t>Vorschlag</t>
        </is>
      </c>
      <c r="J43" s="3" t="inlineStr">
        <is>
          <t>Angrenzende Verkehrswege: Mittel, Hoch mit PmeM-Nutzung. (Stand 2026-09-02)</t>
        </is>
      </c>
    </row>
    <row r="44">
      <c r="A44" s="2" t="inlineStr">
        <is>
          <t>K-D01</t>
        </is>
      </c>
      <c r="B44" s="2" t="inlineStr">
        <is>
          <t>Organisation</t>
        </is>
      </c>
      <c r="C44" s="2" t="inlineStr">
        <is>
          <t>Notfallplan</t>
        </is>
      </c>
      <c r="D44" s="2" t="inlineStr">
        <is>
          <t>Fehlender oder veralteter Notfallplan: Hoch (Schindler M113) – oder Mittel?</t>
        </is>
      </c>
      <c r="E44" s="2" t="inlineStr">
        <is>
          <t>Hoch</t>
        </is>
      </c>
      <c r="F44" s="2" t="inlineStr">
        <is>
          <t>Mittel</t>
        </is>
      </c>
      <c r="G44" s="2" t="inlineStr">
        <is>
          <t>Im App-Katalog nur als Stammdatenfeld 3.2, ohne Stufe.</t>
        </is>
      </c>
      <c r="H44" s="2" t="inlineStr">
        <is>
          <t>MF-D01</t>
        </is>
      </c>
      <c r="I44" s="3" t="inlineStr">
        <is>
          <t>Vorschlag</t>
        </is>
      </c>
      <c r="J44" s="3" t="inlineStr">
        <is>
          <t>Fehlender Notfallplan: Hoch. (Stand 2026-09-02)</t>
        </is>
      </c>
    </row>
    <row r="45">
      <c r="A45" s="4" t="inlineStr">
        <is>
          <t>K-D02</t>
        </is>
      </c>
      <c r="B45" s="4" t="inlineStr">
        <is>
          <t>Organisation</t>
        </is>
      </c>
      <c r="C45" s="4" t="inlineStr">
        <is>
          <t>Keine regelmäßige Instandhaltung</t>
        </is>
      </c>
      <c r="D45" s="4" t="inlineStr">
        <is>
          <t>Anlage ohne regelmäßige Instandhaltung durch ein Fachunternehmen: Hoch (eigener Vorschlag)?</t>
        </is>
      </c>
      <c r="E45" s="4" t="inlineStr">
        <is>
          <t>Hoch</t>
        </is>
      </c>
      <c r="F45" s="4" t="inlineStr">
        <is>
          <t>Mittel</t>
        </is>
      </c>
      <c r="G45" s="4" t="inlineStr">
        <is>
          <t>Im App-Katalog nur als Stammdatenfeld 3.10, ohne Stufe.</t>
        </is>
      </c>
      <c r="H45" s="4" t="inlineStr">
        <is>
          <t>MF-D03</t>
        </is>
      </c>
      <c r="I45" s="3" t="inlineStr">
        <is>
          <t>Vorschlag</t>
        </is>
      </c>
      <c r="J45" s="3" t="inlineStr">
        <is>
          <t>Keine regelmäßige Instandhaltung: Hoch. (Stand 2026-09-02)</t>
        </is>
      </c>
    </row>
    <row r="46">
      <c r="A46" s="2" t="inlineStr">
        <is>
          <t>K-D03</t>
        </is>
      </c>
      <c r="B46" s="2" t="inlineStr">
        <is>
          <t>Organisation</t>
        </is>
      </c>
      <c r="C46" s="2" t="inlineStr">
        <is>
          <t>Überschrittene Prüffrist</t>
        </is>
      </c>
      <c r="D46" s="2" t="inlineStr">
        <is>
          <t>ZÜS-Prüffrist überschritten: Hoch (eigener Vorschlag); Plakette fehlt, Frist eingehalten: Mittel (Schindler M115)?</t>
        </is>
      </c>
      <c r="E46" s="2" t="inlineStr">
        <is>
          <t>Hoch / Mittel</t>
        </is>
      </c>
      <c r="F46" s="2" t="inlineStr">
        <is>
          <t>Immer Mittel</t>
        </is>
      </c>
      <c r="G46" s="2" t="inlineStr">
        <is>
          <t>Abgestufter eigener Vorschlag.</t>
        </is>
      </c>
      <c r="H46" s="2" t="inlineStr">
        <is>
          <t>MF-D04</t>
        </is>
      </c>
      <c r="I46" s="3" t="inlineStr">
        <is>
          <t>Vorschlag</t>
        </is>
      </c>
      <c r="J46" s="3" t="inlineStr">
        <is>
          <t>Prüffrist überschritten: Hoch; Plakette fehlt: Mittel. (Stand 2026-09-02)</t>
        </is>
      </c>
    </row>
    <row r="47">
      <c r="A47" s="4" t="inlineStr">
        <is>
          <t>K-D04</t>
        </is>
      </c>
      <c r="B47" s="4" t="inlineStr">
        <is>
          <t>Organisation</t>
        </is>
      </c>
      <c r="C47" s="4" t="inlineStr">
        <is>
          <t>Beauftragte Person, Unterweisung, Betriebsanweisung</t>
        </is>
      </c>
      <c r="D47" s="4" t="inlineStr">
        <is>
          <t>Fehlende beauftragte Person, fehlende Unterweisung, fehlende Betriebsanweisung: jeweils Mittel (eigener Vorschlag nach BetrSichV § 12 / Anh. 1 Nr. 4)?</t>
        </is>
      </c>
      <c r="E47" s="4" t="inlineStr">
        <is>
          <t>Mittel</t>
        </is>
      </c>
      <c r="F47" s="4" t="inlineStr">
        <is>
          <t>Niedrig / Hoch</t>
        </is>
      </c>
      <c r="G47" s="4" t="inlineStr">
        <is>
          <t>Eigene Ergänzung E1–E5, nicht aus einer Vorlage.</t>
        </is>
      </c>
      <c r="H47" s="4" t="inlineStr">
        <is>
          <t>MF-D05</t>
        </is>
      </c>
      <c r="I47" s="3" t="inlineStr">
        <is>
          <t>Vorschlag</t>
        </is>
      </c>
      <c r="J47" s="3" t="inlineStr">
        <is>
          <t>Beauftragte Person, Unterweisung, Betriebsanweisung, Zutritt: jeweils Mittel. (Stand 2026-09-02)</t>
        </is>
      </c>
    </row>
    <row r="48">
      <c r="A48" s="2" t="inlineStr">
        <is>
          <t>K-SF1</t>
        </is>
      </c>
      <c r="B48" s="2" t="inlineStr">
        <is>
          <t>Sonderfunktionen</t>
        </is>
      </c>
      <c r="C48" s="2" t="inlineStr">
        <is>
          <t>Feuerwehraufzug Einzelpunkte</t>
        </is>
      </c>
      <c r="D48" s="2" t="inlineStr">
        <is>
          <t>Jeder der zehn Feuerwehraufzug-Punkte ergibt bei Nein Hoch (wie Ergänzung 2026 SF1). Sollen einzelne Punkte (Cyber, Dokumentation) nur Mittel ergeben?</t>
        </is>
      </c>
      <c r="E48" s="2" t="inlineStr">
        <is>
          <t>Alle Hoch</t>
        </is>
      </c>
      <c r="F48" s="2" t="inlineStr">
        <is>
          <t>Cyber und Dokumentation Mittel</t>
        </is>
      </c>
      <c r="G48" s="2" t="inlineStr">
        <is>
          <t>Ergänzung 2026 kennt nur Hoch.</t>
        </is>
      </c>
      <c r="H48" s="2" t="inlineStr">
        <is>
          <t>MF-SF01</t>
        </is>
      </c>
      <c r="I48" s="3" t="inlineStr">
        <is>
          <t>Alternative</t>
        </is>
      </c>
      <c r="J48" s="3" t="inlineStr">
        <is>
          <t>Feuerwehraufzug: Unterlagen, Fremdgewerk-Nachweise, Feuerwehr-Doku und Cyber = Mittel, übrige Punkte Hoch. (Stand 2026-09-02)</t>
        </is>
      </c>
    </row>
    <row r="50">
      <c r="A50" s="5" t="inlineStr">
        <is>
          <t>Stand der Gegenlesung</t>
        </is>
      </c>
    </row>
    <row r="51">
      <c r="A51" s="6" t="inlineStr">
        <is>
          <t>Klärungen gesamt</t>
        </is>
      </c>
      <c r="B51" s="6">
        <f>COUNTA(A2:A48)</f>
        <v/>
      </c>
    </row>
    <row r="52">
      <c r="A52" s="6" t="inlineStr">
        <is>
          <t>entschieden</t>
        </is>
      </c>
      <c r="B52" s="6">
        <f>COUNTA(I2:I48)</f>
        <v/>
      </c>
    </row>
    <row r="53">
      <c r="A53" s="6" t="inlineStr">
        <is>
          <t>offen</t>
        </is>
      </c>
      <c r="B53" s="6">
        <f>B51-B52</f>
        <v/>
      </c>
    </row>
    <row r="55">
      <c r="A55" s="7" t="inlineStr">
        <is>
          <t>Legende: gelbe Zellen ausfüllen (Entscheidung als Auswahl, Bemerkung frei). „Vorschlag" = so wie im Seed umgesetzt; „Alternative" = die genannte Alternative; „Anders" = Festlegung in der Bemerkung.</t>
        </is>
      </c>
    </row>
  </sheetData>
  <dataValidations count="1">
    <dataValidation sqref="I2:I48" showDropDown="0" showInputMessage="0" showErrorMessage="0" allowBlank="1" type="list">
      <formula1>"Vorschlag,Alternative,Anders (siehe Bemerkung)"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22" customWidth="1" min="3" max="3"/>
    <col width="13" customWidth="1" min="4" max="4"/>
    <col width="6" customWidth="1" min="5" max="5"/>
    <col width="70" customWidth="1" min="6" max="6"/>
    <col width="13" customWidth="1" min="7" max="7"/>
    <col width="16" customWidth="1" min="8" max="8"/>
    <col width="12" customWidth="1" min="9" max="9"/>
    <col width="40" customWidth="1" min="10" max="10"/>
    <col width="40" customWidth="1" min="11" max="11"/>
    <col width="30" customWidth="1" min="12" max="12"/>
    <col width="11" customWidth="1" min="13" max="13"/>
    <col width="36" customWidth="1" min="14" max="14"/>
  </cols>
  <sheetData>
    <row r="1" ht="30" customHeight="1">
      <c r="A1" s="1" t="inlineStr">
        <is>
          <t>Gefährdung</t>
        </is>
      </c>
      <c r="B1" s="1" t="inlineStr">
        <is>
          <t>Titel</t>
        </is>
      </c>
      <c r="C1" s="1" t="inlineStr">
        <is>
          <t>Baugruppe</t>
        </is>
      </c>
      <c r="D1" s="1" t="inlineStr">
        <is>
          <t>Regel</t>
        </is>
      </c>
      <c r="E1" s="1" t="inlineStr">
        <is>
          <t>Prio</t>
        </is>
      </c>
      <c r="F1" s="1" t="inlineStr">
        <is>
          <t>Bedingung</t>
        </is>
      </c>
      <c r="G1" s="1" t="inlineStr">
        <is>
          <t>Stufe</t>
        </is>
      </c>
      <c r="H1" s="1" t="inlineStr">
        <is>
          <t>Evidenz</t>
        </is>
      </c>
      <c r="I1" s="1" t="inlineStr">
        <is>
          <t>Klärung</t>
        </is>
      </c>
      <c r="J1" s="1" t="inlineStr">
        <is>
          <t>Sofortmaßnahme</t>
        </is>
      </c>
      <c r="K1" s="1" t="inlineStr">
        <is>
          <t>Mittelfristige Maßnahme</t>
        </is>
      </c>
      <c r="L1" s="1" t="inlineStr">
        <is>
          <t>Hinweis</t>
        </is>
      </c>
      <c r="M1" s="1" t="inlineStr">
        <is>
          <t>Prüfung OK?</t>
        </is>
      </c>
      <c r="N1" s="1" t="inlineStr">
        <is>
          <t>Korrektur</t>
        </is>
      </c>
    </row>
    <row r="2">
      <c r="A2" s="2" t="inlineStr">
        <is>
          <t>MF-Z01</t>
        </is>
      </c>
      <c r="B2" s="2" t="inlineStr">
        <is>
          <t>Unzureichende Beleuchtung an den Zuwegen zum Triebwerks-/Steuerungsraum</t>
        </is>
      </c>
      <c r="C2" s="2" t="inlineStr">
        <is>
          <t>Beleuchtung</t>
        </is>
      </c>
      <c r="D2" s="2" t="inlineStr">
        <is>
          <t>MF-Z01-R1</t>
        </is>
      </c>
      <c r="E2" s="2" t="n">
        <v>100</v>
      </c>
      <c r="F2" s="2" t="inlineStr">
        <is>
          <t>5.1 Beleuchtung an den Zuwegen zum Triebwerks-/Steuerungsraum vorhanden? = Nein</t>
        </is>
      </c>
      <c r="G2" s="2" t="inlineStr">
        <is>
          <t>Hoch</t>
        </is>
      </c>
      <c r="H2" s="2" t="inlineStr">
        <is>
          <t>HIGH_CONFIDENCE</t>
        </is>
      </c>
      <c r="I2" s="2" t="inlineStr"/>
      <c r="J2" s="2" t="inlineStr">
        <is>
          <t>Handlampe benutzen</t>
        </is>
      </c>
      <c r="K2" s="2" t="inlineStr">
        <is>
          <t>Geeignete Leuchten nachrüsten</t>
        </is>
      </c>
      <c r="L2" s="2" t="inlineStr"/>
      <c r="M2" s="3" t="n"/>
      <c r="N2" s="3" t="n"/>
    </row>
    <row r="3">
      <c r="A3" s="4" t="inlineStr">
        <is>
          <t>MF-Z01</t>
        </is>
      </c>
      <c r="B3" s="4" t="inlineStr">
        <is>
          <t>Unzureichende Beleuchtung an den Zuwegen zum Triebwerks-/Steuerungsraum</t>
        </is>
      </c>
      <c r="C3" s="4" t="inlineStr">
        <is>
          <t>Beleuchtung</t>
        </is>
      </c>
      <c r="D3" s="4" t="inlineStr">
        <is>
          <t>MF-Z01-R2</t>
        </is>
      </c>
      <c r="E3" s="4" t="n">
        <v>100</v>
      </c>
      <c r="F3" s="4" t="inlineStr">
        <is>
          <t>5.2 Beleuchtung an den Zuwegen ausreichend (mind. 50 Lux, funktionsfähig, Leuchten an geeigneter Stelle)? = Nein</t>
        </is>
      </c>
      <c r="G3" s="4" t="inlineStr">
        <is>
          <t>Mittel</t>
        </is>
      </c>
      <c r="H3" s="4" t="inlineStr">
        <is>
          <t>HIGH_CONFIDENCE</t>
        </is>
      </c>
      <c r="I3" s="4" t="inlineStr"/>
      <c r="J3" s="4" t="inlineStr">
        <is>
          <t>Handlampe benutzen</t>
        </is>
      </c>
      <c r="K3" s="4" t="inlineStr">
        <is>
          <t>Leuchten versetzen</t>
        </is>
      </c>
      <c r="L3" s="4" t="inlineStr"/>
      <c r="M3" s="3" t="n"/>
      <c r="N3" s="3" t="n"/>
    </row>
    <row r="4">
      <c r="A4" s="2" t="inlineStr">
        <is>
          <t>MF-Z01</t>
        </is>
      </c>
      <c r="B4" s="2" t="inlineStr">
        <is>
          <t>Unzureichende Beleuchtung an den Zuwegen zum Triebwerks-/Steuerungsraum</t>
        </is>
      </c>
      <c r="C4" s="2" t="inlineStr">
        <is>
          <t>Beleuchtung</t>
        </is>
      </c>
      <c r="D4" s="2" t="inlineStr">
        <is>
          <t>MF-Z01-R3</t>
        </is>
      </c>
      <c r="E4" s="2" t="n">
        <v>100</v>
      </c>
      <c r="F4" s="2" t="inlineStr">
        <is>
          <t>5.2a Defekte Leuchten oder Leuchtkörper an den Zuwegen? = Ja</t>
        </is>
      </c>
      <c r="G4" s="2" t="inlineStr">
        <is>
          <t>Mittel</t>
        </is>
      </c>
      <c r="H4" s="2" t="inlineStr">
        <is>
          <t>INFERRED</t>
        </is>
      </c>
      <c r="I4" s="2" t="inlineStr"/>
      <c r="J4" s="2" t="inlineStr">
        <is>
          <t>Defekte Leuchten umgehend instand setzen</t>
        </is>
      </c>
      <c r="K4" s="2" t="inlineStr">
        <is>
          <t>Beleuchtung der Zuwege dauerhaft instand halten (Prüfintervall festlegen)</t>
        </is>
      </c>
      <c r="L4" s="2" t="inlineStr"/>
      <c r="M4" s="3" t="n"/>
      <c r="N4" s="3" t="n"/>
    </row>
    <row r="5">
      <c r="A5" s="4" t="inlineStr">
        <is>
          <t>MF-Z01</t>
        </is>
      </c>
      <c r="B5" s="4" t="inlineStr">
        <is>
          <t>Unzureichende Beleuchtung an den Zuwegen zum Triebwerks-/Steuerungsraum</t>
        </is>
      </c>
      <c r="C5" s="4" t="inlineStr">
        <is>
          <t>Beleuchtung</t>
        </is>
      </c>
      <c r="D5" s="4" t="inlineStr">
        <is>
          <t>MF-Z01-R4</t>
        </is>
      </c>
      <c r="E5" s="4" t="n">
        <v>1</v>
      </c>
      <c r="F5" s="4" t="inlineStr">
        <is>
          <t>5.1 Beleuchtung an den Zuwegen zum Triebwerks-/Steuerungsraum vorhanden? beantwortet</t>
        </is>
      </c>
      <c r="G5" s="4" t="inlineStr">
        <is>
          <t>Kein Risiko</t>
        </is>
      </c>
      <c r="H5" s="4" t="inlineStr">
        <is>
          <t>HIGH_CONFIDENCE</t>
        </is>
      </c>
      <c r="I5" s="4" t="inlineStr"/>
      <c r="J5" s="4" t="inlineStr">
        <is>
          <t>Zustand erhalten; bei der wiederkehrenden Prüfung und der Betreiberkontrolle erneut prüfen</t>
        </is>
      </c>
      <c r="K5" s="4" t="inlineStr"/>
      <c r="L5" s="4" t="inlineStr">
        <is>
          <t>Kein Risiko: keine Mangelregel trifft zu, alle Pflichtfragen beantwortet.</t>
        </is>
      </c>
      <c r="M5" s="3" t="n"/>
      <c r="N5" s="3" t="n"/>
    </row>
    <row r="6">
      <c r="A6" s="2" t="inlineStr">
        <is>
          <t>MF-Z02</t>
        </is>
      </c>
      <c r="B6" s="2" t="inlineStr">
        <is>
          <t>Unsicherer Verkehrsweg zum Triebwerks-/Steuerungsraum (Rutschen, Stolpern, Enge)</t>
        </is>
      </c>
      <c r="C6" s="2" t="inlineStr">
        <is>
          <t>Zugang und Verkehrswege</t>
        </is>
      </c>
      <c r="D6" s="2" t="inlineStr">
        <is>
          <t>MF-Z02-R1</t>
        </is>
      </c>
      <c r="E6" s="2" t="n">
        <v>100</v>
      </c>
      <c r="F6" s="2" t="inlineStr">
        <is>
          <t>5.3 Sicherer, freier Verkehrsweg zum Triebwerks-/Steuerungsraum (trocken, sauber, ohne Stolperstellen, ohne Absturzkante)? = Nein</t>
        </is>
      </c>
      <c r="G6" s="2" t="inlineStr">
        <is>
          <t>Mittel</t>
        </is>
      </c>
      <c r="H6" s="2" t="inlineStr">
        <is>
          <t>HIGH_CONFIDENCE</t>
        </is>
      </c>
      <c r="I6" s="2" t="inlineStr"/>
      <c r="J6" s="2" t="inlineStr">
        <is>
          <t>Besondere Vorsicht beim Begehen (Sicherheitsschuhe)</t>
        </is>
      </c>
      <c r="K6" s="2" t="inlineStr">
        <is>
          <t>Bodenbelag prüfen und häufig reinigen</t>
        </is>
      </c>
      <c r="L6" s="2" t="inlineStr"/>
      <c r="M6" s="3" t="n"/>
      <c r="N6" s="3" t="n"/>
    </row>
    <row r="7">
      <c r="A7" s="4" t="inlineStr">
        <is>
          <t>MF-Z02</t>
        </is>
      </c>
      <c r="B7" s="4" t="inlineStr">
        <is>
          <t>Unsicherer Verkehrsweg zum Triebwerks-/Steuerungsraum (Rutschen, Stolpern, Enge)</t>
        </is>
      </c>
      <c r="C7" s="4" t="inlineStr">
        <is>
          <t>Zugang und Verkehrswege</t>
        </is>
      </c>
      <c r="D7" s="4" t="inlineStr">
        <is>
          <t>MF-Z02-R2</t>
        </is>
      </c>
      <c r="E7" s="4" t="n">
        <v>1</v>
      </c>
      <c r="F7" s="4" t="inlineStr">
        <is>
          <t>5.3 Sicherer, freier Verkehrsweg zum Triebwerks-/Steuerungsraum (trocken, sauber, ohne Stolperstellen, ohne Absturzkante)? beantwortet</t>
        </is>
      </c>
      <c r="G7" s="4" t="inlineStr">
        <is>
          <t>Kein Risiko</t>
        </is>
      </c>
      <c r="H7" s="4" t="inlineStr">
        <is>
          <t>HIGH_CONFIDENCE</t>
        </is>
      </c>
      <c r="I7" s="4" t="inlineStr"/>
      <c r="J7" s="4" t="inlineStr">
        <is>
          <t>Zustand erhalten; bei der wiederkehrenden Prüfung und der Betreiberkontrolle erneut prüfen</t>
        </is>
      </c>
      <c r="K7" s="4" t="inlineStr"/>
      <c r="L7" s="4" t="inlineStr">
        <is>
          <t>Kein Risiko: keine Mangelregel trifft zu, alle Pflichtfragen beantwortet.</t>
        </is>
      </c>
      <c r="M7" s="3" t="n"/>
      <c r="N7" s="3" t="n"/>
    </row>
    <row r="8">
      <c r="A8" s="2" t="inlineStr">
        <is>
          <t>MF-Z03</t>
        </is>
      </c>
      <c r="B8" s="2" t="inlineStr">
        <is>
          <t>Unsicherer Aufstieg (Treppe, Leiter) zum Triebwerksraum</t>
        </is>
      </c>
      <c r="C8" s="2" t="inlineStr">
        <is>
          <t>Zugang und Verkehrswege</t>
        </is>
      </c>
      <c r="D8" s="2" t="inlineStr">
        <is>
          <t>MF-Z03-R1</t>
        </is>
      </c>
      <c r="E8" s="2" t="n">
        <v>100</v>
      </c>
      <c r="F8" s="2" t="inlineStr">
        <is>
          <t>5.5 Art des Aufstiegs zum Triebwerksraum = „Treppe ohne Handlauf"</t>
        </is>
      </c>
      <c r="G8" s="2" t="inlineStr">
        <is>
          <t>Mittel</t>
        </is>
      </c>
      <c r="H8" s="2" t="inlineStr">
        <is>
          <t>HIGH_CONFIDENCE</t>
        </is>
      </c>
      <c r="I8" s="2" t="inlineStr"/>
      <c r="J8" s="2" t="inlineStr">
        <is>
          <t>Besondere Vorsicht beim Begehen</t>
        </is>
      </c>
      <c r="K8" s="2" t="inlineStr">
        <is>
          <t>Handlauf nachrüsten</t>
        </is>
      </c>
      <c r="L8" s="2" t="inlineStr"/>
      <c r="M8" s="3" t="n"/>
      <c r="N8" s="3" t="n"/>
    </row>
    <row r="9">
      <c r="A9" s="4" t="inlineStr">
        <is>
          <t>MF-Z03</t>
        </is>
      </c>
      <c r="B9" s="4" t="inlineStr">
        <is>
          <t>Unsicherer Aufstieg (Treppe, Leiter) zum Triebwerksraum</t>
        </is>
      </c>
      <c r="C9" s="4" t="inlineStr">
        <is>
          <t>Zugang und Verkehrswege</t>
        </is>
      </c>
      <c r="D9" s="4" t="inlineStr">
        <is>
          <t>MF-Z03-R2</t>
        </is>
      </c>
      <c r="E9" s="4" t="n">
        <v>100</v>
      </c>
      <c r="F9" s="4" t="inlineStr">
        <is>
          <t>5.5 Art des Aufstiegs zum Triebwerksraum = „Zug-/Klapptreppe nicht sicherheitsgerecht"</t>
        </is>
      </c>
      <c r="G9" s="4" t="inlineStr">
        <is>
          <t>Mittel</t>
        </is>
      </c>
      <c r="H9" s="4" t="inlineStr">
        <is>
          <t>HIGH_CONFIDENCE</t>
        </is>
      </c>
      <c r="I9" s="4" t="inlineStr"/>
      <c r="J9" s="4" t="inlineStr">
        <is>
          <t>Besondere Vorsicht beim Begehen</t>
        </is>
      </c>
      <c r="K9" s="4" t="inlineStr">
        <is>
          <t>Treppe erneuern</t>
        </is>
      </c>
      <c r="L9" s="4" t="inlineStr"/>
      <c r="M9" s="3" t="n"/>
      <c r="N9" s="3" t="n"/>
    </row>
    <row r="10">
      <c r="A10" s="2" t="inlineStr">
        <is>
          <t>MF-Z03</t>
        </is>
      </c>
      <c r="B10" s="2" t="inlineStr">
        <is>
          <t>Unsicherer Aufstieg (Treppe, Leiter) zum Triebwerksraum</t>
        </is>
      </c>
      <c r="C10" s="2" t="inlineStr">
        <is>
          <t>Zugang und Verkehrswege</t>
        </is>
      </c>
      <c r="D10" s="2" t="inlineStr">
        <is>
          <t>MF-Z03-R3</t>
        </is>
      </c>
      <c r="E10" s="2" t="n">
        <v>100</v>
      </c>
      <c r="F10" s="2" t="inlineStr">
        <is>
          <t>5.5 Art des Aufstiegs zum Triebwerksraum = „Nur mobile Leiter / Anlegeleiter"</t>
        </is>
      </c>
      <c r="G10" s="2" t="inlineStr">
        <is>
          <t>Hoch</t>
        </is>
      </c>
      <c r="H10" s="2" t="inlineStr">
        <is>
          <t>INFERRED</t>
        </is>
      </c>
      <c r="I10" s="2" t="inlineStr"/>
      <c r="J10" s="2" t="inlineStr">
        <is>
          <t>Leiter gegen Wegrutschen sichern, nur zu zweit benutzen</t>
        </is>
      </c>
      <c r="K10" s="2" t="inlineStr">
        <is>
          <t>Fest angebrachte Steigleiter mit Haltegriffen oder Treppe herstellen</t>
        </is>
      </c>
      <c r="L10" s="2" t="inlineStr">
        <is>
          <t>Entschieden 2026-09-02: K-Z04.</t>
        </is>
      </c>
      <c r="M10" s="3" t="n"/>
      <c r="N10" s="3" t="n"/>
    </row>
    <row r="11">
      <c r="A11" s="4" t="inlineStr">
        <is>
          <t>MF-Z03</t>
        </is>
      </c>
      <c r="B11" s="4" t="inlineStr">
        <is>
          <t>Unsicherer Aufstieg (Treppe, Leiter) zum Triebwerksraum</t>
        </is>
      </c>
      <c r="C11" s="4" t="inlineStr">
        <is>
          <t>Zugang und Verkehrswege</t>
        </is>
      </c>
      <c r="D11" s="4" t="inlineStr">
        <is>
          <t>MF-Z03-R4</t>
        </is>
      </c>
      <c r="E11" s="4" t="n">
        <v>100</v>
      </c>
      <c r="F11" s="4" t="inlineStr">
        <is>
          <t>5.5 Art des Aufstiegs zum Triebwerksraum = „Kein sicherer Aufstieg vorhanden"</t>
        </is>
      </c>
      <c r="G11" s="4" t="inlineStr">
        <is>
          <t>Hoch</t>
        </is>
      </c>
      <c r="H11" s="4" t="inlineStr">
        <is>
          <t>HIGH_CONFIDENCE</t>
        </is>
      </c>
      <c r="I11" s="4" t="inlineStr"/>
      <c r="J11" s="4" t="inlineStr">
        <is>
          <t>Geeignete Aufstiegshilfe verwenden</t>
        </is>
      </c>
      <c r="K11" s="4" t="inlineStr">
        <is>
          <t>Sichere Treppe / Leiter / Zugang schaffen</t>
        </is>
      </c>
      <c r="L11" s="4" t="inlineStr"/>
      <c r="M11" s="3" t="n"/>
      <c r="N11" s="3" t="n"/>
    </row>
    <row r="12">
      <c r="A12" s="2" t="inlineStr">
        <is>
          <t>MF-Z03</t>
        </is>
      </c>
      <c r="B12" s="2" t="inlineStr">
        <is>
          <t>Unsicherer Aufstieg (Treppe, Leiter) zum Triebwerksraum</t>
        </is>
      </c>
      <c r="C12" s="2" t="inlineStr">
        <is>
          <t>Zugang und Verkehrswege</t>
        </is>
      </c>
      <c r="D12" s="2" t="inlineStr">
        <is>
          <t>MF-Z03-R5</t>
        </is>
      </c>
      <c r="E12" s="2" t="n">
        <v>100</v>
      </c>
      <c r="F12" s="2" t="inlineStr">
        <is>
          <t>5.6 Bruch- oder Kippgefahr am Aufstieg (beschädigte Stufen, lose Leiter, fehlende Befestigung)? = Ja</t>
        </is>
      </c>
      <c r="G12" s="2" t="inlineStr">
        <is>
          <t>Hoch</t>
        </is>
      </c>
      <c r="H12" s="2" t="inlineStr">
        <is>
          <t>HIGH_CONFIDENCE</t>
        </is>
      </c>
      <c r="I12" s="2" t="inlineStr"/>
      <c r="J12" s="2" t="inlineStr">
        <is>
          <t>Nur mit Absturzsicherung begehen</t>
        </is>
      </c>
      <c r="K12" s="2" t="inlineStr">
        <is>
          <t>Treppe / Leiter erneuern</t>
        </is>
      </c>
      <c r="L12" s="2" t="inlineStr"/>
      <c r="M12" s="3" t="n"/>
      <c r="N12" s="3" t="n"/>
    </row>
    <row r="13">
      <c r="A13" s="4" t="inlineStr">
        <is>
          <t>MF-Z03</t>
        </is>
      </c>
      <c r="B13" s="4" t="inlineStr">
        <is>
          <t>Unsicherer Aufstieg (Treppe, Leiter) zum Triebwerksraum</t>
        </is>
      </c>
      <c r="C13" s="4" t="inlineStr">
        <is>
          <t>Zugang und Verkehrswege</t>
        </is>
      </c>
      <c r="D13" s="4" t="inlineStr">
        <is>
          <t>MF-Z03-R6</t>
        </is>
      </c>
      <c r="E13" s="4" t="n">
        <v>1</v>
      </c>
      <c r="F13" s="4" t="inlineStr">
        <is>
          <t>5.5 Art des Aufstiegs zum Triebwerksraum beantwortet</t>
        </is>
      </c>
      <c r="G13" s="4" t="inlineStr">
        <is>
          <t>Kein Risiko</t>
        </is>
      </c>
      <c r="H13" s="4" t="inlineStr">
        <is>
          <t>HIGH_CONFIDENCE</t>
        </is>
      </c>
      <c r="I13" s="4" t="inlineStr"/>
      <c r="J13" s="4" t="inlineStr">
        <is>
          <t>Zustand erhalten; bei der wiederkehrenden Prüfung und der Betreiberkontrolle erneut prüfen</t>
        </is>
      </c>
      <c r="K13" s="4" t="inlineStr"/>
      <c r="L13" s="4" t="inlineStr">
        <is>
          <t>Kein Risiko: keine Mangelregel trifft zu, alle Pflichtfragen beantwortet.</t>
        </is>
      </c>
      <c r="M13" s="3" t="n"/>
      <c r="N13" s="3" t="n"/>
    </row>
    <row r="14">
      <c r="A14" s="2" t="inlineStr">
        <is>
          <t>MF-Z04</t>
        </is>
      </c>
      <c r="B14" s="2" t="inlineStr">
        <is>
          <t>Absturzgefahr im Zugangsbereich (Dachfläche, Absturzkante, Übersteigen)</t>
        </is>
      </c>
      <c r="C14" s="2" t="inlineStr">
        <is>
          <t>Zugang und Verkehrswege</t>
        </is>
      </c>
      <c r="D14" s="2" t="inlineStr">
        <is>
          <t>MF-Z04-R1</t>
        </is>
      </c>
      <c r="E14" s="2" t="n">
        <v>100</v>
      </c>
      <c r="F14" s="2" t="inlineStr">
        <is>
          <t>(5.7 Führt der Zugang über eine Dachfläche, Dachkante, Empore oder eine andere Absturzkante? = Ja UND 5.7a Absturzkante durch Geländer oder Umwehrung dauerhaft gesichert? = Nein UND 5.7b Verkehrsweg an der Absturzkante festgelegt und gekennzeichnet? = Nein)</t>
        </is>
      </c>
      <c r="G14" s="2" t="inlineStr">
        <is>
          <t>Hoch</t>
        </is>
      </c>
      <c r="H14" s="2" t="inlineStr">
        <is>
          <t>HIGH_CONFIDENCE</t>
        </is>
      </c>
      <c r="I14" s="2" t="inlineStr"/>
      <c r="J14" s="2" t="inlineStr">
        <is>
          <t>PSA gegen Absturz mit festgelegtem Anschlagpunkt verwenden, sonst Zugangsverbot</t>
        </is>
      </c>
      <c r="K14" s="2" t="inlineStr">
        <is>
          <t>Absturzsicherung und Anschlagpunkte herstellen, Verkehrswege festlegen</t>
        </is>
      </c>
      <c r="L14" s="2" t="inlineStr"/>
      <c r="M14" s="3" t="n"/>
      <c r="N14" s="3" t="n"/>
    </row>
    <row r="15">
      <c r="A15" s="4" t="inlineStr">
        <is>
          <t>MF-Z04</t>
        </is>
      </c>
      <c r="B15" s="4" t="inlineStr">
        <is>
          <t>Absturzgefahr im Zugangsbereich (Dachfläche, Absturzkante, Übersteigen)</t>
        </is>
      </c>
      <c r="C15" s="4" t="inlineStr">
        <is>
          <t>Zugang und Verkehrswege</t>
        </is>
      </c>
      <c r="D15" s="4" t="inlineStr">
        <is>
          <t>MF-Z04-R2</t>
        </is>
      </c>
      <c r="E15" s="4" t="n">
        <v>100</v>
      </c>
      <c r="F15" s="4" t="inlineStr">
        <is>
          <t>(5.7 Führt der Zugang über eine Dachfläche, Dachkante, Empore oder eine andere Absturzkante? = Ja UND 5.7a Absturzkante durch Geländer oder Umwehrung dauerhaft gesichert? = Nein UND 5.7b Verkehrsweg an der Absturzkante festgelegt und gekennzeichnet? = Ja)</t>
        </is>
      </c>
      <c r="G15" s="4" t="inlineStr">
        <is>
          <t>Mittel</t>
        </is>
      </c>
      <c r="H15" s="4" t="inlineStr">
        <is>
          <t>HIGH_CONFIDENCE</t>
        </is>
      </c>
      <c r="I15" s="4" t="inlineStr"/>
      <c r="J15" s="4" t="inlineStr">
        <is>
          <t>Festgelegten Verkehrsweg nutzen, besondere Vorsicht</t>
        </is>
      </c>
      <c r="K15" s="4" t="inlineStr">
        <is>
          <t>Geländer oder dauerhafte Absturzsicherung anbringen</t>
        </is>
      </c>
      <c r="L15" s="4" t="inlineStr"/>
      <c r="M15" s="3" t="n"/>
      <c r="N15" s="3" t="n"/>
    </row>
    <row r="16">
      <c r="A16" s="2" t="inlineStr">
        <is>
          <t>MF-Z04</t>
        </is>
      </c>
      <c r="B16" s="2" t="inlineStr">
        <is>
          <t>Absturzgefahr im Zugangsbereich (Dachfläche, Absturzkante, Übersteigen)</t>
        </is>
      </c>
      <c r="C16" s="2" t="inlineStr">
        <is>
          <t>Zugang und Verkehrswege</t>
        </is>
      </c>
      <c r="D16" s="2" t="inlineStr">
        <is>
          <t>MF-Z04-R3</t>
        </is>
      </c>
      <c r="E16" s="2" t="n">
        <v>100</v>
      </c>
      <c r="F16" s="2" t="inlineStr">
        <is>
          <t>5.8 Muss ein Treppenauge, eine Brüstung oder ein Fenster überstiegen werden? = Ja</t>
        </is>
      </c>
      <c r="G16" s="2" t="inlineStr">
        <is>
          <t>Hoch</t>
        </is>
      </c>
      <c r="H16" s="2" t="inlineStr">
        <is>
          <t>HIGH_CONFIDENCE</t>
        </is>
      </c>
      <c r="I16" s="2" t="inlineStr"/>
      <c r="J16" s="2" t="inlineStr">
        <is>
          <t>Zugang sperren und alternative Zugangsmöglichkeit festlegen</t>
        </is>
      </c>
      <c r="K16" s="2" t="inlineStr">
        <is>
          <t>Zugang baulich ändern</t>
        </is>
      </c>
      <c r="L16" s="2" t="inlineStr"/>
      <c r="M16" s="3" t="n"/>
      <c r="N16" s="3" t="n"/>
    </row>
    <row r="17">
      <c r="A17" s="4" t="inlineStr">
        <is>
          <t>MF-Z04</t>
        </is>
      </c>
      <c r="B17" s="4" t="inlineStr">
        <is>
          <t>Absturzgefahr im Zugangsbereich (Dachfläche, Absturzkante, Übersteigen)</t>
        </is>
      </c>
      <c r="C17" s="4" t="inlineStr">
        <is>
          <t>Zugang und Verkehrswege</t>
        </is>
      </c>
      <c r="D17" s="4" t="inlineStr">
        <is>
          <t>MF-Z04-R4</t>
        </is>
      </c>
      <c r="E17" s="4" t="n">
        <v>1</v>
      </c>
      <c r="F17" s="4" t="inlineStr">
        <is>
          <t>5.7 Führt der Zugang über eine Dachfläche, Dachkante, Empore oder eine andere Absturzkante? beantwortet</t>
        </is>
      </c>
      <c r="G17" s="4" t="inlineStr">
        <is>
          <t>Kein Risiko</t>
        </is>
      </c>
      <c r="H17" s="4" t="inlineStr">
        <is>
          <t>HIGH_CONFIDENCE</t>
        </is>
      </c>
      <c r="I17" s="4" t="inlineStr"/>
      <c r="J17" s="4" t="inlineStr">
        <is>
          <t>Zustand erhalten; bei der wiederkehrenden Prüfung und der Betreiberkontrolle erneut prüfen</t>
        </is>
      </c>
      <c r="K17" s="4" t="inlineStr"/>
      <c r="L17" s="4" t="inlineStr">
        <is>
          <t>Kein Risiko: keine Mangelregel trifft zu, alle Pflichtfragen beantwortet.</t>
        </is>
      </c>
      <c r="M17" s="3" t="n"/>
      <c r="N17" s="3" t="n"/>
    </row>
    <row r="18">
      <c r="A18" s="2" t="inlineStr">
        <is>
          <t>MF-Z05</t>
        </is>
      </c>
      <c r="B18" s="2" t="inlineStr">
        <is>
          <t>Einschließen im Zugangsbereich / Triebwerksraum (keine Panikfunktion)</t>
        </is>
      </c>
      <c r="C18" s="2" t="inlineStr">
        <is>
          <t>Zugang und Verkehrswege</t>
        </is>
      </c>
      <c r="D18" s="2" t="inlineStr">
        <is>
          <t>MF-Z05-R1</t>
        </is>
      </c>
      <c r="E18" s="2" t="n">
        <v>100</v>
      </c>
      <c r="F18" s="2" t="inlineStr">
        <is>
          <t>5.9 Lässt sich der Zugangsbereich / Triebwerksraum jederzeit von innen verlassen? = „Nein – Einschließen möglich"</t>
        </is>
      </c>
      <c r="G18" s="2" t="inlineStr">
        <is>
          <t>Hoch</t>
        </is>
      </c>
      <c r="H18" s="2" t="inlineStr">
        <is>
          <t>HIGH_CONFIDENCE</t>
        </is>
      </c>
      <c r="I18" s="2" t="inlineStr"/>
      <c r="J18" s="2" t="inlineStr">
        <is>
          <t>Nur zu zweit betreten, an- und abmelden, Tür gegen Zufallen sichern</t>
        </is>
      </c>
      <c r="K18" s="2" t="inlineStr">
        <is>
          <t>Panikschloss installieren oder zweiten Fluchtweg schaffen</t>
        </is>
      </c>
      <c r="L18" s="2" t="inlineStr"/>
      <c r="M18" s="3" t="n"/>
      <c r="N18" s="3" t="n"/>
    </row>
    <row r="19">
      <c r="A19" s="4" t="inlineStr">
        <is>
          <t>MF-Z05</t>
        </is>
      </c>
      <c r="B19" s="4" t="inlineStr">
        <is>
          <t>Einschließen im Zugangsbereich / Triebwerksraum (keine Panikfunktion)</t>
        </is>
      </c>
      <c r="C19" s="4" t="inlineStr">
        <is>
          <t>Zugang und Verkehrswege</t>
        </is>
      </c>
      <c r="D19" s="4" t="inlineStr">
        <is>
          <t>MF-Z05-R2</t>
        </is>
      </c>
      <c r="E19" s="4" t="n">
        <v>100</v>
      </c>
      <c r="F19" s="4" t="inlineStr">
        <is>
          <t>5.9 Lässt sich der Zugangsbereich / Triebwerksraum jederzeit von innen verlassen? = „Nur mit Schlüssel, Schlüssel dauerhaft innen hinterlegt"</t>
        </is>
      </c>
      <c r="G19" s="4" t="inlineStr">
        <is>
          <t>Mittel</t>
        </is>
      </c>
      <c r="H19" s="4" t="inlineStr">
        <is>
          <t>HIGH_CONFIDENCE</t>
        </is>
      </c>
      <c r="I19" s="4" t="inlineStr"/>
      <c r="J19" s="4" t="inlineStr">
        <is>
          <t>Vor dem Betreten Schlüssel prüfen, beim Betreiber an- und abmelden</t>
        </is>
      </c>
      <c r="K19" s="4" t="inlineStr">
        <is>
          <t>Panikschloss nachrüsten</t>
        </is>
      </c>
      <c r="L19" s="4" t="inlineStr"/>
      <c r="M19" s="3" t="n"/>
      <c r="N19" s="3" t="n"/>
    </row>
    <row r="20">
      <c r="A20" s="2" t="inlineStr">
        <is>
          <t>MF-Z05</t>
        </is>
      </c>
      <c r="B20" s="2" t="inlineStr">
        <is>
          <t>Einschließen im Zugangsbereich / Triebwerksraum (keine Panikfunktion)</t>
        </is>
      </c>
      <c r="C20" s="2" t="inlineStr">
        <is>
          <t>Zugang und Verkehrswege</t>
        </is>
      </c>
      <c r="D20" s="2" t="inlineStr">
        <is>
          <t>MF-Z05-R3</t>
        </is>
      </c>
      <c r="E20" s="2" t="n">
        <v>1</v>
      </c>
      <c r="F20" s="2" t="inlineStr">
        <is>
          <t>5.9 Lässt sich der Zugangsbereich / Triebwerksraum jederzeit von innen verlassen? beantwortet</t>
        </is>
      </c>
      <c r="G20" s="2" t="inlineStr">
        <is>
          <t>Kein Risiko</t>
        </is>
      </c>
      <c r="H20" s="2" t="inlineStr">
        <is>
          <t>HIGH_CONFIDENCE</t>
        </is>
      </c>
      <c r="I20" s="2" t="inlineStr"/>
      <c r="J20" s="2" t="inlineStr">
        <is>
          <t>Zustand erhalten; bei der wiederkehrenden Prüfung und der Betreiberkontrolle erneut prüfen</t>
        </is>
      </c>
      <c r="K20" s="2" t="inlineStr"/>
      <c r="L20" s="2" t="inlineStr">
        <is>
          <t>Kein Risiko: keine Mangelregel trifft zu, alle Pflichtfragen beantwortet.</t>
        </is>
      </c>
      <c r="M20" s="3" t="n"/>
      <c r="N20" s="3" t="n"/>
    </row>
    <row r="21">
      <c r="A21" s="4" t="inlineStr">
        <is>
          <t>MF-Z06</t>
        </is>
      </c>
      <c r="B21" s="4" t="inlineStr">
        <is>
          <t>Zugang über fremde Räume, erschwerter Material- und Werkzeugtransport</t>
        </is>
      </c>
      <c r="C21" s="4" t="inlineStr">
        <is>
          <t>Zugang und Verkehrswege</t>
        </is>
      </c>
      <c r="D21" s="4" t="inlineStr">
        <is>
          <t>MF-Z06-R1</t>
        </is>
      </c>
      <c r="E21" s="4" t="n">
        <v>100</v>
      </c>
      <c r="F21" s="4" t="inlineStr">
        <is>
          <t>5.10 Führt der Zugang durch fremde Räume? = „Durch eine Wohnung oder einen nur zeitweise zugänglichen Bereich"</t>
        </is>
      </c>
      <c r="G21" s="4" t="inlineStr">
        <is>
          <t>Hoch</t>
        </is>
      </c>
      <c r="H21" s="4" t="inlineStr">
        <is>
          <t>HIGH_CONFIDENCE</t>
        </is>
      </c>
      <c r="I21" s="4" t="inlineStr"/>
      <c r="J21" s="4" t="inlineStr">
        <is>
          <t>Zutritt vorab vereinbaren, im Notfall Dritte hinzuziehen</t>
        </is>
      </c>
      <c r="K21" s="4" t="inlineStr">
        <is>
          <t>Zugang dauerhaft ändern</t>
        </is>
      </c>
      <c r="L21" s="4" t="inlineStr"/>
      <c r="M21" s="3" t="n"/>
      <c r="N21" s="3" t="n"/>
    </row>
    <row r="22">
      <c r="A22" s="2" t="inlineStr">
        <is>
          <t>MF-Z06</t>
        </is>
      </c>
      <c r="B22" s="2" t="inlineStr">
        <is>
          <t>Zugang über fremde Räume, erschwerter Material- und Werkzeugtransport</t>
        </is>
      </c>
      <c r="C22" s="2" t="inlineStr">
        <is>
          <t>Zugang und Verkehrswege</t>
        </is>
      </c>
      <c r="D22" s="2" t="inlineStr">
        <is>
          <t>MF-Z06-R2</t>
        </is>
      </c>
      <c r="E22" s="2" t="n">
        <v>100</v>
      </c>
      <c r="F22" s="2" t="inlineStr">
        <is>
          <t>5.10 Führt der Zugang durch fremde Räume? = „Durch Arbeits-, Lager- oder Technikräume Dritter"</t>
        </is>
      </c>
      <c r="G22" s="2" t="inlineStr">
        <is>
          <t>Mittel</t>
        </is>
      </c>
      <c r="H22" s="2" t="inlineStr">
        <is>
          <t>HIGH_CONFIDENCE</t>
        </is>
      </c>
      <c r="I22" s="2" t="inlineStr"/>
      <c r="J22" s="2" t="inlineStr">
        <is>
          <t>Zutritt mit dem Betreiber abstimmen, besondere Vorsicht</t>
        </is>
      </c>
      <c r="K22" s="2" t="inlineStr">
        <is>
          <t>Eigenständigen Zugang schaffen oder Wegeführung verbindlich festlegen</t>
        </is>
      </c>
      <c r="L22" s="2" t="inlineStr"/>
      <c r="M22" s="3" t="n"/>
      <c r="N22" s="3" t="n"/>
    </row>
    <row r="23">
      <c r="A23" s="4" t="inlineStr">
        <is>
          <t>MF-Z06</t>
        </is>
      </c>
      <c r="B23" s="4" t="inlineStr">
        <is>
          <t>Zugang über fremde Räume, erschwerter Material- und Werkzeugtransport</t>
        </is>
      </c>
      <c r="C23" s="4" t="inlineStr">
        <is>
          <t>Zugang und Verkehrswege</t>
        </is>
      </c>
      <c r="D23" s="4" t="inlineStr">
        <is>
          <t>MF-Z06-R3</t>
        </is>
      </c>
      <c r="E23" s="4" t="n">
        <v>100</v>
      </c>
      <c r="F23" s="4" t="inlineStr">
        <is>
          <t>5.11 Erschwert die Art des Zugangs den Transport von Material und Werkzeug (z. B. nur über Leiter, Dachluke, enge Wendeltreppe)? = Ja</t>
        </is>
      </c>
      <c r="G23" s="4" t="inlineStr">
        <is>
          <t>Mittel</t>
        </is>
      </c>
      <c r="H23" s="4" t="inlineStr">
        <is>
          <t>HIGH_CONFIDENCE</t>
        </is>
      </c>
      <c r="I23" s="4" t="inlineStr"/>
      <c r="J23" s="4" t="inlineStr">
        <is>
          <t>Geeignete Transporthilfen verwenden</t>
        </is>
      </c>
      <c r="K23" s="4" t="inlineStr">
        <is>
          <t>Zugang so herrichten, dass Material sicher transportiert werden kann</t>
        </is>
      </c>
      <c r="L23" s="4" t="inlineStr"/>
      <c r="M23" s="3" t="n"/>
      <c r="N23" s="3" t="n"/>
    </row>
    <row r="24">
      <c r="A24" s="2" t="inlineStr">
        <is>
          <t>MF-Z06</t>
        </is>
      </c>
      <c r="B24" s="2" t="inlineStr">
        <is>
          <t>Zugang über fremde Räume, erschwerter Material- und Werkzeugtransport</t>
        </is>
      </c>
      <c r="C24" s="2" t="inlineStr">
        <is>
          <t>Zugang und Verkehrswege</t>
        </is>
      </c>
      <c r="D24" s="2" t="inlineStr">
        <is>
          <t>MF-Z06-R4</t>
        </is>
      </c>
      <c r="E24" s="2" t="n">
        <v>1</v>
      </c>
      <c r="F24" s="2" t="inlineStr">
        <is>
          <t>5.10 Führt der Zugang durch fremde Räume? beantwortet</t>
        </is>
      </c>
      <c r="G24" s="2" t="inlineStr">
        <is>
          <t>Kein Risiko</t>
        </is>
      </c>
      <c r="H24" s="2" t="inlineStr">
        <is>
          <t>HIGH_CONFIDENCE</t>
        </is>
      </c>
      <c r="I24" s="2" t="inlineStr"/>
      <c r="J24" s="2" t="inlineStr">
        <is>
          <t>Zustand erhalten; bei der wiederkehrenden Prüfung und der Betreiberkontrolle erneut prüfen</t>
        </is>
      </c>
      <c r="K24" s="2" t="inlineStr"/>
      <c r="L24" s="2" t="inlineStr">
        <is>
          <t>Kein Risiko: keine Mangelregel trifft zu, alle Pflichtfragen beantwortet.</t>
        </is>
      </c>
      <c r="M24" s="3" t="n"/>
      <c r="N24" s="3" t="n"/>
    </row>
    <row r="25">
      <c r="A25" s="4" t="inlineStr">
        <is>
          <t>MF-Z07</t>
        </is>
      </c>
      <c r="B25" s="4" t="inlineStr">
        <is>
          <t>Fehlende oder unzureichende Zugangstür zum Triebwerks-/Maschinenraum</t>
        </is>
      </c>
      <c r="C25" s="4" t="inlineStr">
        <is>
          <t>Zugang und Verkehrswege</t>
        </is>
      </c>
      <c r="D25" s="4" t="inlineStr">
        <is>
          <t>MF-Z07-R1</t>
        </is>
      </c>
      <c r="E25" s="4" t="n">
        <v>100</v>
      </c>
      <c r="F25" s="4" t="inlineStr">
        <is>
          <t>5.12 Zugangstür zum Triebwerks-/Maschinenraum vorhanden? = Nein</t>
        </is>
      </c>
      <c r="G25" s="4" t="inlineStr">
        <is>
          <t>Hoch</t>
        </is>
      </c>
      <c r="H25" s="4" t="inlineStr">
        <is>
          <t>HIGH_CONFIDENCE</t>
        </is>
      </c>
      <c r="I25" s="4" t="inlineStr"/>
      <c r="J25" s="4" t="inlineStr">
        <is>
          <t>Zugang gegen unbefugten Zutritt sichern</t>
        </is>
      </c>
      <c r="K25" s="4" t="inlineStr">
        <is>
          <t>Abschließbare Zugangstür nach DIN EN 81-20, 5.2.3.3 herstellen</t>
        </is>
      </c>
      <c r="L25" s="4" t="inlineStr"/>
      <c r="M25" s="3" t="n"/>
      <c r="N25" s="3" t="n"/>
    </row>
    <row r="26">
      <c r="A26" s="2" t="inlineStr">
        <is>
          <t>MF-Z07</t>
        </is>
      </c>
      <c r="B26" s="2" t="inlineStr">
        <is>
          <t>Fehlende oder unzureichende Zugangstür zum Triebwerks-/Maschinenraum</t>
        </is>
      </c>
      <c r="C26" s="2" t="inlineStr">
        <is>
          <t>Zugang und Verkehrswege</t>
        </is>
      </c>
      <c r="D26" s="2" t="inlineStr">
        <is>
          <t>MF-Z07-R2</t>
        </is>
      </c>
      <c r="E26" s="2" t="n">
        <v>100</v>
      </c>
      <c r="F26" s="2" t="inlineStr">
        <is>
          <t>5.12a Zugangstür abschließbar (Zutritt nur für befugte Personen)? = Nein</t>
        </is>
      </c>
      <c r="G26" s="2" t="inlineStr">
        <is>
          <t>Hoch</t>
        </is>
      </c>
      <c r="H26" s="2" t="inlineStr">
        <is>
          <t>HIGH_CONFIDENCE</t>
        </is>
      </c>
      <c r="I26" s="2" t="inlineStr"/>
      <c r="J26" s="2" t="inlineStr">
        <is>
          <t>Zugang gegen unbefugten Zutritt sichern</t>
        </is>
      </c>
      <c r="K26" s="2" t="inlineStr">
        <is>
          <t>Abschließbare Zugangstür nach DIN EN 81-20, 5.2.3.3 herstellen</t>
        </is>
      </c>
      <c r="L26" s="2" t="inlineStr"/>
      <c r="M26" s="3" t="n"/>
      <c r="N26" s="3" t="n"/>
    </row>
    <row r="27">
      <c r="A27" s="4" t="inlineStr">
        <is>
          <t>MF-Z07</t>
        </is>
      </c>
      <c r="B27" s="4" t="inlineStr">
        <is>
          <t>Fehlende oder unzureichende Zugangstür zum Triebwerks-/Maschinenraum</t>
        </is>
      </c>
      <c r="C27" s="4" t="inlineStr">
        <is>
          <t>Zugang und Verkehrswege</t>
        </is>
      </c>
      <c r="D27" s="4" t="inlineStr">
        <is>
          <t>MF-Z07-R3</t>
        </is>
      </c>
      <c r="E27" s="4" t="n">
        <v>100</v>
      </c>
      <c r="F27" s="4" t="inlineStr">
        <is>
          <t>5.12b Zugangstür unbeschädigt und leichtgängig? = Nein</t>
        </is>
      </c>
      <c r="G27" s="4" t="inlineStr">
        <is>
          <t>Mittel</t>
        </is>
      </c>
      <c r="H27" s="4" t="inlineStr">
        <is>
          <t>HIGH_CONFIDENCE</t>
        </is>
      </c>
      <c r="I27" s="4" t="inlineStr"/>
      <c r="J27" s="4" t="inlineStr">
        <is>
          <t>Tür gangbar machen</t>
        </is>
      </c>
      <c r="K27" s="4" t="inlineStr">
        <is>
          <t>Tür instand setzen oder ersetzen</t>
        </is>
      </c>
      <c r="L27" s="4" t="inlineStr"/>
      <c r="M27" s="3" t="n"/>
      <c r="N27" s="3" t="n"/>
    </row>
    <row r="28">
      <c r="A28" s="2" t="inlineStr">
        <is>
          <t>MF-Z07</t>
        </is>
      </c>
      <c r="B28" s="2" t="inlineStr">
        <is>
          <t>Fehlende oder unzureichende Zugangstür zum Triebwerks-/Maschinenraum</t>
        </is>
      </c>
      <c r="C28" s="2" t="inlineStr">
        <is>
          <t>Zugang und Verkehrswege</t>
        </is>
      </c>
      <c r="D28" s="2" t="inlineStr">
        <is>
          <t>MF-Z07-R4</t>
        </is>
      </c>
      <c r="E28" s="2" t="n">
        <v>100</v>
      </c>
      <c r="F28" s="2" t="inlineStr">
        <is>
          <t>5.12c Durchgangsmaß der Zugangstür ausreichend (mind. 2,00 m hoch, 0,60 m breit)? = Nein</t>
        </is>
      </c>
      <c r="G28" s="2" t="inlineStr">
        <is>
          <t>Mittel</t>
        </is>
      </c>
      <c r="H28" s="2" t="inlineStr">
        <is>
          <t>HIGH_CONFIDENCE</t>
        </is>
      </c>
      <c r="I28" s="2" t="inlineStr"/>
      <c r="J28" s="2" t="inlineStr">
        <is>
          <t>Anstoßstelle kennzeichnen, Kopfschutz verwenden</t>
        </is>
      </c>
      <c r="K28" s="2" t="inlineStr">
        <is>
          <t>Türöffnung nach DIN EN 81-20, 5.2.3 anpassen</t>
        </is>
      </c>
      <c r="L28" s="2" t="inlineStr"/>
      <c r="M28" s="3" t="n"/>
      <c r="N28" s="3" t="n"/>
    </row>
    <row r="29">
      <c r="A29" s="4" t="inlineStr">
        <is>
          <t>MF-Z07</t>
        </is>
      </c>
      <c r="B29" s="4" t="inlineStr">
        <is>
          <t>Fehlende oder unzureichende Zugangstür zum Triebwerks-/Maschinenraum</t>
        </is>
      </c>
      <c r="C29" s="4" t="inlineStr">
        <is>
          <t>Zugang und Verkehrswege</t>
        </is>
      </c>
      <c r="D29" s="4" t="inlineStr">
        <is>
          <t>MF-Z07-R5</t>
        </is>
      </c>
      <c r="E29" s="4" t="n">
        <v>1</v>
      </c>
      <c r="F29" s="4" t="inlineStr">
        <is>
          <t>5.12 Zugangstür zum Triebwerks-/Maschinenraum vorhanden? beantwortet</t>
        </is>
      </c>
      <c r="G29" s="4" t="inlineStr">
        <is>
          <t>Kein Risiko</t>
        </is>
      </c>
      <c r="H29" s="4" t="inlineStr">
        <is>
          <t>HIGH_CONFIDENCE</t>
        </is>
      </c>
      <c r="I29" s="4" t="inlineStr"/>
      <c r="J29" s="4" t="inlineStr">
        <is>
          <t>Zustand erhalten; bei der wiederkehrenden Prüfung und der Betreiberkontrolle erneut prüfen</t>
        </is>
      </c>
      <c r="K29" s="4" t="inlineStr"/>
      <c r="L29" s="4" t="inlineStr">
        <is>
          <t>Kein Risiko: keine Mangelregel trifft zu, alle Pflichtfragen beantwortet.</t>
        </is>
      </c>
      <c r="M29" s="3" t="n"/>
      <c r="N29" s="3" t="n"/>
    </row>
    <row r="30">
      <c r="A30" s="2" t="inlineStr">
        <is>
          <t>MF-Z08</t>
        </is>
      </c>
      <c r="B30" s="2" t="inlineStr">
        <is>
          <t>Fehlende oder versperrte Flucht- und Rettungswege im Bereich des Triebwerks-/Steuerungsraums</t>
        </is>
      </c>
      <c r="C30" s="2" t="inlineStr">
        <is>
          <t>Zugang und Verkehrswege</t>
        </is>
      </c>
      <c r="D30" s="2" t="inlineStr">
        <is>
          <t>MF-Z08-R1</t>
        </is>
      </c>
      <c r="E30" s="2" t="n">
        <v>100</v>
      </c>
      <c r="F30" s="2" t="inlineStr">
        <is>
          <t>5.13 Flucht- und Rettungsweg vom Triebwerks-/Steuerungsraum frei und benutzbar? = Nein</t>
        </is>
      </c>
      <c r="G30" s="2" t="inlineStr">
        <is>
          <t>Niedrig</t>
        </is>
      </c>
      <c r="H30" s="2" t="inlineStr">
        <is>
          <t>HIGH_CONFIDENCE</t>
        </is>
      </c>
      <c r="I30" s="2" t="inlineStr"/>
      <c r="J30" s="2" t="inlineStr">
        <is>
          <t>Weg sofort freimachen, bis dahin Bereich nicht allein betreten</t>
        </is>
      </c>
      <c r="K30" s="2" t="inlineStr">
        <is>
          <t>Flucht- und Rettungswege nach ASR A2.3 herstellen und dauerhaft freihalten</t>
        </is>
      </c>
      <c r="L30" s="2" t="inlineStr">
        <is>
          <t>Entscheidung 02.09.2026: Niedrig (nur Instandhaltungspersonal betroffen, wie Schindler M120). Entschieden 2026-09-02: K-Z02.</t>
        </is>
      </c>
      <c r="M30" s="3" t="n"/>
      <c r="N30" s="3" t="n"/>
    </row>
    <row r="31">
      <c r="A31" s="4" t="inlineStr">
        <is>
          <t>MF-Z08</t>
        </is>
      </c>
      <c r="B31" s="4" t="inlineStr">
        <is>
          <t>Fehlende oder versperrte Flucht- und Rettungswege im Bereich des Triebwerks-/Steuerungsraums</t>
        </is>
      </c>
      <c r="C31" s="4" t="inlineStr">
        <is>
          <t>Zugang und Verkehrswege</t>
        </is>
      </c>
      <c r="D31" s="4" t="inlineStr">
        <is>
          <t>MF-Z08-R2</t>
        </is>
      </c>
      <c r="E31" s="4" t="n">
        <v>100</v>
      </c>
      <c r="F31" s="4" t="inlineStr">
        <is>
          <t>5.13a Flucht- und Rettungsweg gekennzeichnet und beleuchtet? = Nein</t>
        </is>
      </c>
      <c r="G31" s="4" t="inlineStr">
        <is>
          <t>Niedrig</t>
        </is>
      </c>
      <c r="H31" s="4" t="inlineStr">
        <is>
          <t>HIGH_CONFIDENCE</t>
        </is>
      </c>
      <c r="I31" s="4" t="inlineStr"/>
      <c r="J31" s="4" t="inlineStr">
        <is>
          <t>Provisorisch kennzeichnen</t>
        </is>
      </c>
      <c r="K31" s="4" t="inlineStr">
        <is>
          <t>Kennzeichnung nach ASR A1.3 und ASR A2.3 herstellen</t>
        </is>
      </c>
      <c r="L31" s="4" t="inlineStr">
        <is>
          <t>Entschieden 2026-09-02: K-Z02.</t>
        </is>
      </c>
      <c r="M31" s="3" t="n"/>
      <c r="N31" s="3" t="n"/>
    </row>
    <row r="32">
      <c r="A32" s="2" t="inlineStr">
        <is>
          <t>MF-Z08</t>
        </is>
      </c>
      <c r="B32" s="2" t="inlineStr">
        <is>
          <t>Fehlende oder versperrte Flucht- und Rettungswege im Bereich des Triebwerks-/Steuerungsraums</t>
        </is>
      </c>
      <c r="C32" s="2" t="inlineStr">
        <is>
          <t>Zugang und Verkehrswege</t>
        </is>
      </c>
      <c r="D32" s="2" t="inlineStr">
        <is>
          <t>MF-Z08-R3</t>
        </is>
      </c>
      <c r="E32" s="2" t="n">
        <v>100</v>
      </c>
      <c r="F32" s="2" t="inlineStr">
        <is>
          <t>5.13b Fluchtweg durch Lagerung eingeengt? = Ja</t>
        </is>
      </c>
      <c r="G32" s="2" t="inlineStr">
        <is>
          <t>Niedrig</t>
        </is>
      </c>
      <c r="H32" s="2" t="inlineStr">
        <is>
          <t>HIGH_CONFIDENCE</t>
        </is>
      </c>
      <c r="I32" s="2" t="inlineStr"/>
      <c r="J32" s="2" t="inlineStr">
        <is>
          <t>Fluchtweg sofort freiräumen</t>
        </is>
      </c>
      <c r="K32" s="2" t="inlineStr">
        <is>
          <t>Lagerflächen festlegen und Freihaltung regelmäßig kontrollieren</t>
        </is>
      </c>
      <c r="L32" s="2" t="inlineStr">
        <is>
          <t>Entschieden 2026-09-02: K-Z02.</t>
        </is>
      </c>
      <c r="M32" s="3" t="n"/>
      <c r="N32" s="3" t="n"/>
    </row>
    <row r="33">
      <c r="A33" s="4" t="inlineStr">
        <is>
          <t>MF-Z08</t>
        </is>
      </c>
      <c r="B33" s="4" t="inlineStr">
        <is>
          <t>Fehlende oder versperrte Flucht- und Rettungswege im Bereich des Triebwerks-/Steuerungsraums</t>
        </is>
      </c>
      <c r="C33" s="4" t="inlineStr">
        <is>
          <t>Zugang und Verkehrswege</t>
        </is>
      </c>
      <c r="D33" s="4" t="inlineStr">
        <is>
          <t>MF-Z08-R4</t>
        </is>
      </c>
      <c r="E33" s="4" t="n">
        <v>1</v>
      </c>
      <c r="F33" s="4" t="inlineStr">
        <is>
          <t>5.13 Flucht- und Rettungsweg vom Triebwerks-/Steuerungsraum frei und benutzbar? beantwortet</t>
        </is>
      </c>
      <c r="G33" s="4" t="inlineStr">
        <is>
          <t>Kein Risiko</t>
        </is>
      </c>
      <c r="H33" s="4" t="inlineStr">
        <is>
          <t>HIGH_CONFIDENCE</t>
        </is>
      </c>
      <c r="I33" s="4" t="inlineStr"/>
      <c r="J33" s="4" t="inlineStr">
        <is>
          <t>Zustand erhalten; bei der wiederkehrenden Prüfung und der Betreiberkontrolle erneut prüfen</t>
        </is>
      </c>
      <c r="K33" s="4" t="inlineStr"/>
      <c r="L33" s="4" t="inlineStr">
        <is>
          <t>Kein Risiko: keine Mangelregel trifft zu, alle Pflichtfragen beantwortet.</t>
        </is>
      </c>
      <c r="M33" s="3" t="n"/>
      <c r="N33" s="3" t="n"/>
    </row>
    <row r="34">
      <c r="A34" s="2" t="inlineStr">
        <is>
          <t>MF-Z09</t>
        </is>
      </c>
      <c r="B34" s="2" t="inlineStr">
        <is>
          <t>Zugang zur Anlage für die Personenbefreiung nicht jederzeit gewährleistet</t>
        </is>
      </c>
      <c r="C34" s="2" t="inlineStr">
        <is>
          <t>Notruf und Personenbefreiung</t>
        </is>
      </c>
      <c r="D34" s="2" t="inlineStr">
        <is>
          <t>MF-Z09-R1</t>
        </is>
      </c>
      <c r="E34" s="2" t="n">
        <v>100</v>
      </c>
      <c r="F34" s="2" t="inlineStr">
        <is>
          <t>3.4 Zugang zur Anlage für die Personenbefreiung jederzeit gewährleistet? = „Nein, nicht jederzeit möglich"</t>
        </is>
      </c>
      <c r="G34" s="2" t="inlineStr">
        <is>
          <t>Hoch</t>
        </is>
      </c>
      <c r="H34" s="2" t="inlineStr">
        <is>
          <t>HIGH_CONFIDENCE</t>
        </is>
      </c>
      <c r="I34" s="2" t="inlineStr"/>
      <c r="J34" s="2" t="inlineStr">
        <is>
          <t>Ständige Zugangsmöglichkeit schaffen, ansonsten Aufzug abschalten</t>
        </is>
      </c>
      <c r="K34" s="2" t="inlineStr">
        <is>
          <t>Schlüsseltresor nachrüsten</t>
        </is>
      </c>
      <c r="L34" s="2" t="inlineStr"/>
      <c r="M34" s="3" t="n"/>
      <c r="N34" s="3" t="n"/>
    </row>
    <row r="35">
      <c r="A35" s="4" t="inlineStr">
        <is>
          <t>MF-Z09</t>
        </is>
      </c>
      <c r="B35" s="4" t="inlineStr">
        <is>
          <t>Zugang zur Anlage für die Personenbefreiung nicht jederzeit gewährleistet</t>
        </is>
      </c>
      <c r="C35" s="4" t="inlineStr">
        <is>
          <t>Notruf und Personenbefreiung</t>
        </is>
      </c>
      <c r="D35" s="4" t="inlineStr">
        <is>
          <t>MF-Z09-R2</t>
        </is>
      </c>
      <c r="E35" s="4" t="n">
        <v>100</v>
      </c>
      <c r="F35" s="4" t="inlineStr">
        <is>
          <t>3.4 Zugang zur Anlage für die Personenbefreiung jederzeit gewährleistet? = „Nur über Schlüssel bei Leitwarte, Pforte oder Hausmeister"</t>
        </is>
      </c>
      <c r="G35" s="4" t="inlineStr">
        <is>
          <t>Mittel</t>
        </is>
      </c>
      <c r="H35" s="4" t="inlineStr">
        <is>
          <t>HIGH_CONFIDENCE</t>
        </is>
      </c>
      <c r="I35" s="4" t="inlineStr"/>
      <c r="J35" s="4" t="inlineStr"/>
      <c r="K35" s="4" t="inlineStr">
        <is>
          <t>Ständige Besetzung der Leitwarte / Pforte gewährleisten</t>
        </is>
      </c>
      <c r="L35" s="4" t="inlineStr"/>
      <c r="M35" s="3" t="n"/>
      <c r="N35" s="3" t="n"/>
    </row>
    <row r="36">
      <c r="A36" s="2" t="inlineStr">
        <is>
          <t>MF-Z09</t>
        </is>
      </c>
      <c r="B36" s="2" t="inlineStr">
        <is>
          <t>Zugang zur Anlage für die Personenbefreiung nicht jederzeit gewährleistet</t>
        </is>
      </c>
      <c r="C36" s="2" t="inlineStr">
        <is>
          <t>Notruf und Personenbefreiung</t>
        </is>
      </c>
      <c r="D36" s="2" t="inlineStr">
        <is>
          <t>MF-Z09-R3</t>
        </is>
      </c>
      <c r="E36" s="2" t="n">
        <v>100</v>
      </c>
      <c r="F36" s="2" t="inlineStr">
        <is>
          <t>3.4 Zugang zur Anlage für die Personenbefreiung jederzeit gewährleistet? = „Ja, jederzeit (Schlüsseltresor / ständig besetzte Stelle vor Ort)"</t>
        </is>
      </c>
      <c r="G36" s="2" t="inlineStr">
        <is>
          <t>Kein Risiko</t>
        </is>
      </c>
      <c r="H36" s="2" t="inlineStr">
        <is>
          <t>HIGH_CONFIDENCE</t>
        </is>
      </c>
      <c r="I36" s="2" t="inlineStr"/>
      <c r="J36" s="2" t="inlineStr"/>
      <c r="K36" s="2" t="inlineStr"/>
      <c r="L36" s="2" t="inlineStr">
        <is>
          <t>Entschieden 2026-09-02: K-Z01.</t>
        </is>
      </c>
      <c r="M36" s="3" t="n"/>
      <c r="N36" s="3" t="n"/>
    </row>
    <row r="37">
      <c r="A37" s="4" t="inlineStr">
        <is>
          <t>MF-Z09</t>
        </is>
      </c>
      <c r="B37" s="4" t="inlineStr">
        <is>
          <t>Zugang zur Anlage für die Personenbefreiung nicht jederzeit gewährleistet</t>
        </is>
      </c>
      <c r="C37" s="4" t="inlineStr">
        <is>
          <t>Notruf und Personenbefreiung</t>
        </is>
      </c>
      <c r="D37" s="4" t="inlineStr">
        <is>
          <t>MF-Z09-R4</t>
        </is>
      </c>
      <c r="E37" s="4" t="n">
        <v>1</v>
      </c>
      <c r="F37" s="4" t="inlineStr">
        <is>
          <t>3.4 Zugang zur Anlage für die Personenbefreiung jederzeit gewährleistet? beantwortet</t>
        </is>
      </c>
      <c r="G37" s="4" t="inlineStr">
        <is>
          <t>Kein Risiko</t>
        </is>
      </c>
      <c r="H37" s="4" t="inlineStr">
        <is>
          <t>HIGH_CONFIDENCE</t>
        </is>
      </c>
      <c r="I37" s="4" t="inlineStr"/>
      <c r="J37" s="4" t="inlineStr">
        <is>
          <t>Zustand erhalten; bei der wiederkehrenden Prüfung und der Betreiberkontrolle erneut prüfen</t>
        </is>
      </c>
      <c r="K37" s="4" t="inlineStr"/>
      <c r="L37" s="4" t="inlineStr">
        <is>
          <t>Kein Risiko: keine Mangelregel trifft zu, alle Pflichtfragen beantwortet.</t>
        </is>
      </c>
      <c r="M37" s="3" t="n"/>
      <c r="N37" s="3" t="n"/>
    </row>
    <row r="38">
      <c r="A38" s="2" t="inlineStr">
        <is>
          <t>MF-M01</t>
        </is>
      </c>
      <c r="B38" s="2" t="inlineStr">
        <is>
          <t>Unzureichende Beleuchtung im Triebwerks-/Maschinenraum</t>
        </is>
      </c>
      <c r="C38" s="2" t="inlineStr">
        <is>
          <t>Beleuchtung</t>
        </is>
      </c>
      <c r="D38" s="2" t="inlineStr">
        <is>
          <t>MF-M01-R1</t>
        </is>
      </c>
      <c r="E38" s="2" t="n">
        <v>100</v>
      </c>
      <c r="F38" s="2" t="inlineStr">
        <is>
          <t>5.20 Beleuchtung im Triebwerks-/Maschinenraum vorhanden? = Nein</t>
        </is>
      </c>
      <c r="G38" s="2" t="inlineStr">
        <is>
          <t>Hoch</t>
        </is>
      </c>
      <c r="H38" s="2" t="inlineStr">
        <is>
          <t>HIGH_CONFIDENCE</t>
        </is>
      </c>
      <c r="I38" s="2" t="inlineStr"/>
      <c r="J38" s="2" t="inlineStr">
        <is>
          <t>Handlampe benutzen</t>
        </is>
      </c>
      <c r="K38" s="2" t="inlineStr">
        <is>
          <t>Geeignete Leuchten nachrüsten</t>
        </is>
      </c>
      <c r="L38" s="2" t="inlineStr"/>
      <c r="M38" s="3" t="n"/>
      <c r="N38" s="3" t="n"/>
    </row>
    <row r="39">
      <c r="A39" s="4" t="inlineStr">
        <is>
          <t>MF-M01</t>
        </is>
      </c>
      <c r="B39" s="4" t="inlineStr">
        <is>
          <t>Unzureichende Beleuchtung im Triebwerks-/Maschinenraum</t>
        </is>
      </c>
      <c r="C39" s="4" t="inlineStr">
        <is>
          <t>Beleuchtung</t>
        </is>
      </c>
      <c r="D39" s="4" t="inlineStr">
        <is>
          <t>MF-M01-R2</t>
        </is>
      </c>
      <c r="E39" s="4" t="n">
        <v>100</v>
      </c>
      <c r="F39" s="4" t="inlineStr">
        <is>
          <t>5.21 Beleuchtungsstärke an den Arbeitsflächen (Antrieb, Steuerschrank) mind. 200 Lux, Leuchten funktionsfähig? = Nein</t>
        </is>
      </c>
      <c r="G39" s="4" t="inlineStr">
        <is>
          <t>Mittel</t>
        </is>
      </c>
      <c r="H39" s="4" t="inlineStr">
        <is>
          <t>HIGH_CONFIDENCE</t>
        </is>
      </c>
      <c r="I39" s="4" t="inlineStr"/>
      <c r="J39" s="4" t="inlineStr">
        <is>
          <t>Handlampe benutzen</t>
        </is>
      </c>
      <c r="K39" s="4" t="inlineStr">
        <is>
          <t>Geeignete Leuchten nachrüsten</t>
        </is>
      </c>
      <c r="L39" s="4" t="inlineStr"/>
      <c r="M39" s="3" t="n"/>
      <c r="N39" s="3" t="n"/>
    </row>
    <row r="40">
      <c r="A40" s="2" t="inlineStr">
        <is>
          <t>MF-M01</t>
        </is>
      </c>
      <c r="B40" s="2" t="inlineStr">
        <is>
          <t>Unzureichende Beleuchtung im Triebwerks-/Maschinenraum</t>
        </is>
      </c>
      <c r="C40" s="2" t="inlineStr">
        <is>
          <t>Beleuchtung</t>
        </is>
      </c>
      <c r="D40" s="2" t="inlineStr">
        <is>
          <t>MF-M01-R3</t>
        </is>
      </c>
      <c r="E40" s="2" t="n">
        <v>100</v>
      </c>
      <c r="F40" s="2" t="inlineStr">
        <is>
          <t>5.22 Leuchten an geeigneter Stelle (Arbeitsflächen nicht abgeschattet)? = Nein</t>
        </is>
      </c>
      <c r="G40" s="2" t="inlineStr">
        <is>
          <t>Mittel</t>
        </is>
      </c>
      <c r="H40" s="2" t="inlineStr">
        <is>
          <t>HIGH_CONFIDENCE</t>
        </is>
      </c>
      <c r="I40" s="2" t="inlineStr"/>
      <c r="J40" s="2" t="inlineStr">
        <is>
          <t>Handlampe benutzen</t>
        </is>
      </c>
      <c r="K40" s="2" t="inlineStr">
        <is>
          <t>Leuchten versetzen</t>
        </is>
      </c>
      <c r="L40" s="2" t="inlineStr"/>
      <c r="M40" s="3" t="n"/>
      <c r="N40" s="3" t="n"/>
    </row>
    <row r="41">
      <c r="A41" s="4" t="inlineStr">
        <is>
          <t>MF-M01</t>
        </is>
      </c>
      <c r="B41" s="4" t="inlineStr">
        <is>
          <t>Unzureichende Beleuchtung im Triebwerks-/Maschinenraum</t>
        </is>
      </c>
      <c r="C41" s="4" t="inlineStr">
        <is>
          <t>Beleuchtung</t>
        </is>
      </c>
      <c r="D41" s="4" t="inlineStr">
        <is>
          <t>MF-M01-R4</t>
        </is>
      </c>
      <c r="E41" s="4" t="n">
        <v>100</v>
      </c>
      <c r="F41" s="4" t="inlineStr">
        <is>
          <t>5.23 Leuchten im Kopfbereich mit Splitterschutz / bruchsicher? = Nein</t>
        </is>
      </c>
      <c r="G41" s="4" t="inlineStr">
        <is>
          <t>Mittel</t>
        </is>
      </c>
      <c r="H41" s="4" t="inlineStr">
        <is>
          <t>HIGH_CONFIDENCE</t>
        </is>
      </c>
      <c r="I41" s="4" t="inlineStr"/>
      <c r="J41" s="4" t="inlineStr"/>
      <c r="K41" s="4" t="inlineStr">
        <is>
          <t>Splitterschutz nachrüsten</t>
        </is>
      </c>
      <c r="L41" s="4" t="inlineStr"/>
      <c r="M41" s="3" t="n"/>
      <c r="N41" s="3" t="n"/>
    </row>
    <row r="42">
      <c r="A42" s="2" t="inlineStr">
        <is>
          <t>MF-M01</t>
        </is>
      </c>
      <c r="B42" s="2" t="inlineStr">
        <is>
          <t>Unzureichende Beleuchtung im Triebwerks-/Maschinenraum</t>
        </is>
      </c>
      <c r="C42" s="2" t="inlineStr">
        <is>
          <t>Beleuchtung</t>
        </is>
      </c>
      <c r="D42" s="2" t="inlineStr">
        <is>
          <t>MF-M01-R5</t>
        </is>
      </c>
      <c r="E42" s="2" t="n">
        <v>1</v>
      </c>
      <c r="F42" s="2" t="inlineStr">
        <is>
          <t>5.20 Beleuchtung im Triebwerks-/Maschinenraum vorhanden? beantwortet</t>
        </is>
      </c>
      <c r="G42" s="2" t="inlineStr">
        <is>
          <t>Kein Risiko</t>
        </is>
      </c>
      <c r="H42" s="2" t="inlineStr">
        <is>
          <t>HIGH_CONFIDENCE</t>
        </is>
      </c>
      <c r="I42" s="2" t="inlineStr"/>
      <c r="J42" s="2" t="inlineStr">
        <is>
          <t>Zustand erhalten; bei der wiederkehrenden Prüfung und der Betreiberkontrolle erneut prüfen</t>
        </is>
      </c>
      <c r="K42" s="2" t="inlineStr"/>
      <c r="L42" s="2" t="inlineStr">
        <is>
          <t>Kein Risiko: keine Mangelregel trifft zu, alle Pflichtfragen beantwortet.</t>
        </is>
      </c>
      <c r="M42" s="3" t="n"/>
      <c r="N42" s="3" t="n"/>
    </row>
    <row r="43">
      <c r="A43" s="4" t="inlineStr">
        <is>
          <t>MF-M02</t>
        </is>
      </c>
      <c r="B43" s="4" t="inlineStr">
        <is>
          <t>Unzureichender Schutz gegen elektrischen Schlag (offene Schalttafel, offene Kontakte, fehlende Berührungssicherheit)</t>
        </is>
      </c>
      <c r="C43" s="4" t="inlineStr">
        <is>
          <t>Steuerung und Elektrik</t>
        </is>
      </c>
      <c r="D43" s="4" t="inlineStr">
        <is>
          <t>MF-M02-R1</t>
        </is>
      </c>
      <c r="E43" s="4" t="n">
        <v>100</v>
      </c>
      <c r="F43" s="4" t="inlineStr">
        <is>
          <t>5.31 Offene Schalttafel ohne Schaltschrank vorhanden? = Ja</t>
        </is>
      </c>
      <c r="G43" s="4" t="inlineStr">
        <is>
          <t>Hoch</t>
        </is>
      </c>
      <c r="H43" s="4" t="inlineStr">
        <is>
          <t>HIGH_CONFIDENCE</t>
        </is>
      </c>
      <c r="I43" s="4" t="inlineStr"/>
      <c r="J43" s="4" t="inlineStr">
        <is>
          <t>Bei Betreten des Maschinenraumes ausschalten</t>
        </is>
      </c>
      <c r="K43" s="4" t="inlineStr">
        <is>
          <t>Steuerung erneuern</t>
        </is>
      </c>
      <c r="L43" s="4" t="inlineStr"/>
      <c r="M43" s="3" t="n"/>
      <c r="N43" s="3" t="n"/>
    </row>
    <row r="44">
      <c r="A44" s="2" t="inlineStr">
        <is>
          <t>MF-M02</t>
        </is>
      </c>
      <c r="B44" s="2" t="inlineStr">
        <is>
          <t>Unzureichender Schutz gegen elektrischen Schlag (offene Schalttafel, offene Kontakte, fehlende Berührungssicherheit)</t>
        </is>
      </c>
      <c r="C44" s="2" t="inlineStr">
        <is>
          <t>Steuerung und Elektrik</t>
        </is>
      </c>
      <c r="D44" s="2" t="inlineStr">
        <is>
          <t>MF-M02-R2</t>
        </is>
      </c>
      <c r="E44" s="2" t="n">
        <v>100</v>
      </c>
      <c r="F44" s="2" t="inlineStr">
        <is>
          <t>5.32 Offene Kontakte oder Schalter an Maschine, Kopierwerk oder Begrenzer? = Ja</t>
        </is>
      </c>
      <c r="G44" s="2" t="inlineStr">
        <is>
          <t>Hoch</t>
        </is>
      </c>
      <c r="H44" s="2" t="inlineStr">
        <is>
          <t>HIGH_CONFIDENCE</t>
        </is>
      </c>
      <c r="I44" s="2" t="inlineStr"/>
      <c r="J44" s="2" t="inlineStr">
        <is>
          <t>Bei Betreten des Maschinenraumes ausschalten</t>
        </is>
      </c>
      <c r="K44" s="2" t="inlineStr">
        <is>
          <t>Maschine erneuern oder Bauteile abdecken oder ersetzen</t>
        </is>
      </c>
      <c r="L44" s="2" t="inlineStr"/>
      <c r="M44" s="3" t="n"/>
      <c r="N44" s="3" t="n"/>
    </row>
    <row r="45">
      <c r="A45" s="4" t="inlineStr">
        <is>
          <t>MF-M02</t>
        </is>
      </c>
      <c r="B45" s="4" t="inlineStr">
        <is>
          <t>Unzureichender Schutz gegen elektrischen Schlag (offene Schalttafel, offene Kontakte, fehlende Berührungssicherheit)</t>
        </is>
      </c>
      <c r="C45" s="4" t="inlineStr">
        <is>
          <t>Steuerung und Elektrik</t>
        </is>
      </c>
      <c r="D45" s="4" t="inlineStr">
        <is>
          <t>MF-M02-R3</t>
        </is>
      </c>
      <c r="E45" s="4" t="n">
        <v>100</v>
      </c>
      <c r="F45" s="4" t="inlineStr">
        <is>
          <t>5.33 Nicht berührungssichere Bauteile im Schaltschrank (bei geöffneter Tür erreichbar)? = Ja</t>
        </is>
      </c>
      <c r="G45" s="4" t="inlineStr">
        <is>
          <t>Mittel</t>
        </is>
      </c>
      <c r="H45" s="4" t="inlineStr">
        <is>
          <t>HIGH_CONFIDENCE</t>
        </is>
      </c>
      <c r="I45" s="4" t="inlineStr"/>
      <c r="J45" s="4" t="inlineStr">
        <is>
          <t>Bei Arbeiten am Schaltschrank immer ausschalten</t>
        </is>
      </c>
      <c r="K45" s="4" t="inlineStr">
        <is>
          <t>Berührungssichere Bauteile nachrüsten</t>
        </is>
      </c>
      <c r="L45" s="4" t="inlineStr"/>
      <c r="M45" s="3" t="n"/>
      <c r="N45" s="3" t="n"/>
    </row>
    <row r="46">
      <c r="A46" s="2" t="inlineStr">
        <is>
          <t>MF-M02</t>
        </is>
      </c>
      <c r="B46" s="2" t="inlineStr">
        <is>
          <t>Unzureichender Schutz gegen elektrischen Schlag (offene Schalttafel, offene Kontakte, fehlende Berührungssicherheit)</t>
        </is>
      </c>
      <c r="C46" s="2" t="inlineStr">
        <is>
          <t>Steuerung und Elektrik</t>
        </is>
      </c>
      <c r="D46" s="2" t="inlineStr">
        <is>
          <t>MF-M02-R4</t>
        </is>
      </c>
      <c r="E46" s="2" t="n">
        <v>100</v>
      </c>
      <c r="F46" s="2" t="inlineStr">
        <is>
          <t>5.30 Alle spannungsführenden Teile berührungssicher (Abdeckungen vorhanden, Schaltschrank geschlossen)? = Nein</t>
        </is>
      </c>
      <c r="G46" s="2" t="inlineStr">
        <is>
          <t>Mittel</t>
        </is>
      </c>
      <c r="H46" s="2" t="inlineStr">
        <is>
          <t>HIGH_CONFIDENCE</t>
        </is>
      </c>
      <c r="I46" s="2" t="inlineStr"/>
      <c r="J46" s="2" t="inlineStr">
        <is>
          <t>Bei Arbeiten immer ausschalten</t>
        </is>
      </c>
      <c r="K46" s="2" t="inlineStr">
        <is>
          <t>Berührungssichere Bauteile nachrüsten</t>
        </is>
      </c>
      <c r="L46" s="2" t="inlineStr"/>
      <c r="M46" s="3" t="n"/>
      <c r="N46" s="3" t="n"/>
    </row>
    <row r="47">
      <c r="A47" s="4" t="inlineStr">
        <is>
          <t>MF-M02</t>
        </is>
      </c>
      <c r="B47" s="4" t="inlineStr">
        <is>
          <t>Unzureichender Schutz gegen elektrischen Schlag (offene Schalttafel, offene Kontakte, fehlende Berührungssicherheit)</t>
        </is>
      </c>
      <c r="C47" s="4" t="inlineStr">
        <is>
          <t>Steuerung und Elektrik</t>
        </is>
      </c>
      <c r="D47" s="4" t="inlineStr">
        <is>
          <t>MF-M02-R5</t>
        </is>
      </c>
      <c r="E47" s="4" t="n">
        <v>100</v>
      </c>
      <c r="F47" s="4" t="inlineStr">
        <is>
          <t>5.35 Nachweis der elektrischen Prüfung nach DGUV Vorschrift 3 vorhanden (Prüfplakette / Protokoll aktuell)? = Nein</t>
        </is>
      </c>
      <c r="G47" s="4" t="inlineStr">
        <is>
          <t>Mittel</t>
        </is>
      </c>
      <c r="H47" s="4" t="inlineStr">
        <is>
          <t>HIGH_CONFIDENCE</t>
        </is>
      </c>
      <c r="I47" s="4" t="inlineStr"/>
      <c r="J47" s="4" t="inlineStr">
        <is>
          <t>Arbeiten an der Elektrik nur durch Fachkundige, ggf. Zusatzschutz (PRCD-S)</t>
        </is>
      </c>
      <c r="K47" s="4" t="inlineStr">
        <is>
          <t>Bei Notwendigkeit DGUV V3 Püfung beauftragen, Plakette erneuern</t>
        </is>
      </c>
      <c r="L47" s="4" t="inlineStr">
        <is>
          <t>Entschieden 2026-09-02: K-M01.</t>
        </is>
      </c>
      <c r="M47" s="3" t="n"/>
      <c r="N47" s="3" t="n"/>
    </row>
    <row r="48">
      <c r="A48" s="2" t="inlineStr">
        <is>
          <t>MF-M02</t>
        </is>
      </c>
      <c r="B48" s="2" t="inlineStr">
        <is>
          <t>Unzureichender Schutz gegen elektrischen Schlag (offene Schalttafel, offene Kontakte, fehlende Berührungssicherheit)</t>
        </is>
      </c>
      <c r="C48" s="2" t="inlineStr">
        <is>
          <t>Steuerung und Elektrik</t>
        </is>
      </c>
      <c r="D48" s="2" t="inlineStr">
        <is>
          <t>MF-M02-R6</t>
        </is>
      </c>
      <c r="E48" s="2" t="n">
        <v>1</v>
      </c>
      <c r="F48" s="2" t="inlineStr">
        <is>
          <t>5.30 Alle spannungsführenden Teile berührungssicher (Abdeckungen vorhanden, Schaltschrank geschlossen)? beantwortet</t>
        </is>
      </c>
      <c r="G48" s="2" t="inlineStr">
        <is>
          <t>Kein Risiko</t>
        </is>
      </c>
      <c r="H48" s="2" t="inlineStr">
        <is>
          <t>HIGH_CONFIDENCE</t>
        </is>
      </c>
      <c r="I48" s="2" t="inlineStr"/>
      <c r="J48" s="2" t="inlineStr">
        <is>
          <t>Zustand erhalten; bei der wiederkehrenden Prüfung und der Betreiberkontrolle erneut prüfen</t>
        </is>
      </c>
      <c r="K48" s="2" t="inlineStr"/>
      <c r="L48" s="2" t="inlineStr">
        <is>
          <t>Kein Risiko: keine Mangelregel trifft zu, alle Pflichtfragen beantwortet.</t>
        </is>
      </c>
      <c r="M48" s="3" t="n"/>
      <c r="N48" s="3" t="n"/>
    </row>
    <row r="49">
      <c r="A49" s="4" t="inlineStr">
        <is>
          <t>MF-M03</t>
        </is>
      </c>
      <c r="B49" s="4" t="inlineStr">
        <is>
          <t>Fehlender oder unzureichender Schutz an drehenden Teilen (Treibscheibe, Umlenkrollen, Begrenzer)</t>
        </is>
      </c>
      <c r="C49" s="4" t="inlineStr">
        <is>
          <t>Triebwerksraum – Ausstattung</t>
        </is>
      </c>
      <c r="D49" s="4" t="inlineStr">
        <is>
          <t>MF-M03-R1</t>
        </is>
      </c>
      <c r="E49" s="4" t="n">
        <v>100</v>
      </c>
      <c r="F49" s="4" t="inlineStr">
        <is>
          <t>5.42 Abdeckung der Einzugstellen insgesamt = „Einzugstellen offen"</t>
        </is>
      </c>
      <c r="G49" s="4" t="inlineStr">
        <is>
          <t>Hoch</t>
        </is>
      </c>
      <c r="H49" s="4" t="inlineStr">
        <is>
          <t>HIGH_CONFIDENCE</t>
        </is>
      </c>
      <c r="I49" s="4" t="inlineStr"/>
      <c r="J49" s="4" t="inlineStr">
        <is>
          <t>Bei Betreten des Maschinenraumes ausschalten</t>
        </is>
      </c>
      <c r="K49" s="4" t="inlineStr">
        <is>
          <t>Komplettabdeckungen nachrüsten</t>
        </is>
      </c>
      <c r="L49" s="4" t="inlineStr"/>
      <c r="M49" s="3" t="n"/>
      <c r="N49" s="3" t="n"/>
    </row>
    <row r="50">
      <c r="A50" s="2" t="inlineStr">
        <is>
          <t>MF-M03</t>
        </is>
      </c>
      <c r="B50" s="2" t="inlineStr">
        <is>
          <t>Fehlender oder unzureichender Schutz an drehenden Teilen (Treibscheibe, Umlenkrollen, Begrenzer)</t>
        </is>
      </c>
      <c r="C50" s="2" t="inlineStr">
        <is>
          <t>Triebwerksraum – Ausstattung</t>
        </is>
      </c>
      <c r="D50" s="2" t="inlineStr">
        <is>
          <t>MF-M03-R2</t>
        </is>
      </c>
      <c r="E50" s="2" t="n">
        <v>100</v>
      </c>
      <c r="F50" s="2" t="inlineStr">
        <is>
          <t>5.40 Einzugsschutz an Treibscheibe, Umlenkrollen und Kopierwerk vorhanden? = Nein</t>
        </is>
      </c>
      <c r="G50" s="2" t="inlineStr">
        <is>
          <t>Hoch</t>
        </is>
      </c>
      <c r="H50" s="2" t="inlineStr">
        <is>
          <t>HIGH_CONFIDENCE</t>
        </is>
      </c>
      <c r="I50" s="2" t="inlineStr"/>
      <c r="J50" s="2" t="inlineStr">
        <is>
          <t>Bei Betreten des Maschinenraumes ausschalten</t>
        </is>
      </c>
      <c r="K50" s="2" t="inlineStr">
        <is>
          <t>Komplettabdeckungen nachrüsten</t>
        </is>
      </c>
      <c r="L50" s="2" t="inlineStr"/>
      <c r="M50" s="3" t="n"/>
      <c r="N50" s="3" t="n"/>
    </row>
    <row r="51">
      <c r="A51" s="4" t="inlineStr">
        <is>
          <t>MF-M03</t>
        </is>
      </c>
      <c r="B51" s="4" t="inlineStr">
        <is>
          <t>Fehlender oder unzureichender Schutz an drehenden Teilen (Treibscheibe, Umlenkrollen, Begrenzer)</t>
        </is>
      </c>
      <c r="C51" s="4" t="inlineStr">
        <is>
          <t>Triebwerksraum – Ausstattung</t>
        </is>
      </c>
      <c r="D51" s="4" t="inlineStr">
        <is>
          <t>MF-M03-R3</t>
        </is>
      </c>
      <c r="E51" s="4" t="n">
        <v>100</v>
      </c>
      <c r="F51" s="4" t="inlineStr">
        <is>
          <t>5.42 Abdeckung der Einzugstellen insgesamt = „Teilweise abgedeckt"</t>
        </is>
      </c>
      <c r="G51" s="4" t="inlineStr">
        <is>
          <t>Mittel</t>
        </is>
      </c>
      <c r="H51" s="4" t="inlineStr">
        <is>
          <t>HIGH_CONFIDENCE</t>
        </is>
      </c>
      <c r="I51" s="4" t="inlineStr"/>
      <c r="J51" s="4" t="inlineStr">
        <is>
          <t>Bei Betreten des Maschinenraumes ausschalten</t>
        </is>
      </c>
      <c r="K51" s="4" t="inlineStr">
        <is>
          <t>Komplettabdeckungen nachrüsten</t>
        </is>
      </c>
      <c r="L51" s="4" t="inlineStr"/>
      <c r="M51" s="3" t="n"/>
      <c r="N51" s="3" t="n"/>
    </row>
    <row r="52">
      <c r="A52" s="2" t="inlineStr">
        <is>
          <t>MF-M03</t>
        </is>
      </c>
      <c r="B52" s="2" t="inlineStr">
        <is>
          <t>Fehlender oder unzureichender Schutz an drehenden Teilen (Treibscheibe, Umlenkrollen, Begrenzer)</t>
        </is>
      </c>
      <c r="C52" s="2" t="inlineStr">
        <is>
          <t>Triebwerksraum – Ausstattung</t>
        </is>
      </c>
      <c r="D52" s="2" t="inlineStr">
        <is>
          <t>MF-M03-R4</t>
        </is>
      </c>
      <c r="E52" s="2" t="n">
        <v>100</v>
      </c>
      <c r="F52" s="2" t="inlineStr">
        <is>
          <t>(5.40 Einzugsschutz an Treibscheibe, Umlenkrollen und Kopierwerk vorhanden? = Ja UND 5.41 Einzugsschutz am Geschwindigkeitsbegrenzer vorhanden? = Nein)</t>
        </is>
      </c>
      <c r="G52" s="2" t="inlineStr">
        <is>
          <t>Mittel</t>
        </is>
      </c>
      <c r="H52" s="2" t="inlineStr">
        <is>
          <t>HIGH_CONFIDENCE</t>
        </is>
      </c>
      <c r="I52" s="2" t="inlineStr"/>
      <c r="J52" s="2" t="inlineStr">
        <is>
          <t>Bei Arbeiten am Geschwindigkeitsbegrenzer ausschalten</t>
        </is>
      </c>
      <c r="K52" s="2" t="inlineStr">
        <is>
          <t>Abdeckungen nachrüsten</t>
        </is>
      </c>
      <c r="L52" s="2" t="inlineStr"/>
      <c r="M52" s="3" t="n"/>
      <c r="N52" s="3" t="n"/>
    </row>
    <row r="53">
      <c r="A53" s="4" t="inlineStr">
        <is>
          <t>MF-M03</t>
        </is>
      </c>
      <c r="B53" s="4" t="inlineStr">
        <is>
          <t>Fehlender oder unzureichender Schutz an drehenden Teilen (Treibscheibe, Umlenkrollen, Begrenzer)</t>
        </is>
      </c>
      <c r="C53" s="4" t="inlineStr">
        <is>
          <t>Triebwerksraum – Ausstattung</t>
        </is>
      </c>
      <c r="D53" s="4" t="inlineStr">
        <is>
          <t>MF-M03-R5</t>
        </is>
      </c>
      <c r="E53" s="4" t="n">
        <v>1</v>
      </c>
      <c r="F53" s="4" t="inlineStr">
        <is>
          <t>5.40 Einzugsschutz an Treibscheibe, Umlenkrollen und Kopierwerk vorhanden? beantwortet</t>
        </is>
      </c>
      <c r="G53" s="4" t="inlineStr">
        <is>
          <t>Kein Risiko</t>
        </is>
      </c>
      <c r="H53" s="4" t="inlineStr">
        <is>
          <t>HIGH_CONFIDENCE</t>
        </is>
      </c>
      <c r="I53" s="4" t="inlineStr"/>
      <c r="J53" s="4" t="inlineStr">
        <is>
          <t>Zustand erhalten; bei der wiederkehrenden Prüfung und der Betreiberkontrolle erneut prüfen</t>
        </is>
      </c>
      <c r="K53" s="4" t="inlineStr"/>
      <c r="L53" s="4" t="inlineStr">
        <is>
          <t>Kein Risiko: keine Mangelregel trifft zu, alle Pflichtfragen beantwortet.</t>
        </is>
      </c>
      <c r="M53" s="3" t="n"/>
      <c r="N53" s="3" t="n"/>
    </row>
    <row r="54">
      <c r="A54" s="2" t="inlineStr">
        <is>
          <t>MF-M04</t>
        </is>
      </c>
      <c r="B54" s="2" t="inlineStr">
        <is>
          <t>Unzureichende Raumhöhe, Bewegungs- und Freiflächen im Triebwerksraum</t>
        </is>
      </c>
      <c r="C54" s="2" t="inlineStr">
        <is>
          <t>Triebwerksraum – Ausstattung</t>
        </is>
      </c>
      <c r="D54" s="2" t="inlineStr">
        <is>
          <t>MF-M04-R1</t>
        </is>
      </c>
      <c r="E54" s="2" t="n">
        <v>100</v>
      </c>
      <c r="F54" s="2" t="inlineStr">
        <is>
          <t>5.44 Freifläche für Notbetrieb/Handrad mind. 0,50 m × 0,60 m vor dem Antrieb vorhanden? = Nein</t>
        </is>
      </c>
      <c r="G54" s="2" t="inlineStr">
        <is>
          <t>Hoch</t>
        </is>
      </c>
      <c r="H54" s="2" t="inlineStr">
        <is>
          <t>HIGH_CONFIDENCE</t>
        </is>
      </c>
      <c r="I54" s="2" t="inlineStr"/>
      <c r="J54" s="2" t="inlineStr">
        <is>
          <t>Fläche sofort freiräumen</t>
        </is>
      </c>
      <c r="K54" s="2" t="inlineStr">
        <is>
          <t>Freifläche dauerhaft sicherstellen und kennzeichnen</t>
        </is>
      </c>
      <c r="L54" s="2" t="inlineStr"/>
      <c r="M54" s="3" t="n"/>
      <c r="N54" s="3" t="n"/>
    </row>
    <row r="55">
      <c r="A55" s="4" t="inlineStr">
        <is>
          <t>MF-M04</t>
        </is>
      </c>
      <c r="B55" s="4" t="inlineStr">
        <is>
          <t>Unzureichende Raumhöhe, Bewegungs- und Freiflächen im Triebwerksraum</t>
        </is>
      </c>
      <c r="C55" s="4" t="inlineStr">
        <is>
          <t>Triebwerksraum – Ausstattung</t>
        </is>
      </c>
      <c r="D55" s="4" t="inlineStr">
        <is>
          <t>MF-M04-R2</t>
        </is>
      </c>
      <c r="E55" s="4" t="n">
        <v>100</v>
      </c>
      <c r="F55" s="4" t="inlineStr">
        <is>
          <t>5.43 Lichte Höhe im Gehbereich mind. 1,80 m? = Nein</t>
        </is>
      </c>
      <c r="G55" s="4" t="inlineStr">
        <is>
          <t>Mittel</t>
        </is>
      </c>
      <c r="H55" s="4" t="inlineStr">
        <is>
          <t>HIGH_CONFIDENCE</t>
        </is>
      </c>
      <c r="I55" s="4" t="inlineStr"/>
      <c r="J55" s="4" t="inlineStr">
        <is>
          <t>Niedrige Stellen kennzeichnen (Warnmarkierung, Polsterung), Beschäftigte unterweisen</t>
        </is>
      </c>
      <c r="K55" s="4" t="inlineStr">
        <is>
          <t>Lichte Höhe von 1,80 m im Gehbereich herstellen (Umbau, Verlegung von Einbauten)</t>
        </is>
      </c>
      <c r="L55" s="4" t="inlineStr"/>
      <c r="M55" s="3" t="n"/>
      <c r="N55" s="3" t="n"/>
    </row>
    <row r="56">
      <c r="A56" s="2" t="inlineStr">
        <is>
          <t>MF-M04</t>
        </is>
      </c>
      <c r="B56" s="2" t="inlineStr">
        <is>
          <t>Unzureichende Raumhöhe, Bewegungs- und Freiflächen im Triebwerksraum</t>
        </is>
      </c>
      <c r="C56" s="2" t="inlineStr">
        <is>
          <t>Triebwerksraum – Ausstattung</t>
        </is>
      </c>
      <c r="D56" s="2" t="inlineStr">
        <is>
          <t>MF-M04-R3</t>
        </is>
      </c>
      <c r="E56" s="2" t="n">
        <v>100</v>
      </c>
      <c r="F56" s="2" t="inlineStr">
        <is>
          <t>5.45 Bewegungsflächen durch Lagerung eingeengt? = Ja</t>
        </is>
      </c>
      <c r="G56" s="2" t="inlineStr">
        <is>
          <t>Mittel</t>
        </is>
      </c>
      <c r="H56" s="2" t="inlineStr">
        <is>
          <t>HIGH_CONFIDENCE</t>
        </is>
      </c>
      <c r="I56" s="2" t="inlineStr"/>
      <c r="J56" s="2" t="inlineStr">
        <is>
          <t>Flächen sofort freiräumen</t>
        </is>
      </c>
      <c r="K56" s="2" t="inlineStr">
        <is>
          <t>Lagerung im Triebwerksraum dauerhaft unterbinden</t>
        </is>
      </c>
      <c r="L56" s="2" t="inlineStr"/>
      <c r="M56" s="3" t="n"/>
      <c r="N56" s="3" t="n"/>
    </row>
    <row r="57">
      <c r="A57" s="4" t="inlineStr">
        <is>
          <t>MF-M04</t>
        </is>
      </c>
      <c r="B57" s="4" t="inlineStr">
        <is>
          <t>Unzureichende Raumhöhe, Bewegungs- und Freiflächen im Triebwerksraum</t>
        </is>
      </c>
      <c r="C57" s="4" t="inlineStr">
        <is>
          <t>Triebwerksraum – Ausstattung</t>
        </is>
      </c>
      <c r="D57" s="4" t="inlineStr">
        <is>
          <t>MF-M04-R4</t>
        </is>
      </c>
      <c r="E57" s="4" t="n">
        <v>1</v>
      </c>
      <c r="F57" s="4" t="inlineStr">
        <is>
          <t>5.43 Lichte Höhe im Gehbereich mind. 1,80 m? beantwortet</t>
        </is>
      </c>
      <c r="G57" s="4" t="inlineStr">
        <is>
          <t>Kein Risiko</t>
        </is>
      </c>
      <c r="H57" s="4" t="inlineStr">
        <is>
          <t>HIGH_CONFIDENCE</t>
        </is>
      </c>
      <c r="I57" s="4" t="inlineStr"/>
      <c r="J57" s="4" t="inlineStr">
        <is>
          <t>Zustand erhalten; bei der wiederkehrenden Prüfung und der Betreiberkontrolle erneut prüfen</t>
        </is>
      </c>
      <c r="K57" s="4" t="inlineStr"/>
      <c r="L57" s="4" t="inlineStr">
        <is>
          <t>Kein Risiko: keine Mangelregel trifft zu, alle Pflichtfragen beantwortet.</t>
        </is>
      </c>
      <c r="M57" s="3" t="n"/>
      <c r="N57" s="3" t="n"/>
    </row>
    <row r="58">
      <c r="A58" s="2" t="inlineStr">
        <is>
          <t>MF-M05</t>
        </is>
      </c>
      <c r="B58" s="2" t="inlineStr">
        <is>
          <t>Unterschiedliche Ebenen, Podeste und Bodenöffnungen im Triebwerksraum ungesichert</t>
        </is>
      </c>
      <c r="C58" s="2" t="inlineStr">
        <is>
          <t>Triebwerksraum – Ausstattung</t>
        </is>
      </c>
      <c r="D58" s="2" t="inlineStr">
        <is>
          <t>MF-M05-R1</t>
        </is>
      </c>
      <c r="E58" s="2" t="n">
        <v>100</v>
      </c>
      <c r="F58" s="2" t="inlineStr">
        <is>
          <t>(5.46 Niveauunterschiede über 0,50 m im Raum vorhanden? = Ja UND 5.46a Niveauunterschied durch Treppe oder Leiter überwindbar? = Nein)</t>
        </is>
      </c>
      <c r="G58" s="2" t="inlineStr">
        <is>
          <t>Mittel</t>
        </is>
      </c>
      <c r="H58" s="2" t="inlineStr">
        <is>
          <t>HIGH_CONFIDENCE</t>
        </is>
      </c>
      <c r="I58" s="2" t="inlineStr"/>
      <c r="J58" s="2" t="inlineStr">
        <is>
          <t>Sichere Aufstiegshilfe verwenden</t>
        </is>
      </c>
      <c r="K58" s="2" t="inlineStr">
        <is>
          <t>Treppe oder Leiter nach DIN EN 81-20, 5.2.6.3.2.4 herstellen</t>
        </is>
      </c>
      <c r="L58" s="2" t="inlineStr"/>
      <c r="M58" s="3" t="n"/>
      <c r="N58" s="3" t="n"/>
    </row>
    <row r="59">
      <c r="A59" s="4" t="inlineStr">
        <is>
          <t>MF-M05</t>
        </is>
      </c>
      <c r="B59" s="4" t="inlineStr">
        <is>
          <t>Unterschiedliche Ebenen, Podeste und Bodenöffnungen im Triebwerksraum ungesichert</t>
        </is>
      </c>
      <c r="C59" s="4" t="inlineStr">
        <is>
          <t>Triebwerksraum – Ausstattung</t>
        </is>
      </c>
      <c r="D59" s="4" t="inlineStr">
        <is>
          <t>MF-M05-R2</t>
        </is>
      </c>
      <c r="E59" s="4" t="n">
        <v>100</v>
      </c>
      <c r="F59" s="4" t="inlineStr">
        <is>
          <t>5.46b Podest mit Absturzhöhe über 1,00 m ohne Geländer? = Ja</t>
        </is>
      </c>
      <c r="G59" s="4" t="inlineStr">
        <is>
          <t>Hoch</t>
        </is>
      </c>
      <c r="H59" s="4" t="inlineStr">
        <is>
          <t>HIGH_CONFIDENCE</t>
        </is>
      </c>
      <c r="I59" s="4" t="inlineStr"/>
      <c r="J59" s="4" t="inlineStr">
        <is>
          <t>Bereich absperren, PSA gegen Absturz verwenden</t>
        </is>
      </c>
      <c r="K59" s="4" t="inlineStr">
        <is>
          <t>Geländer nachrüsten</t>
        </is>
      </c>
      <c r="L59" s="4" t="inlineStr"/>
      <c r="M59" s="3" t="n"/>
      <c r="N59" s="3" t="n"/>
    </row>
    <row r="60">
      <c r="A60" s="2" t="inlineStr">
        <is>
          <t>MF-M05</t>
        </is>
      </c>
      <c r="B60" s="2" t="inlineStr">
        <is>
          <t>Unterschiedliche Ebenen, Podeste und Bodenöffnungen im Triebwerksraum ungesichert</t>
        </is>
      </c>
      <c r="C60" s="2" t="inlineStr">
        <is>
          <t>Triebwerksraum – Ausstattung</t>
        </is>
      </c>
      <c r="D60" s="2" t="inlineStr">
        <is>
          <t>MF-M05-R3</t>
        </is>
      </c>
      <c r="E60" s="2" t="n">
        <v>100</v>
      </c>
      <c r="F60" s="2" t="inlineStr">
        <is>
          <t>5.47 Ungesicherte Bodenöffnung oder Vertiefung im Raum? = Ja</t>
        </is>
      </c>
      <c r="G60" s="2" t="inlineStr">
        <is>
          <t>Hoch</t>
        </is>
      </c>
      <c r="H60" s="2" t="inlineStr">
        <is>
          <t>HIGH_CONFIDENCE</t>
        </is>
      </c>
      <c r="I60" s="2" t="inlineStr"/>
      <c r="J60" s="2" t="inlineStr">
        <is>
          <t>Öffnung abdecken oder absperren</t>
        </is>
      </c>
      <c r="K60" s="2" t="inlineStr">
        <is>
          <t>Dauerhafte Abdeckung und umlaufendes Geländer anbringen</t>
        </is>
      </c>
      <c r="L60" s="2" t="inlineStr"/>
      <c r="M60" s="3" t="n"/>
      <c r="N60" s="3" t="n"/>
    </row>
    <row r="61">
      <c r="A61" s="4" t="inlineStr">
        <is>
          <t>MF-M05</t>
        </is>
      </c>
      <c r="B61" s="4" t="inlineStr">
        <is>
          <t>Unterschiedliche Ebenen, Podeste und Bodenöffnungen im Triebwerksraum ungesichert</t>
        </is>
      </c>
      <c r="C61" s="4" t="inlineStr">
        <is>
          <t>Triebwerksraum – Ausstattung</t>
        </is>
      </c>
      <c r="D61" s="4" t="inlineStr">
        <is>
          <t>MF-M05-R4</t>
        </is>
      </c>
      <c r="E61" s="4" t="n">
        <v>1</v>
      </c>
      <c r="F61" s="4" t="inlineStr">
        <is>
          <t>5.46 Niveauunterschiede über 0,50 m im Raum vorhanden? beantwortet</t>
        </is>
      </c>
      <c r="G61" s="4" t="inlineStr">
        <is>
          <t>Kein Risiko</t>
        </is>
      </c>
      <c r="H61" s="4" t="inlineStr">
        <is>
          <t>HIGH_CONFIDENCE</t>
        </is>
      </c>
      <c r="I61" s="4" t="inlineStr"/>
      <c r="J61" s="4" t="inlineStr">
        <is>
          <t>Zustand erhalten; bei der wiederkehrenden Prüfung und der Betreiberkontrolle erneut prüfen</t>
        </is>
      </c>
      <c r="K61" s="4" t="inlineStr"/>
      <c r="L61" s="4" t="inlineStr">
        <is>
          <t>Kein Risiko: keine Mangelregel trifft zu, alle Pflichtfragen beantwortet.</t>
        </is>
      </c>
      <c r="M61" s="3" t="n"/>
      <c r="N61" s="3" t="n"/>
    </row>
    <row r="62">
      <c r="A62" s="2" t="inlineStr">
        <is>
          <t>MF-M06</t>
        </is>
      </c>
      <c r="B62" s="2" t="inlineStr">
        <is>
          <t>Rutschiger, verschmutzter oder ölverunreinigter Boden im Triebwerksraum</t>
        </is>
      </c>
      <c r="C62" s="2" t="inlineStr">
        <is>
          <t>Triebwerksraum – Ausstattung</t>
        </is>
      </c>
      <c r="D62" s="2" t="inlineStr">
        <is>
          <t>MF-M06-R1</t>
        </is>
      </c>
      <c r="E62" s="2" t="n">
        <v>100</v>
      </c>
      <c r="F62" s="2" t="inlineStr">
        <is>
          <t>5.50 Ausgetretenes Öl / Hydrauliköl ohne Auffangmöglichkeit? = Ja</t>
        </is>
      </c>
      <c r="G62" s="2" t="inlineStr">
        <is>
          <t>Hoch</t>
        </is>
      </c>
      <c r="H62" s="2" t="inlineStr">
        <is>
          <t>HIGH_CONFIDENCE</t>
        </is>
      </c>
      <c r="I62" s="2" t="inlineStr"/>
      <c r="J62" s="2" t="inlineStr">
        <is>
          <t>Öl aufnehmen, Leckage abstellen, Bereich sichern</t>
        </is>
      </c>
      <c r="K62" s="2" t="inlineStr">
        <is>
          <t>Auffangwanne herstellen und Leckage dauerhaft beseitigen (Wasserhaushaltsgesetz beachten)</t>
        </is>
      </c>
      <c r="L62" s="2" t="inlineStr"/>
      <c r="M62" s="3" t="n"/>
      <c r="N62" s="3" t="n"/>
    </row>
    <row r="63">
      <c r="A63" s="4" t="inlineStr">
        <is>
          <t>MF-M06</t>
        </is>
      </c>
      <c r="B63" s="4" t="inlineStr">
        <is>
          <t>Rutschiger, verschmutzter oder ölverunreinigter Boden im Triebwerksraum</t>
        </is>
      </c>
      <c r="C63" s="4" t="inlineStr">
        <is>
          <t>Triebwerksraum – Ausstattung</t>
        </is>
      </c>
      <c r="D63" s="4" t="inlineStr">
        <is>
          <t>MF-M06-R2</t>
        </is>
      </c>
      <c r="E63" s="4" t="n">
        <v>100</v>
      </c>
      <c r="F63" s="4" t="inlineStr">
        <is>
          <t>5.48 Boden rutschhemmend und sauber? = Nein</t>
        </is>
      </c>
      <c r="G63" s="4" t="inlineStr">
        <is>
          <t>Mittel</t>
        </is>
      </c>
      <c r="H63" s="4" t="inlineStr">
        <is>
          <t>HIGH_CONFIDENCE</t>
        </is>
      </c>
      <c r="I63" s="4" t="inlineStr"/>
      <c r="J63" s="4" t="inlineStr">
        <is>
          <t>Reinigen, abstumpfendes Material einsetzen</t>
        </is>
      </c>
      <c r="K63" s="4" t="inlineStr">
        <is>
          <t>Reinigung in den Wartungsplan aufnehmen</t>
        </is>
      </c>
      <c r="L63" s="4" t="inlineStr"/>
      <c r="M63" s="3" t="n"/>
      <c r="N63" s="3" t="n"/>
    </row>
    <row r="64">
      <c r="A64" s="2" t="inlineStr">
        <is>
          <t>MF-M06</t>
        </is>
      </c>
      <c r="B64" s="2" t="inlineStr">
        <is>
          <t>Rutschiger, verschmutzter oder ölverunreinigter Boden im Triebwerksraum</t>
        </is>
      </c>
      <c r="C64" s="2" t="inlineStr">
        <is>
          <t>Triebwerksraum – Ausstattung</t>
        </is>
      </c>
      <c r="D64" s="2" t="inlineStr">
        <is>
          <t>MF-M06-R3</t>
        </is>
      </c>
      <c r="E64" s="2" t="n">
        <v>100</v>
      </c>
      <c r="F64" s="2" t="inlineStr">
        <is>
          <t>5.49 Boden ölfest gestrichen und unbeschädigt? = Nein</t>
        </is>
      </c>
      <c r="G64" s="2" t="inlineStr">
        <is>
          <t>Mittel</t>
        </is>
      </c>
      <c r="H64" s="2" t="inlineStr">
        <is>
          <t>HIGH_CONFIDENCE</t>
        </is>
      </c>
      <c r="I64" s="2" t="inlineStr"/>
      <c r="J64" s="2" t="inlineStr">
        <is>
          <t>Ölbindemittel bereitstellen und Verunreinigungen aufnehmen</t>
        </is>
      </c>
      <c r="K64" s="2" t="inlineStr">
        <is>
          <t>Ölfesten Anstrich erneuern</t>
        </is>
      </c>
      <c r="L64" s="2" t="inlineStr"/>
      <c r="M64" s="3" t="n"/>
      <c r="N64" s="3" t="n"/>
    </row>
    <row r="65">
      <c r="A65" s="4" t="inlineStr">
        <is>
          <t>MF-M06</t>
        </is>
      </c>
      <c r="B65" s="4" t="inlineStr">
        <is>
          <t>Rutschiger, verschmutzter oder ölverunreinigter Boden im Triebwerksraum</t>
        </is>
      </c>
      <c r="C65" s="4" t="inlineStr">
        <is>
          <t>Triebwerksraum – Ausstattung</t>
        </is>
      </c>
      <c r="D65" s="4" t="inlineStr">
        <is>
          <t>MF-M06-R4</t>
        </is>
      </c>
      <c r="E65" s="4" t="n">
        <v>1</v>
      </c>
      <c r="F65" s="4" t="inlineStr">
        <is>
          <t>5.48 Boden rutschhemmend und sauber? beantwortet</t>
        </is>
      </c>
      <c r="G65" s="4" t="inlineStr">
        <is>
          <t>Kein Risiko</t>
        </is>
      </c>
      <c r="H65" s="4" t="inlineStr">
        <is>
          <t>HIGH_CONFIDENCE</t>
        </is>
      </c>
      <c r="I65" s="4" t="inlineStr"/>
      <c r="J65" s="4" t="inlineStr">
        <is>
          <t>Zustand erhalten; bei der wiederkehrenden Prüfung und der Betreiberkontrolle erneut prüfen</t>
        </is>
      </c>
      <c r="K65" s="4" t="inlineStr"/>
      <c r="L65" s="4" t="inlineStr">
        <is>
          <t>Kein Risiko: keine Mangelregel trifft zu, alle Pflichtfragen beantwortet.</t>
        </is>
      </c>
      <c r="M65" s="3" t="n"/>
      <c r="N65" s="3" t="n"/>
    </row>
    <row r="66">
      <c r="A66" s="2" t="inlineStr">
        <is>
          <t>MF-M07</t>
        </is>
      </c>
      <c r="B66" s="2" t="inlineStr">
        <is>
          <t>Fehlender, nicht abschließbarer oder nicht gekennzeichneter Hauptschalter</t>
        </is>
      </c>
      <c r="C66" s="2" t="inlineStr">
        <is>
          <t>Steuerung und Elektrik</t>
        </is>
      </c>
      <c r="D66" s="2" t="inlineStr">
        <is>
          <t>MF-M07-R1</t>
        </is>
      </c>
      <c r="E66" s="2" t="n">
        <v>100</v>
      </c>
      <c r="F66" s="2" t="inlineStr">
        <is>
          <t>5.51 Hauptschalter vorhanden und Wirkung nachvollziehbar? = Nein</t>
        </is>
      </c>
      <c r="G66" s="2" t="inlineStr">
        <is>
          <t>Hoch</t>
        </is>
      </c>
      <c r="H66" s="2" t="inlineStr">
        <is>
          <t>HIGH_CONFIDENCE</t>
        </is>
      </c>
      <c r="I66" s="2" t="inlineStr"/>
      <c r="J66" s="2" t="inlineStr">
        <is>
          <t>Arbeiten nur nach Freischalten durch eine Elektrofachkraft</t>
        </is>
      </c>
      <c r="K66" s="2" t="inlineStr">
        <is>
          <t>Hauptschalter nach DIN EN 81-20 nachrüsten</t>
        </is>
      </c>
      <c r="L66" s="2" t="inlineStr"/>
      <c r="M66" s="3" t="n"/>
      <c r="N66" s="3" t="n"/>
    </row>
    <row r="67">
      <c r="A67" s="4" t="inlineStr">
        <is>
          <t>MF-M07</t>
        </is>
      </c>
      <c r="B67" s="4" t="inlineStr">
        <is>
          <t>Fehlender, nicht abschließbarer oder nicht gekennzeichneter Hauptschalter</t>
        </is>
      </c>
      <c r="C67" s="4" t="inlineStr">
        <is>
          <t>Steuerung und Elektrik</t>
        </is>
      </c>
      <c r="D67" s="4" t="inlineStr">
        <is>
          <t>MF-M07-R2</t>
        </is>
      </c>
      <c r="E67" s="4" t="n">
        <v>100</v>
      </c>
      <c r="F67" s="4" t="inlineStr">
        <is>
          <t>5.51a Hauptschalter abschließbar? = Nein</t>
        </is>
      </c>
      <c r="G67" s="4" t="inlineStr">
        <is>
          <t>Hoch</t>
        </is>
      </c>
      <c r="H67" s="4" t="inlineStr">
        <is>
          <t>HIGH_CONFIDENCE</t>
        </is>
      </c>
      <c r="I67" s="4" t="inlineStr"/>
      <c r="J67" s="4" t="inlineStr">
        <is>
          <t>Andere Maßnahme zum Schutz gegen Wiedereinschalten anwenden</t>
        </is>
      </c>
      <c r="K67" s="4" t="inlineStr">
        <is>
          <t>Abschließbaren Hauptschalter nachrüsten</t>
        </is>
      </c>
      <c r="L67" s="4" t="inlineStr">
        <is>
          <t>Entschieden 2026-09-02: K-M02.</t>
        </is>
      </c>
      <c r="M67" s="3" t="n"/>
      <c r="N67" s="3" t="n"/>
    </row>
    <row r="68">
      <c r="A68" s="2" t="inlineStr">
        <is>
          <t>MF-M07</t>
        </is>
      </c>
      <c r="B68" s="2" t="inlineStr">
        <is>
          <t>Fehlender, nicht abschließbarer oder nicht gekennzeichneter Hauptschalter</t>
        </is>
      </c>
      <c r="C68" s="2" t="inlineStr">
        <is>
          <t>Steuerung und Elektrik</t>
        </is>
      </c>
      <c r="D68" s="2" t="inlineStr">
        <is>
          <t>MF-M07-R3</t>
        </is>
      </c>
      <c r="E68" s="2" t="n">
        <v>100</v>
      </c>
      <c r="F68" s="2" t="inlineStr">
        <is>
          <t>5.51b Hauptschalter eindeutig gekennzeichnet? = Nein</t>
        </is>
      </c>
      <c r="G68" s="2" t="inlineStr">
        <is>
          <t>Mittel</t>
        </is>
      </c>
      <c r="H68" s="2" t="inlineStr">
        <is>
          <t>HIGH_CONFIDENCE</t>
        </is>
      </c>
      <c r="I68" s="2" t="inlineStr"/>
      <c r="J68" s="2" t="inlineStr">
        <is>
          <t>Provisorisch kennzeichnen</t>
        </is>
      </c>
      <c r="K68" s="2" t="inlineStr">
        <is>
          <t>Dauerhafte Kennzeichnung anbringen</t>
        </is>
      </c>
      <c r="L68" s="2" t="inlineStr"/>
      <c r="M68" s="3" t="n"/>
      <c r="N68" s="3" t="n"/>
    </row>
    <row r="69">
      <c r="A69" s="4" t="inlineStr">
        <is>
          <t>MF-M07</t>
        </is>
      </c>
      <c r="B69" s="4" t="inlineStr">
        <is>
          <t>Fehlender, nicht abschließbarer oder nicht gekennzeichneter Hauptschalter</t>
        </is>
      </c>
      <c r="C69" s="4" t="inlineStr">
        <is>
          <t>Steuerung und Elektrik</t>
        </is>
      </c>
      <c r="D69" s="4" t="inlineStr">
        <is>
          <t>MF-M07-R4</t>
        </is>
      </c>
      <c r="E69" s="4" t="n">
        <v>1</v>
      </c>
      <c r="F69" s="4" t="inlineStr">
        <is>
          <t>5.51 Hauptschalter vorhanden und Wirkung nachvollziehbar? beantwortet</t>
        </is>
      </c>
      <c r="G69" s="4" t="inlineStr">
        <is>
          <t>Kein Risiko</t>
        </is>
      </c>
      <c r="H69" s="4" t="inlineStr">
        <is>
          <t>HIGH_CONFIDENCE</t>
        </is>
      </c>
      <c r="I69" s="4" t="inlineStr"/>
      <c r="J69" s="4" t="inlineStr">
        <is>
          <t>Zustand erhalten; bei der wiederkehrenden Prüfung und der Betreiberkontrolle erneut prüfen</t>
        </is>
      </c>
      <c r="K69" s="4" t="inlineStr"/>
      <c r="L69" s="4" t="inlineStr">
        <is>
          <t>Kein Risiko: keine Mangelregel trifft zu, alle Pflichtfragen beantwortet.</t>
        </is>
      </c>
      <c r="M69" s="3" t="n"/>
      <c r="N69" s="3" t="n"/>
    </row>
    <row r="70">
      <c r="A70" s="2" t="inlineStr">
        <is>
          <t>MF-M08</t>
        </is>
      </c>
      <c r="B70" s="2" t="inlineStr">
        <is>
          <t>Unzureichende elektromechanische Bremse (Einkreisbremse, keine Überwachung)</t>
        </is>
      </c>
      <c r="C70" s="2" t="inlineStr">
        <is>
          <t>Antrieb, Bremse und Hydraulik</t>
        </is>
      </c>
      <c r="D70" s="2" t="inlineStr">
        <is>
          <t>MF-M08-R1</t>
        </is>
      </c>
      <c r="E70" s="2" t="n">
        <v>100</v>
      </c>
      <c r="F70" s="2" t="inlineStr">
        <is>
          <t>6.2 Zweikreisbremse (redundante Betriebsbremse) vorhanden? = Nein</t>
        </is>
      </c>
      <c r="G70" s="2" t="inlineStr">
        <is>
          <t>Hoch</t>
        </is>
      </c>
      <c r="H70" s="2" t="inlineStr">
        <is>
          <t>HIGH_CONFIDENCE</t>
        </is>
      </c>
      <c r="I70" s="2" t="inlineStr"/>
      <c r="J70" s="2" t="inlineStr">
        <is>
          <t>Bremsfunktion prüfen, Anlage bei Auffälligkeiten stilllegen</t>
        </is>
      </c>
      <c r="K70" s="2" t="inlineStr">
        <is>
          <t>Zweikreisbremse mit Überwachung der Bremskreise nachrüsten</t>
        </is>
      </c>
      <c r="L70" s="2" t="inlineStr"/>
      <c r="M70" s="3" t="n"/>
      <c r="N70" s="3" t="n"/>
    </row>
    <row r="71">
      <c r="A71" s="4" t="inlineStr">
        <is>
          <t>MF-M08</t>
        </is>
      </c>
      <c r="B71" s="4" t="inlineStr">
        <is>
          <t>Unzureichende elektromechanische Bremse (Einkreisbremse, keine Überwachung)</t>
        </is>
      </c>
      <c r="C71" s="4" t="inlineStr">
        <is>
          <t>Antrieb, Bremse und Hydraulik</t>
        </is>
      </c>
      <c r="D71" s="4" t="inlineStr">
        <is>
          <t>MF-M08-R2</t>
        </is>
      </c>
      <c r="E71" s="4" t="n">
        <v>100</v>
      </c>
      <c r="F71" s="4" t="inlineStr">
        <is>
          <t>(6.2a Bremse elektrisch überwacht (Bremskontrollschalter)? = Nein UND 8.27 Türüberbrückung (SR-Modul) für Nachregulieren / Voraböffnen mit offener Tür vorhanden? = Ja)</t>
        </is>
      </c>
      <c r="G71" s="4" t="inlineStr">
        <is>
          <t>Mittel</t>
        </is>
      </c>
      <c r="H71" s="4" t="inlineStr">
        <is>
          <t>HIGH_CONFIDENCE</t>
        </is>
      </c>
      <c r="I71" s="4" t="inlineStr"/>
      <c r="J71" s="4" t="inlineStr"/>
      <c r="K71" s="4" t="inlineStr">
        <is>
          <t>Bremskontrollschalter nachrüsten</t>
        </is>
      </c>
      <c r="L71" s="4" t="inlineStr">
        <is>
          <t>Entscheidung 02.09.2026: ohne Türüberbrückung (SR-Modul) kein Risiko. Entschieden 2026-09-02: K-M09.</t>
        </is>
      </c>
      <c r="M71" s="3" t="n"/>
      <c r="N71" s="3" t="n"/>
    </row>
    <row r="72">
      <c r="A72" s="2" t="inlineStr">
        <is>
          <t>MF-M08</t>
        </is>
      </c>
      <c r="B72" s="2" t="inlineStr">
        <is>
          <t>Unzureichende elektromechanische Bremse (Einkreisbremse, keine Überwachung)</t>
        </is>
      </c>
      <c r="C72" s="2" t="inlineStr">
        <is>
          <t>Antrieb, Bremse und Hydraulik</t>
        </is>
      </c>
      <c r="D72" s="2" t="inlineStr">
        <is>
          <t>MF-M08-R3</t>
        </is>
      </c>
      <c r="E72" s="2" t="n">
        <v>1</v>
      </c>
      <c r="F72" s="2" t="inlineStr">
        <is>
          <t>6.2 Zweikreisbremse (redundante Betriebsbremse) vorhanden? beantwortet</t>
        </is>
      </c>
      <c r="G72" s="2" t="inlineStr">
        <is>
          <t>Kein Risiko</t>
        </is>
      </c>
      <c r="H72" s="2" t="inlineStr">
        <is>
          <t>HIGH_CONFIDENCE</t>
        </is>
      </c>
      <c r="I72" s="2" t="inlineStr"/>
      <c r="J72" s="2" t="inlineStr">
        <is>
          <t>Zustand erhalten; bei der wiederkehrenden Prüfung und der Betreiberkontrolle erneut prüfen</t>
        </is>
      </c>
      <c r="K72" s="2" t="inlineStr"/>
      <c r="L72" s="2" t="inlineStr">
        <is>
          <t>Kein Risiko: keine Mangelregel trifft zu, alle Pflichtfragen beantwortet.</t>
        </is>
      </c>
      <c r="M72" s="3" t="n"/>
      <c r="N72" s="3" t="n"/>
    </row>
    <row r="73">
      <c r="A73" s="4" t="inlineStr">
        <is>
          <t>MF-M09</t>
        </is>
      </c>
      <c r="B73" s="4" t="inlineStr">
        <is>
          <t>Fehlender Schutz des Antriebsmotors gegen Überhitzen</t>
        </is>
      </c>
      <c r="C73" s="4" t="inlineStr">
        <is>
          <t>Antrieb, Bremse und Hydraulik</t>
        </is>
      </c>
      <c r="D73" s="4" t="inlineStr">
        <is>
          <t>MF-M09-R1</t>
        </is>
      </c>
      <c r="E73" s="4" t="n">
        <v>100</v>
      </c>
      <c r="F73" s="4" t="inlineStr">
        <is>
          <t>6.3 Schutz gegen Überhitzen des Antriebsmotors vorhanden? = Nein</t>
        </is>
      </c>
      <c r="G73" s="4" t="inlineStr">
        <is>
          <t>Mittel</t>
        </is>
      </c>
      <c r="H73" s="4" t="inlineStr">
        <is>
          <t>HIGH_CONFIDENCE</t>
        </is>
      </c>
      <c r="I73" s="4" t="inlineStr"/>
      <c r="J73" s="4" t="inlineStr">
        <is>
          <t>Fahrspiele begrenzen und Temperatur überwachen</t>
        </is>
      </c>
      <c r="K73" s="4" t="inlineStr">
        <is>
          <t>Motorschutz nach DIN EN 81-20, 5.10.4.2 nachrüsten</t>
        </is>
      </c>
      <c r="L73" s="4" t="inlineStr">
        <is>
          <t>Entschieden 2026-09-02: K-M03.</t>
        </is>
      </c>
      <c r="M73" s="3" t="n"/>
      <c r="N73" s="3" t="n"/>
    </row>
    <row r="74">
      <c r="A74" s="2" t="inlineStr">
        <is>
          <t>MF-M09</t>
        </is>
      </c>
      <c r="B74" s="2" t="inlineStr">
        <is>
          <t>Fehlender Schutz des Antriebsmotors gegen Überhitzen</t>
        </is>
      </c>
      <c r="C74" s="2" t="inlineStr">
        <is>
          <t>Antrieb, Bremse und Hydraulik</t>
        </is>
      </c>
      <c r="D74" s="2" t="inlineStr">
        <is>
          <t>MF-M09-R2</t>
        </is>
      </c>
      <c r="E74" s="2" t="n">
        <v>1</v>
      </c>
      <c r="F74" s="2" t="inlineStr">
        <is>
          <t>6.3 Schutz gegen Überhitzen des Antriebsmotors vorhanden? beantwortet</t>
        </is>
      </c>
      <c r="G74" s="2" t="inlineStr">
        <is>
          <t>Kein Risiko</t>
        </is>
      </c>
      <c r="H74" s="2" t="inlineStr">
        <is>
          <t>HIGH_CONFIDENCE</t>
        </is>
      </c>
      <c r="I74" s="2" t="inlineStr"/>
      <c r="J74" s="2" t="inlineStr">
        <is>
          <t>Zustand erhalten; bei der wiederkehrenden Prüfung und der Betreiberkontrolle erneut prüfen</t>
        </is>
      </c>
      <c r="K74" s="2" t="inlineStr"/>
      <c r="L74" s="2" t="inlineStr">
        <is>
          <t>Kein Risiko: keine Mangelregel trifft zu, alle Pflichtfragen beantwortet.</t>
        </is>
      </c>
      <c r="M74" s="3" t="n"/>
      <c r="N74" s="3" t="n"/>
    </row>
    <row r="75">
      <c r="A75" s="4" t="inlineStr">
        <is>
          <t>MF-M10</t>
        </is>
      </c>
      <c r="B75" s="4" t="inlineStr">
        <is>
          <t>Fehlende unabhängige Fahrschütze / Abschaltwege</t>
        </is>
      </c>
      <c r="C75" s="4" t="inlineStr">
        <is>
          <t>Steuerung und Elektrik</t>
        </is>
      </c>
      <c r="D75" s="4" t="inlineStr">
        <is>
          <t>MF-M10-R1</t>
        </is>
      </c>
      <c r="E75" s="4" t="n">
        <v>200</v>
      </c>
      <c r="F75" s="4" t="inlineStr">
        <is>
          <t>(6.4 Zwei unabhängige Fahrschütze / Abschaltwege vorhanden? = Nein UND 6.4a Bei nur einem Schütz: selbstüberwachende Steuerung mit Baumusterprüfung? = Ja)</t>
        </is>
      </c>
      <c r="G75" s="4" t="inlineStr">
        <is>
          <t>Kein Risiko</t>
        </is>
      </c>
      <c r="H75" s="4" t="inlineStr">
        <is>
          <t>HIGH_CONFIDENCE</t>
        </is>
      </c>
      <c r="I75" s="4" t="inlineStr"/>
      <c r="J75" s="4" t="inlineStr"/>
      <c r="K75" s="4" t="inlineStr"/>
      <c r="L75" s="4" t="inlineStr">
        <is>
          <t>App M5: „Nur ein Fahrschütz, jedoch selbst überwachende Steuerung" = grün Entschieden 2026-09-02: K-M04.</t>
        </is>
      </c>
      <c r="M75" s="3" t="n"/>
      <c r="N75" s="3" t="n"/>
    </row>
    <row r="76">
      <c r="A76" s="2" t="inlineStr">
        <is>
          <t>MF-M10</t>
        </is>
      </c>
      <c r="B76" s="2" t="inlineStr">
        <is>
          <t>Fehlende unabhängige Fahrschütze / Abschaltwege</t>
        </is>
      </c>
      <c r="C76" s="2" t="inlineStr">
        <is>
          <t>Steuerung und Elektrik</t>
        </is>
      </c>
      <c r="D76" s="2" t="inlineStr">
        <is>
          <t>MF-M10-R2</t>
        </is>
      </c>
      <c r="E76" s="2" t="n">
        <v>100</v>
      </c>
      <c r="F76" s="2" t="inlineStr">
        <is>
          <t>6.4 Zwei unabhängige Fahrschütze / Abschaltwege vorhanden? = Nein</t>
        </is>
      </c>
      <c r="G76" s="2" t="inlineStr">
        <is>
          <t>Hoch</t>
        </is>
      </c>
      <c r="H76" s="2" t="inlineStr">
        <is>
          <t>HIGH_CONFIDENCE</t>
        </is>
      </c>
      <c r="I76" s="2" t="inlineStr"/>
      <c r="J76" s="2" t="inlineStr">
        <is>
          <t>Bei Arbeiten immer ausschalten</t>
        </is>
      </c>
      <c r="K76" s="2" t="inlineStr">
        <is>
          <t>Steuerung nachrüste / erneuern</t>
        </is>
      </c>
      <c r="L76" s="2" t="inlineStr"/>
      <c r="M76" s="3" t="n"/>
      <c r="N76" s="3" t="n"/>
    </row>
    <row r="77">
      <c r="A77" s="4" t="inlineStr">
        <is>
          <t>MF-M10</t>
        </is>
      </c>
      <c r="B77" s="4" t="inlineStr">
        <is>
          <t>Fehlende unabhängige Fahrschütze / Abschaltwege</t>
        </is>
      </c>
      <c r="C77" s="4" t="inlineStr">
        <is>
          <t>Steuerung und Elektrik</t>
        </is>
      </c>
      <c r="D77" s="4" t="inlineStr">
        <is>
          <t>MF-M10-R3</t>
        </is>
      </c>
      <c r="E77" s="4" t="n">
        <v>1</v>
      </c>
      <c r="F77" s="4" t="inlineStr">
        <is>
          <t>6.4 Zwei unabhängige Fahrschütze / Abschaltwege vorhanden? beantwortet</t>
        </is>
      </c>
      <c r="G77" s="4" t="inlineStr">
        <is>
          <t>Kein Risiko</t>
        </is>
      </c>
      <c r="H77" s="4" t="inlineStr">
        <is>
          <t>HIGH_CONFIDENCE</t>
        </is>
      </c>
      <c r="I77" s="4" t="inlineStr"/>
      <c r="J77" s="4" t="inlineStr">
        <is>
          <t>Zustand erhalten; bei der wiederkehrenden Prüfung und der Betreiberkontrolle erneut prüfen</t>
        </is>
      </c>
      <c r="K77" s="4" t="inlineStr"/>
      <c r="L77" s="4" t="inlineStr">
        <is>
          <t>Kein Risiko: keine Mangelregel trifft zu, alle Pflichtfragen beantwortet.</t>
        </is>
      </c>
      <c r="M77" s="3" t="n"/>
      <c r="N77" s="3" t="n"/>
    </row>
    <row r="78">
      <c r="A78" s="2" t="inlineStr">
        <is>
          <t>MF-M11</t>
        </is>
      </c>
      <c r="B78" s="2" t="inlineStr">
        <is>
          <t>Fehlende Laufzeitüberwachung des Antriebs</t>
        </is>
      </c>
      <c r="C78" s="2" t="inlineStr">
        <is>
          <t>Steuerung und Elektrik</t>
        </is>
      </c>
      <c r="D78" s="2" t="inlineStr">
        <is>
          <t>MF-M11-R1</t>
        </is>
      </c>
      <c r="E78" s="2" t="n">
        <v>100</v>
      </c>
      <c r="F78" s="2" t="inlineStr">
        <is>
          <t>6.5 Motor-Laufzeitüberwachung vorhanden? = Nein</t>
        </is>
      </c>
      <c r="G78" s="2" t="inlineStr">
        <is>
          <t>Mittel</t>
        </is>
      </c>
      <c r="H78" s="2" t="inlineStr">
        <is>
          <t>HIGH_CONFIDENCE</t>
        </is>
      </c>
      <c r="I78" s="2" t="inlineStr"/>
      <c r="J78" s="2" t="inlineStr">
        <is>
          <t>Anlage bei Auffälligkeiten stilllegen</t>
        </is>
      </c>
      <c r="K78" s="2" t="inlineStr">
        <is>
          <t>Motoren-Laufzeitüberwachung nachrüsten</t>
        </is>
      </c>
      <c r="L78" s="2" t="inlineStr"/>
      <c r="M78" s="3" t="n"/>
      <c r="N78" s="3" t="n"/>
    </row>
    <row r="79">
      <c r="A79" s="4" t="inlineStr">
        <is>
          <t>MF-M11</t>
        </is>
      </c>
      <c r="B79" s="4" t="inlineStr">
        <is>
          <t>Fehlende Laufzeitüberwachung des Antriebs</t>
        </is>
      </c>
      <c r="C79" s="4" t="inlineStr">
        <is>
          <t>Steuerung und Elektrik</t>
        </is>
      </c>
      <c r="D79" s="4" t="inlineStr">
        <is>
          <t>MF-M11-R2</t>
        </is>
      </c>
      <c r="E79" s="4" t="n">
        <v>1</v>
      </c>
      <c r="F79" s="4" t="inlineStr">
        <is>
          <t>6.5 Motor-Laufzeitüberwachung vorhanden? beantwortet</t>
        </is>
      </c>
      <c r="G79" s="4" t="inlineStr">
        <is>
          <t>Kein Risiko</t>
        </is>
      </c>
      <c r="H79" s="4" t="inlineStr">
        <is>
          <t>HIGH_CONFIDENCE</t>
        </is>
      </c>
      <c r="I79" s="4" t="inlineStr"/>
      <c r="J79" s="4" t="inlineStr">
        <is>
          <t>Zustand erhalten; bei der wiederkehrenden Prüfung und der Betreiberkontrolle erneut prüfen</t>
        </is>
      </c>
      <c r="K79" s="4" t="inlineStr"/>
      <c r="L79" s="4" t="inlineStr">
        <is>
          <t>Kein Risiko: keine Mangelregel trifft zu, alle Pflichtfragen beantwortet.</t>
        </is>
      </c>
      <c r="M79" s="3" t="n"/>
      <c r="N79" s="3" t="n"/>
    </row>
    <row r="80">
      <c r="A80" s="2" t="inlineStr">
        <is>
          <t>MF-M12</t>
        </is>
      </c>
      <c r="B80" s="2" t="inlineStr">
        <is>
          <t>Fehlender Schutz gegen Phasenumkehr / Phasenausfall</t>
        </is>
      </c>
      <c r="C80" s="2" t="inlineStr">
        <is>
          <t>Steuerung und Elektrik</t>
        </is>
      </c>
      <c r="D80" s="2" t="inlineStr">
        <is>
          <t>MF-M12-R1</t>
        </is>
      </c>
      <c r="E80" s="2" t="n">
        <v>100</v>
      </c>
      <c r="F80" s="2" t="inlineStr">
        <is>
          <t>6.6 Schutz gegen Phasenumkehr / Phasenausfall vorhanden? = Nein</t>
        </is>
      </c>
      <c r="G80" s="2" t="inlineStr">
        <is>
          <t>Mittel</t>
        </is>
      </c>
      <c r="H80" s="2" t="inlineStr">
        <is>
          <t>INFERRED</t>
        </is>
      </c>
      <c r="I80" s="2" t="inlineStr"/>
      <c r="J80" s="2" t="inlineStr">
        <is>
          <t>Anlage auf richtige Drehrichtung prüfen, Hinweis an Betreiber</t>
        </is>
      </c>
      <c r="K80" s="2" t="inlineStr">
        <is>
          <t>Phasenfolge-/Phasenausfallrelais nachrüsten</t>
        </is>
      </c>
      <c r="L80" s="2" t="inlineStr">
        <is>
          <t>Entschieden 2026-09-02: K-M05.</t>
        </is>
      </c>
      <c r="M80" s="3" t="n"/>
      <c r="N80" s="3" t="n"/>
    </row>
    <row r="81">
      <c r="A81" s="4" t="inlineStr">
        <is>
          <t>MF-M12</t>
        </is>
      </c>
      <c r="B81" s="4" t="inlineStr">
        <is>
          <t>Fehlender Schutz gegen Phasenumkehr / Phasenausfall</t>
        </is>
      </c>
      <c r="C81" s="4" t="inlineStr">
        <is>
          <t>Steuerung und Elektrik</t>
        </is>
      </c>
      <c r="D81" s="4" t="inlineStr">
        <is>
          <t>MF-M12-R2</t>
        </is>
      </c>
      <c r="E81" s="4" t="n">
        <v>1</v>
      </c>
      <c r="F81" s="4" t="inlineStr">
        <is>
          <t>6.6 Schutz gegen Phasenumkehr / Phasenausfall vorhanden? beantwortet</t>
        </is>
      </c>
      <c r="G81" s="4" t="inlineStr">
        <is>
          <t>Kein Risiko</t>
        </is>
      </c>
      <c r="H81" s="4" t="inlineStr">
        <is>
          <t>HIGH_CONFIDENCE</t>
        </is>
      </c>
      <c r="I81" s="4" t="inlineStr"/>
      <c r="J81" s="4" t="inlineStr">
        <is>
          <t>Zustand erhalten; bei der wiederkehrenden Prüfung und der Betreiberkontrolle erneut prüfen</t>
        </is>
      </c>
      <c r="K81" s="4" t="inlineStr"/>
      <c r="L81" s="4" t="inlineStr">
        <is>
          <t>Kein Risiko: keine Mangelregel trifft zu, alle Pflichtfragen beantwortet.</t>
        </is>
      </c>
      <c r="M81" s="3" t="n"/>
      <c r="N81" s="3" t="n"/>
    </row>
    <row r="82">
      <c r="A82" s="2" t="inlineStr">
        <is>
          <t>MF-M13</t>
        </is>
      </c>
      <c r="B82" s="2" t="inlineStr">
        <is>
          <t>Unzureichende Hydraulikeinrichtungen (Absperrventil, Rohrbruchsicherung, Absinken)</t>
        </is>
      </c>
      <c r="C82" s="2" t="inlineStr">
        <is>
          <t>Antrieb, Bremse und Hydraulik</t>
        </is>
      </c>
      <c r="D82" s="2" t="inlineStr">
        <is>
          <t>MF-M13-R1</t>
        </is>
      </c>
      <c r="E82" s="2" t="n">
        <v>100</v>
      </c>
      <c r="F82" s="2" t="inlineStr">
        <is>
          <t>6.11 Rohrbruchsicherungsventil vorhanden? = Nein</t>
        </is>
      </c>
      <c r="G82" s="2" t="inlineStr">
        <is>
          <t>Hoch</t>
        </is>
      </c>
      <c r="H82" s="2" t="inlineStr">
        <is>
          <t>HIGH_CONFIDENCE</t>
        </is>
      </c>
      <c r="I82" s="2" t="inlineStr"/>
      <c r="J82" s="2" t="inlineStr">
        <is>
          <t>Absinkverhalten überwachen, Anlage nur eingeschränkt betreiben</t>
        </is>
      </c>
      <c r="K82" s="2" t="inlineStr">
        <is>
          <t>Rohrbruchsicherungsventil nachrüsten</t>
        </is>
      </c>
      <c r="L82" s="2" t="inlineStr"/>
      <c r="M82" s="3" t="n"/>
      <c r="N82" s="3" t="n"/>
    </row>
    <row r="83">
      <c r="A83" s="4" t="inlineStr">
        <is>
          <t>MF-M13</t>
        </is>
      </c>
      <c r="B83" s="4" t="inlineStr">
        <is>
          <t>Unzureichende Hydraulikeinrichtungen (Absperrventil, Rohrbruchsicherung, Absinken)</t>
        </is>
      </c>
      <c r="C83" s="4" t="inlineStr">
        <is>
          <t>Antrieb, Bremse und Hydraulik</t>
        </is>
      </c>
      <c r="D83" s="4" t="inlineStr">
        <is>
          <t>MF-M13-R2</t>
        </is>
      </c>
      <c r="E83" s="4" t="n">
        <v>100</v>
      </c>
      <c r="F83" s="4" t="inlineStr">
        <is>
          <t>(6.13 Sinkt der Fahrkorb im Stillstand merklich ab? = Ja UND 6.12 Einrichtung gegen Absinken (Kolbenabsinkverhinderung / Nachholsteuerung) vorhanden? = Nein)</t>
        </is>
      </c>
      <c r="G83" s="4" t="inlineStr">
        <is>
          <t>Hoch</t>
        </is>
      </c>
      <c r="H83" s="4" t="inlineStr">
        <is>
          <t>HIGH_CONFIDENCE</t>
        </is>
      </c>
      <c r="I83" s="4" t="inlineStr"/>
      <c r="J83" s="4" t="inlineStr">
        <is>
          <t>Aufzug stilllegen</t>
        </is>
      </c>
      <c r="K83" s="4" t="inlineStr">
        <is>
          <t>Einrichtung gegen das Absinken des Kolbens nachrüsten und Leckage beseitigen</t>
        </is>
      </c>
      <c r="L83" s="4" t="inlineStr"/>
      <c r="M83" s="3" t="n"/>
      <c r="N83" s="3" t="n"/>
    </row>
    <row r="84">
      <c r="A84" s="2" t="inlineStr">
        <is>
          <t>MF-M13</t>
        </is>
      </c>
      <c r="B84" s="2" t="inlineStr">
        <is>
          <t>Unzureichende Hydraulikeinrichtungen (Absperrventil, Rohrbruchsicherung, Absinken)</t>
        </is>
      </c>
      <c r="C84" s="2" t="inlineStr">
        <is>
          <t>Antrieb, Bremse und Hydraulik</t>
        </is>
      </c>
      <c r="D84" s="2" t="inlineStr">
        <is>
          <t>MF-M13-R3</t>
        </is>
      </c>
      <c r="E84" s="2" t="n">
        <v>100</v>
      </c>
      <c r="F84" s="2" t="inlineStr">
        <is>
          <t>6.12 Einrichtung gegen Absinken (Kolbenabsinkverhinderung / Nachholsteuerung) vorhanden? = Nein</t>
        </is>
      </c>
      <c r="G84" s="2" t="inlineStr">
        <is>
          <t>Mittel</t>
        </is>
      </c>
      <c r="H84" s="2" t="inlineStr">
        <is>
          <t>HIGH_CONFIDENCE</t>
        </is>
      </c>
      <c r="I84" s="2" t="inlineStr"/>
      <c r="J84" s="2" t="inlineStr">
        <is>
          <t>Besondere Vorsicht bei Wartung / Reparatur. Auf Schlaffseilbildung achten.</t>
        </is>
      </c>
      <c r="K84" s="2" t="inlineStr">
        <is>
          <t>Kolbenabsinkverhinderung (KAV) nachrüsten</t>
        </is>
      </c>
      <c r="L84" s="2" t="inlineStr"/>
      <c r="M84" s="3" t="n"/>
      <c r="N84" s="3" t="n"/>
    </row>
    <row r="85">
      <c r="A85" s="4" t="inlineStr">
        <is>
          <t>MF-M13</t>
        </is>
      </c>
      <c r="B85" s="4" t="inlineStr">
        <is>
          <t>Unzureichende Hydraulikeinrichtungen (Absperrventil, Rohrbruchsicherung, Absinken)</t>
        </is>
      </c>
      <c r="C85" s="4" t="inlineStr">
        <is>
          <t>Antrieb, Bremse und Hydraulik</t>
        </is>
      </c>
      <c r="D85" s="4" t="inlineStr">
        <is>
          <t>MF-M13-R4</t>
        </is>
      </c>
      <c r="E85" s="4" t="n">
        <v>100</v>
      </c>
      <c r="F85" s="4" t="inlineStr">
        <is>
          <t>6.10 Absperrventil am Hydraulikaggregat vorhanden? = Nein</t>
        </is>
      </c>
      <c r="G85" s="4" t="inlineStr">
        <is>
          <t>Mittel</t>
        </is>
      </c>
      <c r="H85" s="4" t="inlineStr">
        <is>
          <t>INFERRED</t>
        </is>
      </c>
      <c r="I85" s="4" t="inlineStr"/>
      <c r="J85" s="4" t="inlineStr">
        <is>
          <t>Zugang freimachen und provisorisch kennzeichnen</t>
        </is>
      </c>
      <c r="K85" s="4" t="inlineStr">
        <is>
          <t>Ventil zugänglich anordnen und dauerhaft kennzeichnen</t>
        </is>
      </c>
      <c r="L85" s="4" t="inlineStr"/>
      <c r="M85" s="3" t="n"/>
      <c r="N85" s="3" t="n"/>
    </row>
    <row r="86">
      <c r="A86" s="2" t="inlineStr">
        <is>
          <t>MF-M13</t>
        </is>
      </c>
      <c r="B86" s="2" t="inlineStr">
        <is>
          <t>Unzureichende Hydraulikeinrichtungen (Absperrventil, Rohrbruchsicherung, Absinken)</t>
        </is>
      </c>
      <c r="C86" s="2" t="inlineStr">
        <is>
          <t>Antrieb, Bremse und Hydraulik</t>
        </is>
      </c>
      <c r="D86" s="2" t="inlineStr">
        <is>
          <t>MF-M13-R5</t>
        </is>
      </c>
      <c r="E86" s="2" t="n">
        <v>100</v>
      </c>
      <c r="F86" s="2" t="inlineStr">
        <is>
          <t>6.10a Absperrventil gekennzeichnet und gut zugänglich? = Nein</t>
        </is>
      </c>
      <c r="G86" s="2" t="inlineStr">
        <is>
          <t>Mittel</t>
        </is>
      </c>
      <c r="H86" s="2" t="inlineStr">
        <is>
          <t>HIGH_CONFIDENCE</t>
        </is>
      </c>
      <c r="I86" s="2" t="inlineStr"/>
      <c r="J86" s="2" t="inlineStr">
        <is>
          <t>Zugang freimachen und provisorisch kennzeichnen</t>
        </is>
      </c>
      <c r="K86" s="2" t="inlineStr">
        <is>
          <t>Ventil zugänglich anordnen und dauerhaft kennzeichnen</t>
        </is>
      </c>
      <c r="L86" s="2" t="inlineStr"/>
      <c r="M86" s="3" t="n"/>
      <c r="N86" s="3" t="n"/>
    </row>
    <row r="87">
      <c r="A87" s="4" t="inlineStr">
        <is>
          <t>MF-M13</t>
        </is>
      </c>
      <c r="B87" s="4" t="inlineStr">
        <is>
          <t>Unzureichende Hydraulikeinrichtungen (Absperrventil, Rohrbruchsicherung, Absinken)</t>
        </is>
      </c>
      <c r="C87" s="4" t="inlineStr">
        <is>
          <t>Antrieb, Bremse und Hydraulik</t>
        </is>
      </c>
      <c r="D87" s="4" t="inlineStr">
        <is>
          <t>MF-M13-R6</t>
        </is>
      </c>
      <c r="E87" s="4" t="n">
        <v>1</v>
      </c>
      <c r="F87" s="4" t="inlineStr">
        <is>
          <t>6.10 Absperrventil am Hydraulikaggregat vorhanden? beantwortet</t>
        </is>
      </c>
      <c r="G87" s="4" t="inlineStr">
        <is>
          <t>Kein Risiko</t>
        </is>
      </c>
      <c r="H87" s="4" t="inlineStr">
        <is>
          <t>HIGH_CONFIDENCE</t>
        </is>
      </c>
      <c r="I87" s="4" t="inlineStr"/>
      <c r="J87" s="4" t="inlineStr">
        <is>
          <t>Zustand erhalten; bei der wiederkehrenden Prüfung und der Betreiberkontrolle erneut prüfen</t>
        </is>
      </c>
      <c r="K87" s="4" t="inlineStr"/>
      <c r="L87" s="4" t="inlineStr">
        <is>
          <t>Kein Risiko: keine Mangelregel trifft zu, alle Pflichtfragen beantwortet.</t>
        </is>
      </c>
      <c r="M87" s="3" t="n"/>
      <c r="N87" s="3" t="n"/>
    </row>
    <row r="88">
      <c r="A88" s="2" t="inlineStr">
        <is>
          <t>MF-M14</t>
        </is>
      </c>
      <c r="B88" s="2" t="inlineStr">
        <is>
          <t>Fehlende oder unzureichende Hebezeuge / Anschlagpunkte im Triebwerksraum</t>
        </is>
      </c>
      <c r="C88" s="2" t="inlineStr">
        <is>
          <t>Triebwerksraum – Ausstattung</t>
        </is>
      </c>
      <c r="D88" s="2" t="inlineStr">
        <is>
          <t>MF-M14-R1</t>
        </is>
      </c>
      <c r="E88" s="2" t="n">
        <v>100</v>
      </c>
      <c r="F88" s="2" t="inlineStr">
        <is>
          <t>5.52 Anschlagpunkte / Hebezeuge zum Anheben schwerer Teile vorhanden? = Nein</t>
        </is>
      </c>
      <c r="G88" s="2" t="inlineStr">
        <is>
          <t>Hoch</t>
        </is>
      </c>
      <c r="H88" s="2" t="inlineStr">
        <is>
          <t>HIGH_CONFIDENCE</t>
        </is>
      </c>
      <c r="I88" s="2" t="inlineStr"/>
      <c r="J88" s="2" t="inlineStr">
        <is>
          <t>Hebearbeiten nur nach gesondert festgelegtem Verfahren</t>
        </is>
      </c>
      <c r="K88" s="2" t="inlineStr">
        <is>
          <t>Anschlagpunkte nach DIN EN 81-20, 5.2.1.7 nachrüsten</t>
        </is>
      </c>
      <c r="L88" s="2" t="inlineStr"/>
      <c r="M88" s="3" t="n"/>
      <c r="N88" s="3" t="n"/>
    </row>
    <row r="89">
      <c r="A89" s="4" t="inlineStr">
        <is>
          <t>MF-M14</t>
        </is>
      </c>
      <c r="B89" s="4" t="inlineStr">
        <is>
          <t>Fehlende oder unzureichende Hebezeuge / Anschlagpunkte im Triebwerksraum</t>
        </is>
      </c>
      <c r="C89" s="4" t="inlineStr">
        <is>
          <t>Triebwerksraum – Ausstattung</t>
        </is>
      </c>
      <c r="D89" s="4" t="inlineStr">
        <is>
          <t>MF-M14-R2</t>
        </is>
      </c>
      <c r="E89" s="4" t="n">
        <v>100</v>
      </c>
      <c r="F89" s="4" t="inlineStr">
        <is>
          <t>5.52a Tragfähigkeit der Anschlagpunkte angegeben? = Nein</t>
        </is>
      </c>
      <c r="G89" s="4" t="inlineStr">
        <is>
          <t>Mittel</t>
        </is>
      </c>
      <c r="H89" s="4" t="inlineStr">
        <is>
          <t>HIGH_CONFIDENCE</t>
        </is>
      </c>
      <c r="I89" s="4" t="inlineStr"/>
      <c r="J89" s="4" t="inlineStr">
        <is>
          <t>Vor Nutzung die Tragfähigkeit ermitteln lassen</t>
        </is>
      </c>
      <c r="K89" s="4" t="inlineStr">
        <is>
          <t>Tragfähigkeit dauerhaft kennzeichnen</t>
        </is>
      </c>
      <c r="L89" s="4" t="inlineStr"/>
      <c r="M89" s="3" t="n"/>
      <c r="N89" s="3" t="n"/>
    </row>
    <row r="90">
      <c r="A90" s="2" t="inlineStr">
        <is>
          <t>MF-M14</t>
        </is>
      </c>
      <c r="B90" s="2" t="inlineStr">
        <is>
          <t>Fehlende oder unzureichende Hebezeuge / Anschlagpunkte im Triebwerksraum</t>
        </is>
      </c>
      <c r="C90" s="2" t="inlineStr">
        <is>
          <t>Triebwerksraum – Ausstattung</t>
        </is>
      </c>
      <c r="D90" s="2" t="inlineStr">
        <is>
          <t>MF-M14-R3</t>
        </is>
      </c>
      <c r="E90" s="2" t="n">
        <v>100</v>
      </c>
      <c r="F90" s="2" t="inlineStr">
        <is>
          <t>5.52b Prüfung der Anschlagpunkte dokumentiert? = Nein</t>
        </is>
      </c>
      <c r="G90" s="2" t="inlineStr">
        <is>
          <t>Mittel</t>
        </is>
      </c>
      <c r="H90" s="2" t="inlineStr">
        <is>
          <t>HIGH_CONFIDENCE</t>
        </is>
      </c>
      <c r="I90" s="2" t="inlineStr"/>
      <c r="J90" s="2" t="inlineStr">
        <is>
          <t>Prüfnachweis anfordern</t>
        </is>
      </c>
      <c r="K90" s="2" t="inlineStr">
        <is>
          <t>Anschlagpunkte in die wiederkehrende Prüfung aufnehmen und dokumentieren</t>
        </is>
      </c>
      <c r="L90" s="2" t="inlineStr"/>
      <c r="M90" s="3" t="n"/>
      <c r="N90" s="3" t="n"/>
    </row>
    <row r="91">
      <c r="A91" s="4" t="inlineStr">
        <is>
          <t>MF-M14</t>
        </is>
      </c>
      <c r="B91" s="4" t="inlineStr">
        <is>
          <t>Fehlende oder unzureichende Hebezeuge / Anschlagpunkte im Triebwerksraum</t>
        </is>
      </c>
      <c r="C91" s="4" t="inlineStr">
        <is>
          <t>Triebwerksraum – Ausstattung</t>
        </is>
      </c>
      <c r="D91" s="4" t="inlineStr">
        <is>
          <t>MF-M14-R4</t>
        </is>
      </c>
      <c r="E91" s="4" t="n">
        <v>1</v>
      </c>
      <c r="F91" s="4" t="inlineStr">
        <is>
          <t>5.52 Anschlagpunkte / Hebezeuge zum Anheben schwerer Teile vorhanden? beantwortet</t>
        </is>
      </c>
      <c r="G91" s="4" t="inlineStr">
        <is>
          <t>Kein Risiko</t>
        </is>
      </c>
      <c r="H91" s="4" t="inlineStr">
        <is>
          <t>HIGH_CONFIDENCE</t>
        </is>
      </c>
      <c r="I91" s="4" t="inlineStr"/>
      <c r="J91" s="4" t="inlineStr">
        <is>
          <t>Zustand erhalten; bei der wiederkehrenden Prüfung und der Betreiberkontrolle erneut prüfen</t>
        </is>
      </c>
      <c r="K91" s="4" t="inlineStr"/>
      <c r="L91" s="4" t="inlineStr">
        <is>
          <t>Kein Risiko: keine Mangelregel trifft zu, alle Pflichtfragen beantwortet.</t>
        </is>
      </c>
      <c r="M91" s="3" t="n"/>
      <c r="N91" s="3" t="n"/>
    </row>
    <row r="92">
      <c r="A92" s="2" t="inlineStr">
        <is>
          <t>MF-M15</t>
        </is>
      </c>
      <c r="B92" s="2" t="inlineStr">
        <is>
          <t>Fehlende oder unzureichende Einrichtung für Notbetrieb und Personenbefreiung</t>
        </is>
      </c>
      <c r="C92" s="2" t="inlineStr">
        <is>
          <t>Notruf und Personenbefreiung</t>
        </is>
      </c>
      <c r="D92" s="2" t="inlineStr">
        <is>
          <t>MF-M15-R1</t>
        </is>
      </c>
      <c r="E92" s="2" t="n">
        <v>100</v>
      </c>
      <c r="F92" s="2" t="inlineStr">
        <is>
          <t>5.53 Einrichtung für Notbetrieb / Personenbefreiung vorhanden (Handrad, Bremslüfthebel, Evakuierungseinheit, Notablass)? = Nein</t>
        </is>
      </c>
      <c r="G92" s="2" t="inlineStr">
        <is>
          <t>Hoch</t>
        </is>
      </c>
      <c r="H92" s="2" t="inlineStr">
        <is>
          <t>HIGH_CONFIDENCE</t>
        </is>
      </c>
      <c r="I92" s="2" t="inlineStr"/>
      <c r="J92" s="2" t="inlineStr">
        <is>
          <t>Befreiung ausschließlich durch die Wartungsfirma, Notrufkette festlegen und bekannt machen</t>
        </is>
      </c>
      <c r="K92" s="2" t="inlineStr">
        <is>
          <t>Evakuierungseinrichtung nachrüsten</t>
        </is>
      </c>
      <c r="L92" s="2" t="inlineStr"/>
      <c r="M92" s="3" t="n"/>
      <c r="N92" s="3" t="n"/>
    </row>
    <row r="93">
      <c r="A93" s="4" t="inlineStr">
        <is>
          <t>MF-M15</t>
        </is>
      </c>
      <c r="B93" s="4" t="inlineStr">
        <is>
          <t>Fehlende oder unzureichende Einrichtung für Notbetrieb und Personenbefreiung</t>
        </is>
      </c>
      <c r="C93" s="4" t="inlineStr">
        <is>
          <t>Notruf und Personenbefreiung</t>
        </is>
      </c>
      <c r="D93" s="4" t="inlineStr">
        <is>
          <t>MF-M15-R2</t>
        </is>
      </c>
      <c r="E93" s="4" t="n">
        <v>100</v>
      </c>
      <c r="F93" s="4" t="inlineStr">
        <is>
          <t>5.53a Notbetriebseinrichtung gekennzeichnet (Fahrtrichtung, Bündigmarken)? = Nein</t>
        </is>
      </c>
      <c r="G93" s="4" t="inlineStr">
        <is>
          <t>Mittel</t>
        </is>
      </c>
      <c r="H93" s="4" t="inlineStr">
        <is>
          <t>HIGH_CONFIDENCE</t>
        </is>
      </c>
      <c r="I93" s="4" t="inlineStr"/>
      <c r="J93" s="4" t="inlineStr">
        <is>
          <t>Provisorisch kennzeichnen</t>
        </is>
      </c>
      <c r="K93" s="4" t="inlineStr">
        <is>
          <t>Dauerhafte Kennzeichnung nach Herstellerangabe anbringen</t>
        </is>
      </c>
      <c r="L93" s="4" t="inlineStr"/>
      <c r="M93" s="3" t="n"/>
      <c r="N93" s="3" t="n"/>
    </row>
    <row r="94">
      <c r="A94" s="2" t="inlineStr">
        <is>
          <t>MF-M15</t>
        </is>
      </c>
      <c r="B94" s="2" t="inlineStr">
        <is>
          <t>Fehlende oder unzureichende Einrichtung für Notbetrieb und Personenbefreiung</t>
        </is>
      </c>
      <c r="C94" s="2" t="inlineStr">
        <is>
          <t>Notruf und Personenbefreiung</t>
        </is>
      </c>
      <c r="D94" s="2" t="inlineStr">
        <is>
          <t>MF-M15-R3</t>
        </is>
      </c>
      <c r="E94" s="2" t="n">
        <v>100</v>
      </c>
      <c r="F94" s="2" t="inlineStr">
        <is>
          <t>5.53b Beauftragte Personen in die Personenbefreiung eingewiesen? = Nein</t>
        </is>
      </c>
      <c r="G94" s="2" t="inlineStr">
        <is>
          <t>Mittel</t>
        </is>
      </c>
      <c r="H94" s="2" t="inlineStr">
        <is>
          <t>INFERRED</t>
        </is>
      </c>
      <c r="I94" s="2" t="inlineStr"/>
      <c r="J94" s="2" t="inlineStr">
        <is>
          <t>Personenbefreiung bis zur Einweisung nur durch das Wartungsunternehmen</t>
        </is>
      </c>
      <c r="K94" s="2" t="inlineStr">
        <is>
          <t>Beauftragte Personen anlagenbezogen in die Personenbefreiung einweisen und dokumentieren (BetrSichV Anh. 1 Nr. 4.1)</t>
        </is>
      </c>
      <c r="L94" s="2" t="inlineStr"/>
      <c r="M94" s="3" t="n"/>
      <c r="N94" s="3" t="n"/>
    </row>
    <row r="95">
      <c r="A95" s="4" t="inlineStr">
        <is>
          <t>MF-M15</t>
        </is>
      </c>
      <c r="B95" s="4" t="inlineStr">
        <is>
          <t>Fehlende oder unzureichende Einrichtung für Notbetrieb und Personenbefreiung</t>
        </is>
      </c>
      <c r="C95" s="4" t="inlineStr">
        <is>
          <t>Notruf und Personenbefreiung</t>
        </is>
      </c>
      <c r="D95" s="4" t="inlineStr">
        <is>
          <t>MF-M15-R4</t>
        </is>
      </c>
      <c r="E95" s="4" t="n">
        <v>1</v>
      </c>
      <c r="F95" s="4" t="inlineStr">
        <is>
          <t>5.53 Einrichtung für Notbetrieb / Personenbefreiung vorhanden (Handrad, Bremslüfthebel, Evakuierungseinheit, Notablass)? beantwortet</t>
        </is>
      </c>
      <c r="G95" s="4" t="inlineStr">
        <is>
          <t>Kein Risiko</t>
        </is>
      </c>
      <c r="H95" s="4" t="inlineStr">
        <is>
          <t>HIGH_CONFIDENCE</t>
        </is>
      </c>
      <c r="I95" s="4" t="inlineStr"/>
      <c r="J95" s="4" t="inlineStr">
        <is>
          <t>Zustand erhalten; bei der wiederkehrenden Prüfung und der Betreiberkontrolle erneut prüfen</t>
        </is>
      </c>
      <c r="K95" s="4" t="inlineStr"/>
      <c r="L95" s="4" t="inlineStr">
        <is>
          <t>Kein Risiko: keine Mangelregel trifft zu, alle Pflichtfragen beantwortet.</t>
        </is>
      </c>
      <c r="M95" s="3" t="n"/>
      <c r="N95" s="3" t="n"/>
    </row>
    <row r="96">
      <c r="A96" s="2" t="inlineStr">
        <is>
          <t>MF-M16</t>
        </is>
      </c>
      <c r="B96" s="2" t="inlineStr">
        <is>
          <t>Fehlender Potenzialausgleich / mangelhafte bauseitige Elektroinstallation</t>
        </is>
      </c>
      <c r="C96" s="2" t="inlineStr">
        <is>
          <t>Steuerung und Elektrik</t>
        </is>
      </c>
      <c r="D96" s="2" t="inlineStr">
        <is>
          <t>MF-M16-R1</t>
        </is>
      </c>
      <c r="E96" s="2" t="n">
        <v>100</v>
      </c>
      <c r="F96" s="2" t="inlineStr">
        <is>
          <t>5.38 Hauptpotenzialausgleich an der Aufzugskonstruktion vorhanden? = Nein</t>
        </is>
      </c>
      <c r="G96" s="2" t="inlineStr">
        <is>
          <t>Mittel</t>
        </is>
      </c>
      <c r="H96" s="2" t="inlineStr">
        <is>
          <t>HIGH_CONFIDENCE</t>
        </is>
      </c>
      <c r="I96" s="2" t="inlineStr"/>
      <c r="J96" s="2" t="inlineStr">
        <is>
          <t>Elektrofachkraft mit der Prüfung der Schutzmaßnahme beauftragen</t>
        </is>
      </c>
      <c r="K96" s="2" t="inlineStr">
        <is>
          <t>Hauptpotenzialausgleich an Führungsschienen, Maschinenrahmen und Schaltschrank herstellen (DIN VDE 0100-410)</t>
        </is>
      </c>
      <c r="L96" s="2" t="inlineStr">
        <is>
          <t>Entschieden 2026-09-02: K-M06.</t>
        </is>
      </c>
      <c r="M96" s="3" t="n"/>
      <c r="N96" s="3" t="n"/>
    </row>
    <row r="97">
      <c r="A97" s="4" t="inlineStr">
        <is>
          <t>MF-M16</t>
        </is>
      </c>
      <c r="B97" s="4" t="inlineStr">
        <is>
          <t>Fehlender Potenzialausgleich / mangelhafte bauseitige Elektroinstallation</t>
        </is>
      </c>
      <c r="C97" s="4" t="inlineStr">
        <is>
          <t>Steuerung und Elektrik</t>
        </is>
      </c>
      <c r="D97" s="4" t="inlineStr">
        <is>
          <t>MF-M16-R2</t>
        </is>
      </c>
      <c r="E97" s="4" t="n">
        <v>100</v>
      </c>
      <c r="F97" s="4" t="inlineStr">
        <is>
          <t>5.36 Bauseitige Elektroinstallation im Raum (Steckdosen, Schalter, Leitungen) unbeschädigt? = Nein</t>
        </is>
      </c>
      <c r="G97" s="4" t="inlineStr">
        <is>
          <t>Hoch</t>
        </is>
      </c>
      <c r="H97" s="4" t="inlineStr">
        <is>
          <t>HIGH_CONFIDENCE</t>
        </is>
      </c>
      <c r="I97" s="4" t="inlineStr"/>
      <c r="J97" s="4" t="inlineStr">
        <is>
          <t>Betroffene Betriebsmittel abschalten und gegen Benutzung sichern</t>
        </is>
      </c>
      <c r="K97" s="4" t="inlineStr">
        <is>
          <t>Instandsetzung durch eine Elektrofachkraft</t>
        </is>
      </c>
      <c r="L97" s="4" t="inlineStr"/>
      <c r="M97" s="3" t="n"/>
      <c r="N97" s="3" t="n"/>
    </row>
    <row r="98">
      <c r="A98" s="2" t="inlineStr">
        <is>
          <t>MF-M16</t>
        </is>
      </c>
      <c r="B98" s="2" t="inlineStr">
        <is>
          <t>Fehlender Potenzialausgleich / mangelhafte bauseitige Elektroinstallation</t>
        </is>
      </c>
      <c r="C98" s="2" t="inlineStr">
        <is>
          <t>Steuerung und Elektrik</t>
        </is>
      </c>
      <c r="D98" s="2" t="inlineStr">
        <is>
          <t>MF-M16-R3</t>
        </is>
      </c>
      <c r="E98" s="2" t="n">
        <v>100</v>
      </c>
      <c r="F98" s="2" t="inlineStr">
        <is>
          <t>5.37 Prüfung der ortsfesten elektrischen Anlage nachgewiesen? = Nein</t>
        </is>
      </c>
      <c r="G98" s="2" t="inlineStr">
        <is>
          <t>Mittel</t>
        </is>
      </c>
      <c r="H98" s="2" t="inlineStr">
        <is>
          <t>HIGH_CONFIDENCE</t>
        </is>
      </c>
      <c r="I98" s="2" t="inlineStr"/>
      <c r="J98" s="2" t="inlineStr">
        <is>
          <t>Prüfnachweis anfordern</t>
        </is>
      </c>
      <c r="K98" s="2" t="inlineStr">
        <is>
          <t>Wiederkehrende Prüfung nach DGUV Vorschrift 3 veranlassen und dokumentieren</t>
        </is>
      </c>
      <c r="L98" s="2" t="inlineStr"/>
      <c r="M98" s="3" t="n"/>
      <c r="N98" s="3" t="n"/>
    </row>
    <row r="99">
      <c r="A99" s="4" t="inlineStr">
        <is>
          <t>MF-M16</t>
        </is>
      </c>
      <c r="B99" s="4" t="inlineStr">
        <is>
          <t>Fehlender Potenzialausgleich / mangelhafte bauseitige Elektroinstallation</t>
        </is>
      </c>
      <c r="C99" s="4" t="inlineStr">
        <is>
          <t>Steuerung und Elektrik</t>
        </is>
      </c>
      <c r="D99" s="4" t="inlineStr">
        <is>
          <t>MF-M16-R4</t>
        </is>
      </c>
      <c r="E99" s="4" t="n">
        <v>1</v>
      </c>
      <c r="F99" s="4" t="inlineStr">
        <is>
          <t>5.38 Hauptpotenzialausgleich an der Aufzugskonstruktion vorhanden? beantwortet</t>
        </is>
      </c>
      <c r="G99" s="4" t="inlineStr">
        <is>
          <t>Kein Risiko</t>
        </is>
      </c>
      <c r="H99" s="4" t="inlineStr">
        <is>
          <t>HIGH_CONFIDENCE</t>
        </is>
      </c>
      <c r="I99" s="4" t="inlineStr"/>
      <c r="J99" s="4" t="inlineStr">
        <is>
          <t>Zustand erhalten; bei der wiederkehrenden Prüfung und der Betreiberkontrolle erneut prüfen</t>
        </is>
      </c>
      <c r="K99" s="4" t="inlineStr"/>
      <c r="L99" s="4" t="inlineStr">
        <is>
          <t>Kein Risiko: keine Mangelregel trifft zu, alle Pflichtfragen beantwortet.</t>
        </is>
      </c>
      <c r="M99" s="3" t="n"/>
      <c r="N99" s="3" t="n"/>
    </row>
    <row r="100">
      <c r="A100" s="2" t="inlineStr">
        <is>
          <t>MF-M17</t>
        </is>
      </c>
      <c r="B100" s="2" t="inlineStr">
        <is>
          <t>Fehlende Kennzeichnung elektrischer Einrichtungen, Stromlaufplan, Beschilderung und Betriebsanleitung</t>
        </is>
      </c>
      <c r="C100" s="2" t="inlineStr">
        <is>
          <t>Beschilderung und Unterlagen</t>
        </is>
      </c>
      <c r="D100" s="2" t="inlineStr">
        <is>
          <t>MF-M17-R1</t>
        </is>
      </c>
      <c r="E100" s="2" t="n">
        <v>100</v>
      </c>
      <c r="F100" s="2" t="inlineStr">
        <is>
          <t>(5.54 Elektrische Einrichtungen gekennzeichnet (Zuordnung im Notfall möglich)? = Nein UND 5.55 Stromlaufplan / Schaltunterlagen = „Nicht vorhanden")</t>
        </is>
      </c>
      <c r="G100" s="2" t="inlineStr">
        <is>
          <t>Hoch</t>
        </is>
      </c>
      <c r="H100" s="2" t="inlineStr">
        <is>
          <t>HIGH_CONFIDENCE</t>
        </is>
      </c>
      <c r="I100" s="2" t="inlineStr"/>
      <c r="J100" s="2" t="inlineStr">
        <is>
          <t>Arbeiten an der Elektrik nur durch Elektrofachkraft</t>
        </is>
      </c>
      <c r="K100" s="2" t="inlineStr">
        <is>
          <t>Stromlaufpläne ergänzen, DGUV V3 Prüfung</t>
        </is>
      </c>
      <c r="L100" s="2" t="inlineStr"/>
      <c r="M100" s="3" t="n"/>
      <c r="N100" s="3" t="n"/>
    </row>
    <row r="101">
      <c r="A101" s="4" t="inlineStr">
        <is>
          <t>MF-M17</t>
        </is>
      </c>
      <c r="B101" s="4" t="inlineStr">
        <is>
          <t>Fehlende Kennzeichnung elektrischer Einrichtungen, Stromlaufplan, Beschilderung und Betriebsanleitung</t>
        </is>
      </c>
      <c r="C101" s="4" t="inlineStr">
        <is>
          <t>Beschilderung und Unterlagen</t>
        </is>
      </c>
      <c r="D101" s="4" t="inlineStr">
        <is>
          <t>MF-M17-R2</t>
        </is>
      </c>
      <c r="E101" s="4" t="n">
        <v>100</v>
      </c>
      <c r="F101" s="4" t="inlineStr">
        <is>
          <t>5.54 Elektrische Einrichtungen gekennzeichnet (Zuordnung im Notfall möglich)? = Nein</t>
        </is>
      </c>
      <c r="G101" s="4" t="inlineStr">
        <is>
          <t>Mittel</t>
        </is>
      </c>
      <c r="H101" s="4" t="inlineStr">
        <is>
          <t>HIGH_CONFIDENCE</t>
        </is>
      </c>
      <c r="I101" s="4" t="inlineStr"/>
      <c r="J101" s="4" t="inlineStr">
        <is>
          <t>Anlagenteile provisorisch kennzeichnen</t>
        </is>
      </c>
      <c r="K101" s="4" t="inlineStr">
        <is>
          <t>Dauerhafte Kennzeichnung aller elektrischen Einrichtungen herstellen</t>
        </is>
      </c>
      <c r="L101" s="4" t="inlineStr"/>
      <c r="M101" s="3" t="n"/>
      <c r="N101" s="3" t="n"/>
    </row>
    <row r="102">
      <c r="A102" s="2" t="inlineStr">
        <is>
          <t>MF-M17</t>
        </is>
      </c>
      <c r="B102" s="2" t="inlineStr">
        <is>
          <t>Fehlende Kennzeichnung elektrischer Einrichtungen, Stromlaufplan, Beschilderung und Betriebsanleitung</t>
        </is>
      </c>
      <c r="C102" s="2" t="inlineStr">
        <is>
          <t>Beschilderung und Unterlagen</t>
        </is>
      </c>
      <c r="D102" s="2" t="inlineStr">
        <is>
          <t>MF-M17-R3</t>
        </is>
      </c>
      <c r="E102" s="2" t="n">
        <v>100</v>
      </c>
      <c r="F102" s="2" t="inlineStr">
        <is>
          <t>5.55 Stromlaufplan / Schaltunterlagen in [„Vorhanden, aber unrichtig oder unvollständig", „Nicht vorhanden"]</t>
        </is>
      </c>
      <c r="G102" s="2" t="inlineStr">
        <is>
          <t>Mittel</t>
        </is>
      </c>
      <c r="H102" s="2" t="inlineStr">
        <is>
          <t>HIGH_CONFIDENCE</t>
        </is>
      </c>
      <c r="I102" s="2" t="inlineStr"/>
      <c r="J102" s="2" t="inlineStr">
        <is>
          <t>Arbeiten an der Elektrik nur durch Elektrofachkraft</t>
        </is>
      </c>
      <c r="K102" s="2" t="inlineStr">
        <is>
          <t>Stromlaufpläne ergänzen, DGUV V3 Prüfung</t>
        </is>
      </c>
      <c r="L102" s="2" t="inlineStr"/>
      <c r="M102" s="3" t="n"/>
      <c r="N102" s="3" t="n"/>
    </row>
    <row r="103">
      <c r="A103" s="4" t="inlineStr">
        <is>
          <t>MF-M17</t>
        </is>
      </c>
      <c r="B103" s="4" t="inlineStr">
        <is>
          <t>Fehlende Kennzeichnung elektrischer Einrichtungen, Stromlaufplan, Beschilderung und Betriebsanleitung</t>
        </is>
      </c>
      <c r="C103" s="4" t="inlineStr">
        <is>
          <t>Beschilderung und Unterlagen</t>
        </is>
      </c>
      <c r="D103" s="4" t="inlineStr">
        <is>
          <t>MF-M17-R4</t>
        </is>
      </c>
      <c r="E103" s="4" t="n">
        <v>100</v>
      </c>
      <c r="F103" s="4" t="inlineStr">
        <is>
          <t>5.56 Beschilderung vollständig (Schutzraum, Notablass, Entriegelungsschlüssel, Verhalten bei Personenbefreiung)? = Nein</t>
        </is>
      </c>
      <c r="G103" s="4" t="inlineStr">
        <is>
          <t>Mittel</t>
        </is>
      </c>
      <c r="H103" s="4" t="inlineStr">
        <is>
          <t>HIGH_CONFIDENCE</t>
        </is>
      </c>
      <c r="I103" s="4" t="inlineStr"/>
      <c r="J103" s="4" t="inlineStr">
        <is>
          <t>Provisorisch kennzeichnen</t>
        </is>
      </c>
      <c r="K103" s="4" t="inlineStr">
        <is>
          <t>Beschilderung nach DIN EN 81-20, Abschnitt 7 vervollständigen</t>
        </is>
      </c>
      <c r="L103" s="4" t="inlineStr"/>
      <c r="M103" s="3" t="n"/>
      <c r="N103" s="3" t="n"/>
    </row>
    <row r="104">
      <c r="A104" s="2" t="inlineStr">
        <is>
          <t>MF-M17</t>
        </is>
      </c>
      <c r="B104" s="2" t="inlineStr">
        <is>
          <t>Fehlende Kennzeichnung elektrischer Einrichtungen, Stromlaufplan, Beschilderung und Betriebsanleitung</t>
        </is>
      </c>
      <c r="C104" s="2" t="inlineStr">
        <is>
          <t>Beschilderung und Unterlagen</t>
        </is>
      </c>
      <c r="D104" s="2" t="inlineStr">
        <is>
          <t>MF-M17-R5</t>
        </is>
      </c>
      <c r="E104" s="2" t="n">
        <v>100</v>
      </c>
      <c r="F104" s="2" t="inlineStr">
        <is>
          <t>5.57 Betriebs-/Bedienungsanleitung der Anlage in [„Vorhanden, aber nicht aktuell oder unvollständig", „Nicht vorhanden"]</t>
        </is>
      </c>
      <c r="G104" s="2" t="inlineStr">
        <is>
          <t>Mittel</t>
        </is>
      </c>
      <c r="H104" s="2" t="inlineStr">
        <is>
          <t>HIGH_CONFIDENCE</t>
        </is>
      </c>
      <c r="I104" s="2" t="inlineStr"/>
      <c r="J104" s="2" t="inlineStr">
        <is>
          <t>Vorhandene Unterlagen sichten</t>
        </is>
      </c>
      <c r="K104" s="2" t="inlineStr">
        <is>
          <t>Aktuelle Betriebsanleitung anfordern und an der Anlage hinterlegen</t>
        </is>
      </c>
      <c r="L104" s="2" t="inlineStr"/>
      <c r="M104" s="3" t="n"/>
      <c r="N104" s="3" t="n"/>
    </row>
    <row r="105">
      <c r="A105" s="4" t="inlineStr">
        <is>
          <t>MF-M17</t>
        </is>
      </c>
      <c r="B105" s="4" t="inlineStr">
        <is>
          <t>Fehlende Kennzeichnung elektrischer Einrichtungen, Stromlaufplan, Beschilderung und Betriebsanleitung</t>
        </is>
      </c>
      <c r="C105" s="4" t="inlineStr">
        <is>
          <t>Beschilderung und Unterlagen</t>
        </is>
      </c>
      <c r="D105" s="4" t="inlineStr">
        <is>
          <t>MF-M17-R6</t>
        </is>
      </c>
      <c r="E105" s="4" t="n">
        <v>1</v>
      </c>
      <c r="F105" s="4" t="inlineStr">
        <is>
          <t>5.54 Elektrische Einrichtungen gekennzeichnet (Zuordnung im Notfall möglich)? beantwortet</t>
        </is>
      </c>
      <c r="G105" s="4" t="inlineStr">
        <is>
          <t>Kein Risiko</t>
        </is>
      </c>
      <c r="H105" s="4" t="inlineStr">
        <is>
          <t>HIGH_CONFIDENCE</t>
        </is>
      </c>
      <c r="I105" s="4" t="inlineStr"/>
      <c r="J105" s="4" t="inlineStr">
        <is>
          <t>Zustand erhalten; bei der wiederkehrenden Prüfung und der Betreiberkontrolle erneut prüfen</t>
        </is>
      </c>
      <c r="K105" s="4" t="inlineStr"/>
      <c r="L105" s="4" t="inlineStr">
        <is>
          <t>Kein Risiko: keine Mangelregel trifft zu, alle Pflichtfragen beantwortet.</t>
        </is>
      </c>
      <c r="M105" s="3" t="n"/>
      <c r="N105" s="3" t="n"/>
    </row>
    <row r="106">
      <c r="A106" s="2" t="inlineStr">
        <is>
          <t>MF-M18</t>
        </is>
      </c>
      <c r="B106" s="2" t="inlineStr">
        <is>
          <t>Fehlende oder unzulängliche Sprechverbindung zwischen Fahrkorb und Triebwerksraum</t>
        </is>
      </c>
      <c r="C106" s="2" t="inlineStr">
        <is>
          <t>Notruf und Personenbefreiung</t>
        </is>
      </c>
      <c r="D106" s="2" t="inlineStr">
        <is>
          <t>MF-M18-R1</t>
        </is>
      </c>
      <c r="E106" s="2" t="n">
        <v>100</v>
      </c>
      <c r="F106" s="2" t="inlineStr">
        <is>
          <t>5.58 Sprechverbindung zwischen Fahrkorb und Triebwerksraum/Steuerung = „Keine Sprechverbindung"</t>
        </is>
      </c>
      <c r="G106" s="2" t="inlineStr">
        <is>
          <t>Hoch</t>
        </is>
      </c>
      <c r="H106" s="2" t="inlineStr">
        <is>
          <t>HIGH_CONFIDENCE</t>
        </is>
      </c>
      <c r="I106" s="2" t="inlineStr"/>
      <c r="J106" s="2" t="inlineStr">
        <is>
          <t>Arbeiten nur mit zweiter Person und vereinbarten Signalen durchführen</t>
        </is>
      </c>
      <c r="K106" s="2" t="inlineStr">
        <is>
          <t>Sprechstelle zwischen Fahrkorb und Triebwerksraum nachrüsten</t>
        </is>
      </c>
      <c r="L106" s="2" t="inlineStr"/>
      <c r="M106" s="3" t="n"/>
      <c r="N106" s="3" t="n"/>
    </row>
    <row r="107">
      <c r="A107" s="4" t="inlineStr">
        <is>
          <t>MF-M18</t>
        </is>
      </c>
      <c r="B107" s="4" t="inlineStr">
        <is>
          <t>Fehlende oder unzulängliche Sprechverbindung zwischen Fahrkorb und Triebwerksraum</t>
        </is>
      </c>
      <c r="C107" s="4" t="inlineStr">
        <is>
          <t>Notruf und Personenbefreiung</t>
        </is>
      </c>
      <c r="D107" s="4" t="inlineStr">
        <is>
          <t>MF-M18-R2</t>
        </is>
      </c>
      <c r="E107" s="4" t="n">
        <v>100</v>
      </c>
      <c r="F107" s="4" t="inlineStr">
        <is>
          <t>5.58 Sprechverbindung zwischen Fahrkorb und Triebwerksraum/Steuerung = „Vorhanden, Verständigung nur eingeschränkt"</t>
        </is>
      </c>
      <c r="G107" s="4" t="inlineStr">
        <is>
          <t>Mittel</t>
        </is>
      </c>
      <c r="H107" s="4" t="inlineStr">
        <is>
          <t>HIGH_CONFIDENCE</t>
        </is>
      </c>
      <c r="I107" s="4" t="inlineStr"/>
      <c r="J107" s="4" t="inlineStr">
        <is>
          <t>Bei Arbeiten eine zweite Person zur Verständigung einsetzen</t>
        </is>
      </c>
      <c r="K107" s="4" t="inlineStr">
        <is>
          <t>Sprechverbindung instand setzen oder erneuern</t>
        </is>
      </c>
      <c r="L107" s="4" t="inlineStr"/>
      <c r="M107" s="3" t="n"/>
      <c r="N107" s="3" t="n"/>
    </row>
    <row r="108">
      <c r="A108" s="2" t="inlineStr">
        <is>
          <t>MF-M18</t>
        </is>
      </c>
      <c r="B108" s="2" t="inlineStr">
        <is>
          <t>Fehlende oder unzulängliche Sprechverbindung zwischen Fahrkorb und Triebwerksraum</t>
        </is>
      </c>
      <c r="C108" s="2" t="inlineStr">
        <is>
          <t>Notruf und Personenbefreiung</t>
        </is>
      </c>
      <c r="D108" s="2" t="inlineStr">
        <is>
          <t>MF-M18-R3</t>
        </is>
      </c>
      <c r="E108" s="2" t="n">
        <v>1</v>
      </c>
      <c r="F108" s="2" t="inlineStr">
        <is>
          <t>5.58 Sprechverbindung zwischen Fahrkorb und Triebwerksraum/Steuerung beantwortet</t>
        </is>
      </c>
      <c r="G108" s="2" t="inlineStr">
        <is>
          <t>Kein Risiko</t>
        </is>
      </c>
      <c r="H108" s="2" t="inlineStr">
        <is>
          <t>HIGH_CONFIDENCE</t>
        </is>
      </c>
      <c r="I108" s="2" t="inlineStr"/>
      <c r="J108" s="2" t="inlineStr">
        <is>
          <t>Zustand erhalten; bei der wiederkehrenden Prüfung und der Betreiberkontrolle erneut prüfen</t>
        </is>
      </c>
      <c r="K108" s="2" t="inlineStr"/>
      <c r="L108" s="2" t="inlineStr">
        <is>
          <t>Kein Risiko: keine Mangelregel trifft zu, alle Pflichtfragen beantwortet.</t>
        </is>
      </c>
      <c r="M108" s="3" t="n"/>
      <c r="N108" s="3" t="n"/>
    </row>
    <row r="109">
      <c r="A109" s="4" t="inlineStr">
        <is>
          <t>MF-M19</t>
        </is>
      </c>
      <c r="B109" s="4" t="inlineStr">
        <is>
          <t>Aufzugsfremde Einrichtungen im Triebwerksraum</t>
        </is>
      </c>
      <c r="C109" s="4" t="inlineStr">
        <is>
          <t>Triebwerksraum – Ausstattung</t>
        </is>
      </c>
      <c r="D109" s="4" t="inlineStr">
        <is>
          <t>MF-M19-R1</t>
        </is>
      </c>
      <c r="E109" s="4" t="n">
        <v>100</v>
      </c>
      <c r="F109" s="4" t="inlineStr">
        <is>
          <t>5.59 Triebwerksraum frei von aufzugsfremden Einrichtungen (Lager, Leitungen, Geräte Dritter)? = Nein</t>
        </is>
      </c>
      <c r="G109" s="4" t="inlineStr">
        <is>
          <t>Mittel</t>
        </is>
      </c>
      <c r="H109" s="4" t="inlineStr">
        <is>
          <t>INFERRED</t>
        </is>
      </c>
      <c r="I109" s="4" t="inlineStr"/>
      <c r="J109" s="4" t="inlineStr">
        <is>
          <t>Fremdnutzung mit dem Betreiber klären, Zugang nur für Aufzugspersonal</t>
        </is>
      </c>
      <c r="K109" s="4" t="inlineStr">
        <is>
          <t>Aufzugsfremde Einrichtungen entfernen; Raum ausschließlich für den Aufzug nutzen</t>
        </is>
      </c>
      <c r="L109" s="4" t="inlineStr"/>
      <c r="M109" s="3" t="n"/>
      <c r="N109" s="3" t="n"/>
    </row>
    <row r="110">
      <c r="A110" s="2" t="inlineStr">
        <is>
          <t>MF-M19</t>
        </is>
      </c>
      <c r="B110" s="2" t="inlineStr">
        <is>
          <t>Aufzugsfremde Einrichtungen im Triebwerksraum</t>
        </is>
      </c>
      <c r="C110" s="2" t="inlineStr">
        <is>
          <t>Triebwerksraum – Ausstattung</t>
        </is>
      </c>
      <c r="D110" s="2" t="inlineStr">
        <is>
          <t>MF-M19-R2</t>
        </is>
      </c>
      <c r="E110" s="2" t="n">
        <v>1</v>
      </c>
      <c r="F110" s="2" t="inlineStr">
        <is>
          <t>5.59 Triebwerksraum frei von aufzugsfremden Einrichtungen (Lager, Leitungen, Geräte Dritter)? beantwortet</t>
        </is>
      </c>
      <c r="G110" s="2" t="inlineStr">
        <is>
          <t>Kein Risiko</t>
        </is>
      </c>
      <c r="H110" s="2" t="inlineStr">
        <is>
          <t>HIGH_CONFIDENCE</t>
        </is>
      </c>
      <c r="I110" s="2" t="inlineStr"/>
      <c r="J110" s="2" t="inlineStr">
        <is>
          <t>Zustand erhalten; bei der wiederkehrenden Prüfung und der Betreiberkontrolle erneut prüfen</t>
        </is>
      </c>
      <c r="K110" s="2" t="inlineStr"/>
      <c r="L110" s="2" t="inlineStr">
        <is>
          <t>Kein Risiko: keine Mangelregel trifft zu, alle Pflichtfragen beantwortet.</t>
        </is>
      </c>
      <c r="M110" s="3" t="n"/>
      <c r="N110" s="3" t="n"/>
    </row>
    <row r="111">
      <c r="A111" s="4" t="inlineStr">
        <is>
          <t>MF-M20</t>
        </is>
      </c>
      <c r="B111" s="4" t="inlineStr">
        <is>
          <t>Fehlender Not-Halt im zusätzlichen Rollenraum</t>
        </is>
      </c>
      <c r="C111" s="4" t="inlineStr">
        <is>
          <t>Steuerung und Elektrik</t>
        </is>
      </c>
      <c r="D111" s="4" t="inlineStr">
        <is>
          <t>MF-M20-R1</t>
        </is>
      </c>
      <c r="E111" s="4" t="n">
        <v>100</v>
      </c>
      <c r="F111" s="4" t="inlineStr">
        <is>
          <t>5.24 Notbremsschalter im zusätzlichen Rollenraum vorhanden? = Nein</t>
        </is>
      </c>
      <c r="G111" s="4" t="inlineStr">
        <is>
          <t>Hoch</t>
        </is>
      </c>
      <c r="H111" s="4" t="inlineStr">
        <is>
          <t>INFERRED</t>
        </is>
      </c>
      <c r="I111" s="4" t="inlineStr"/>
      <c r="J111" s="4" t="inlineStr">
        <is>
          <t>Fahrkorbdach nur nach Freischalten der Anlage betreten</t>
        </is>
      </c>
      <c r="K111" s="4" t="inlineStr">
        <is>
          <t>Notbremsschalter nach DIN EN 81-20, 5.4.8 nachrüsten</t>
        </is>
      </c>
      <c r="L111" s="4" t="inlineStr">
        <is>
          <t>Blaupause Schindler M049 (f132 Rollenraum).</t>
        </is>
      </c>
      <c r="M111" s="3" t="n"/>
      <c r="N111" s="3" t="n"/>
    </row>
    <row r="112">
      <c r="A112" s="2" t="inlineStr">
        <is>
          <t>MF-M20</t>
        </is>
      </c>
      <c r="B112" s="2" t="inlineStr">
        <is>
          <t>Fehlender Not-Halt im zusätzlichen Rollenraum</t>
        </is>
      </c>
      <c r="C112" s="2" t="inlineStr">
        <is>
          <t>Steuerung und Elektrik</t>
        </is>
      </c>
      <c r="D112" s="2" t="inlineStr">
        <is>
          <t>MF-M20-R2</t>
        </is>
      </c>
      <c r="E112" s="2" t="n">
        <v>1</v>
      </c>
      <c r="F112" s="2" t="inlineStr">
        <is>
          <t>5.24 Notbremsschalter im zusätzlichen Rollenraum vorhanden? beantwortet</t>
        </is>
      </c>
      <c r="G112" s="2" t="inlineStr">
        <is>
          <t>Kein Risiko</t>
        </is>
      </c>
      <c r="H112" s="2" t="inlineStr">
        <is>
          <t>HIGH_CONFIDENCE</t>
        </is>
      </c>
      <c r="I112" s="2" t="inlineStr"/>
      <c r="J112" s="2" t="inlineStr">
        <is>
          <t>Zustand erhalten; bei der wiederkehrenden Prüfung und der Betreiberkontrolle erneut prüfen</t>
        </is>
      </c>
      <c r="K112" s="2" t="inlineStr"/>
      <c r="L112" s="2" t="inlineStr">
        <is>
          <t>Kein Risiko: keine Mangelregel trifft zu, alle Pflichtfragen beantwortet.</t>
        </is>
      </c>
      <c r="M112" s="3" t="n"/>
      <c r="N112" s="3" t="n"/>
    </row>
    <row r="113">
      <c r="A113" s="4" t="inlineStr">
        <is>
          <t>MF-M21</t>
        </is>
      </c>
      <c r="B113" s="4" t="inlineStr">
        <is>
          <t>Fehlende oder unwirksame Notendschalter</t>
        </is>
      </c>
      <c r="C113" s="4" t="inlineStr">
        <is>
          <t>Sicherheitskomponenten</t>
        </is>
      </c>
      <c r="D113" s="4" t="inlineStr">
        <is>
          <t>MF-M21-R1</t>
        </is>
      </c>
      <c r="E113" s="4" t="n">
        <v>300</v>
      </c>
      <c r="F113" s="4" t="inlineStr">
        <is>
          <t>6.14 Notendschalter (Endbegrenzung hinter den Endhaltestellen) = „Nicht vorhanden oder unwirksam (überbrückt, verstellt)"</t>
        </is>
      </c>
      <c r="G113" s="4" t="inlineStr">
        <is>
          <t>Hoch</t>
        </is>
      </c>
      <c r="H113" s="4" t="inlineStr">
        <is>
          <t>HIGH_CONFIDENCE</t>
        </is>
      </c>
      <c r="I113" s="4" t="inlineStr"/>
      <c r="J113" s="4" t="inlineStr">
        <is>
          <t>Anlage bis zur Instandsetzung stillsetzen; Überbrückungen entfernen</t>
        </is>
      </c>
      <c r="K113" s="4" t="inlineStr">
        <is>
          <t>Notendschalter nach EN 81-20 5.12.2 einbauen und Wirksamkeit vor Pufferberührung nachweisen</t>
        </is>
      </c>
      <c r="L113" s="4" t="inlineStr"/>
      <c r="M113" s="3" t="n"/>
      <c r="N113" s="3" t="n"/>
    </row>
    <row r="114">
      <c r="A114" s="2" t="inlineStr">
        <is>
          <t>MF-M21</t>
        </is>
      </c>
      <c r="B114" s="2" t="inlineStr">
        <is>
          <t>Fehlende oder unwirksame Notendschalter</t>
        </is>
      </c>
      <c r="C114" s="2" t="inlineStr">
        <is>
          <t>Sicherheitskomponenten</t>
        </is>
      </c>
      <c r="D114" s="2" t="inlineStr">
        <is>
          <t>MF-M21-R2</t>
        </is>
      </c>
      <c r="E114" s="2" t="n">
        <v>250</v>
      </c>
      <c r="F114" s="2" t="inlineStr">
        <is>
          <t>6.14b Bei mittelbarer Betätigung (Seil, Riemen, Kette): Bruch oder Schlaffwerden hält das Triebwerk über eine elektrische Sicherheitseinrichtung an? = Nein</t>
        </is>
      </c>
      <c r="G114" s="2" t="inlineStr">
        <is>
          <t>Hoch</t>
        </is>
      </c>
      <c r="H114" s="2" t="inlineStr">
        <is>
          <t>HIGH_CONFIDENCE</t>
        </is>
      </c>
      <c r="I114" s="2" t="inlineStr"/>
      <c r="J114" s="2" t="inlineStr">
        <is>
          <t>Zustand von Seil, Riemen oder Kette der Notendschalter-Betätigung prüfen</t>
        </is>
      </c>
      <c r="K114" s="2" t="inlineStr">
        <is>
          <t>Bruch und Schlaffwerden der Verbindung über eine elektrische Sicherheitseinrichtung überwachen (EN 81-20 5.12.2.2.3 b)</t>
        </is>
      </c>
      <c r="L114" s="2" t="inlineStr"/>
      <c r="M114" s="3" t="n"/>
      <c r="N114" s="3" t="n"/>
    </row>
    <row r="115">
      <c r="A115" s="4" t="inlineStr">
        <is>
          <t>MF-M21</t>
        </is>
      </c>
      <c r="B115" s="4" t="inlineStr">
        <is>
          <t>Fehlende oder unwirksame Notendschalter</t>
        </is>
      </c>
      <c r="C115" s="4" t="inlineStr">
        <is>
          <t>Sicherheitskomponenten</t>
        </is>
      </c>
      <c r="D115" s="4" t="inlineStr">
        <is>
          <t>MF-M21-R3</t>
        </is>
      </c>
      <c r="E115" s="4" t="n">
        <v>200</v>
      </c>
      <c r="F115" s="4" t="inlineStr">
        <is>
          <t>6.14a Getrennte Betätigungseinrichtungen für das betriebsmäßige Anhalten und für die Notendschalter? = Nein</t>
        </is>
      </c>
      <c r="G115" s="4" t="inlineStr">
        <is>
          <t>Mittel</t>
        </is>
      </c>
      <c r="H115" s="4" t="inlineStr">
        <is>
          <t>HIGH_CONFIDENCE</t>
        </is>
      </c>
      <c r="I115" s="4" t="inlineStr"/>
      <c r="J115" s="4" t="inlineStr">
        <is>
          <t>Betriebsmäßiges Anhalten und Notendschalter bei der Prüfung getrennt nachweisen</t>
        </is>
      </c>
      <c r="K115" s="4" t="inlineStr">
        <is>
          <t>Getrennte Betätigungseinrichtungen herstellen (EN 81-20 5.12.2.2.1)</t>
        </is>
      </c>
      <c r="L115" s="4" t="inlineStr"/>
      <c r="M115" s="3" t="n"/>
      <c r="N115" s="3" t="n"/>
    </row>
    <row r="116">
      <c r="A116" s="2" t="inlineStr">
        <is>
          <t>MF-M21</t>
        </is>
      </c>
      <c r="B116" s="2" t="inlineStr">
        <is>
          <t>Fehlende oder unwirksame Notendschalter</t>
        </is>
      </c>
      <c r="C116" s="2" t="inlineStr">
        <is>
          <t>Sicherheitskomponenten</t>
        </is>
      </c>
      <c r="D116" s="2" t="inlineStr">
        <is>
          <t>MF-M21-R4</t>
        </is>
      </c>
      <c r="E116" s="2" t="n">
        <v>100</v>
      </c>
      <c r="F116" s="2" t="inlineStr">
        <is>
          <t>6.14 Notendschalter (Endbegrenzung hinter den Endhaltestellen) = „Vorhanden, Wirksamkeit nicht nachgewiesen"</t>
        </is>
      </c>
      <c r="G116" s="2" t="inlineStr">
        <is>
          <t>Mittel</t>
        </is>
      </c>
      <c r="H116" s="2" t="inlineStr">
        <is>
          <t>HIGH_CONFIDENCE</t>
        </is>
      </c>
      <c r="I116" s="2" t="inlineStr"/>
      <c r="J116" s="2" t="inlineStr">
        <is>
          <t>Wirksamkeit der Notendschalter bei der nächsten Prüfung feststellen</t>
        </is>
      </c>
      <c r="K116" s="2" t="inlineStr">
        <is>
          <t>Funktionsprüfung der Notendschalter in den Wartungsplan aufnehmen und dokumentieren</t>
        </is>
      </c>
      <c r="L116" s="2" t="inlineStr"/>
      <c r="M116" s="3" t="n"/>
      <c r="N116" s="3" t="n"/>
    </row>
    <row r="117">
      <c r="A117" s="4" t="inlineStr">
        <is>
          <t>MF-M21</t>
        </is>
      </c>
      <c r="B117" s="4" t="inlineStr">
        <is>
          <t>Fehlende oder unwirksame Notendschalter</t>
        </is>
      </c>
      <c r="C117" s="4" t="inlineStr">
        <is>
          <t>Sicherheitskomponenten</t>
        </is>
      </c>
      <c r="D117" s="4" t="inlineStr">
        <is>
          <t>MF-M21-R5</t>
        </is>
      </c>
      <c r="E117" s="4" t="n">
        <v>1</v>
      </c>
      <c r="F117" s="4" t="inlineStr">
        <is>
          <t>6.14 Notendschalter (Endbegrenzung hinter den Endhaltestellen) beantwortet</t>
        </is>
      </c>
      <c r="G117" s="4" t="inlineStr">
        <is>
          <t>Kein Risiko</t>
        </is>
      </c>
      <c r="H117" s="4" t="inlineStr">
        <is>
          <t>HIGH_CONFIDENCE</t>
        </is>
      </c>
      <c r="I117" s="4" t="inlineStr"/>
      <c r="J117" s="4" t="inlineStr">
        <is>
          <t>Zustand erhalten; bei der wiederkehrenden Prüfung und der Betreiberkontrolle erneut prüfen</t>
        </is>
      </c>
      <c r="K117" s="4" t="inlineStr"/>
      <c r="L117" s="4" t="inlineStr">
        <is>
          <t>Kein Risiko: keine Mangelregel trifft zu, alle Pflichtfragen beantwortet.</t>
        </is>
      </c>
      <c r="M117" s="3" t="n"/>
      <c r="N117" s="3" t="n"/>
    </row>
    <row r="118">
      <c r="A118" s="2" t="inlineStr">
        <is>
          <t>MF-T01</t>
        </is>
      </c>
      <c r="B118" s="2" t="inlineStr">
        <is>
          <t>Unsichere Verriegelung der Schachttüren</t>
        </is>
      </c>
      <c r="C118" s="2" t="inlineStr">
        <is>
          <t>Türen und Verriegelung</t>
        </is>
      </c>
      <c r="D118" s="2" t="inlineStr">
        <is>
          <t>MF-T01-R1</t>
        </is>
      </c>
      <c r="E118" s="2" t="n">
        <v>100</v>
      </c>
      <c r="F118" s="2" t="inlineStr">
        <is>
          <t>7.1 Schachttürverriegelung vom Sicherheitskreis elektrisch überwacht? = Nein</t>
        </is>
      </c>
      <c r="G118" s="2" t="inlineStr">
        <is>
          <t>Hoch</t>
        </is>
      </c>
      <c r="H118" s="2" t="inlineStr">
        <is>
          <t>HIGH_CONFIDENCE</t>
        </is>
      </c>
      <c r="I118" s="2" t="inlineStr"/>
      <c r="J118" s="2" t="inlineStr">
        <is>
          <t>Aufzug ausschalten und sichern</t>
        </is>
      </c>
      <c r="K118" s="2" t="inlineStr">
        <is>
          <t>Ersatz aller Schachttür-Verriegelungen durch normgerechte Verriegelungen</t>
        </is>
      </c>
      <c r="L118" s="2" t="inlineStr"/>
      <c r="M118" s="3" t="n"/>
      <c r="N118" s="3" t="n"/>
    </row>
    <row r="119">
      <c r="A119" s="4" t="inlineStr">
        <is>
          <t>MF-T01</t>
        </is>
      </c>
      <c r="B119" s="4" t="inlineStr">
        <is>
          <t>Unsichere Verriegelung der Schachttüren</t>
        </is>
      </c>
      <c r="C119" s="4" t="inlineStr">
        <is>
          <t>Türen und Verriegelung</t>
        </is>
      </c>
      <c r="D119" s="4" t="inlineStr">
        <is>
          <t>MF-T01-R2</t>
        </is>
      </c>
      <c r="E119" s="4" t="n">
        <v>100</v>
      </c>
      <c r="F119" s="4" t="inlineStr">
        <is>
          <t>7.2 Fehlschließsicherung / Nachschließeinrichtung an den Schachttüren vorhanden? = Nein</t>
        </is>
      </c>
      <c r="G119" s="4" t="inlineStr">
        <is>
          <t>Mittel</t>
        </is>
      </c>
      <c r="H119" s="4" t="inlineStr">
        <is>
          <t>HIGH_CONFIDENCE</t>
        </is>
      </c>
      <c r="I119" s="4" t="inlineStr"/>
      <c r="J119" s="4" t="inlineStr"/>
      <c r="K119" s="4" t="inlineStr">
        <is>
          <t>Riegel mit Fehlschließeinrichtung nachrüsten</t>
        </is>
      </c>
      <c r="L119" s="4" t="inlineStr"/>
      <c r="M119" s="3" t="n"/>
      <c r="N119" s="3" t="n"/>
    </row>
    <row r="120">
      <c r="A120" s="2" t="inlineStr">
        <is>
          <t>MF-T01</t>
        </is>
      </c>
      <c r="B120" s="2" t="inlineStr">
        <is>
          <t>Unsichere Verriegelung der Schachttüren</t>
        </is>
      </c>
      <c r="C120" s="2" t="inlineStr">
        <is>
          <t>Türen und Verriegelung</t>
        </is>
      </c>
      <c r="D120" s="2" t="inlineStr">
        <is>
          <t>MF-T01-R3</t>
        </is>
      </c>
      <c r="E120" s="2" t="n">
        <v>1</v>
      </c>
      <c r="F120" s="2" t="inlineStr">
        <is>
          <t>7.1 Schachttürverriegelung vom Sicherheitskreis elektrisch überwacht? beantwortet</t>
        </is>
      </c>
      <c r="G120" s="2" t="inlineStr">
        <is>
          <t>Kein Risiko</t>
        </is>
      </c>
      <c r="H120" s="2" t="inlineStr">
        <is>
          <t>HIGH_CONFIDENCE</t>
        </is>
      </c>
      <c r="I120" s="2" t="inlineStr"/>
      <c r="J120" s="2" t="inlineStr">
        <is>
          <t>Zustand erhalten; bei der wiederkehrenden Prüfung und der Betreiberkontrolle erneut prüfen</t>
        </is>
      </c>
      <c r="K120" s="2" t="inlineStr"/>
      <c r="L120" s="2" t="inlineStr">
        <is>
          <t>Kein Risiko: keine Mangelregel trifft zu, alle Pflichtfragen beantwortet.</t>
        </is>
      </c>
      <c r="M120" s="3" t="n"/>
      <c r="N120" s="3" t="n"/>
    </row>
    <row r="121">
      <c r="A121" s="4" t="inlineStr">
        <is>
          <t>MF-T02</t>
        </is>
      </c>
      <c r="B121" s="4" t="inlineStr">
        <is>
          <t>Fehlende oder schlecht erreichbare Notentriegelung der Schachttüren</t>
        </is>
      </c>
      <c r="C121" s="4" t="inlineStr">
        <is>
          <t>Türen und Verriegelung</t>
        </is>
      </c>
      <c r="D121" s="4" t="inlineStr">
        <is>
          <t>MF-T02-R1</t>
        </is>
      </c>
      <c r="E121" s="4" t="n">
        <v>100</v>
      </c>
      <c r="F121" s="4" t="inlineStr">
        <is>
          <t>7.6 Passender Entriegelungsschlüssel (Dreikant) für die Personenbefreiung vor Ort hinterlegt? = Nein</t>
        </is>
      </c>
      <c r="G121" s="4" t="inlineStr">
        <is>
          <t>Hoch</t>
        </is>
      </c>
      <c r="H121" s="4" t="inlineStr">
        <is>
          <t>INFERRED</t>
        </is>
      </c>
      <c r="I121" s="4" t="inlineStr"/>
      <c r="J121" s="4" t="inlineStr">
        <is>
          <t>Entriegelungsschlüssel beschaffen und an der Anlage (Schlüsseltresor) hinterlegen</t>
        </is>
      </c>
      <c r="K121" s="4" t="inlineStr">
        <is>
          <t>Schlüsselverwaltung für die Personenbefreiung in der Betriebsanweisung regeln</t>
        </is>
      </c>
      <c r="L121" s="4" t="inlineStr"/>
      <c r="M121" s="3" t="n"/>
      <c r="N121" s="3" t="n"/>
    </row>
    <row r="122">
      <c r="A122" s="2" t="inlineStr">
        <is>
          <t>MF-T02</t>
        </is>
      </c>
      <c r="B122" s="2" t="inlineStr">
        <is>
          <t>Fehlende oder schlecht erreichbare Notentriegelung der Schachttüren</t>
        </is>
      </c>
      <c r="C122" s="2" t="inlineStr">
        <is>
          <t>Türen und Verriegelung</t>
        </is>
      </c>
      <c r="D122" s="2" t="inlineStr">
        <is>
          <t>MF-T02-R2</t>
        </is>
      </c>
      <c r="E122" s="2" t="n">
        <v>100</v>
      </c>
      <c r="F122" s="2" t="inlineStr">
        <is>
          <t>7.5 Notentriegelung an allen Schachttüren vorhanden? = Nein</t>
        </is>
      </c>
      <c r="G122" s="2" t="inlineStr">
        <is>
          <t>Hoch</t>
        </is>
      </c>
      <c r="H122" s="2" t="inlineStr">
        <is>
          <t>HIGH_CONFIDENCE</t>
        </is>
      </c>
      <c r="I122" s="2" t="inlineStr"/>
      <c r="J122" s="2" t="inlineStr"/>
      <c r="K122" s="2" t="inlineStr">
        <is>
          <t>Notentriegelungen nachrüsten</t>
        </is>
      </c>
      <c r="L122" s="2" t="inlineStr">
        <is>
          <t>Entschieden 2026-09-02: K-K06.</t>
        </is>
      </c>
      <c r="M122" s="3" t="n"/>
      <c r="N122" s="3" t="n"/>
    </row>
    <row r="123">
      <c r="A123" s="4" t="inlineStr">
        <is>
          <t>MF-T02</t>
        </is>
      </c>
      <c r="B123" s="4" t="inlineStr">
        <is>
          <t>Fehlende oder schlecht erreichbare Notentriegelung der Schachttüren</t>
        </is>
      </c>
      <c r="C123" s="4" t="inlineStr">
        <is>
          <t>Türen und Verriegelung</t>
        </is>
      </c>
      <c r="D123" s="4" t="inlineStr">
        <is>
          <t>MF-T02-R3</t>
        </is>
      </c>
      <c r="E123" s="4" t="n">
        <v>100</v>
      </c>
      <c r="F123" s="4" t="inlineStr">
        <is>
          <t>7.7 Notentriegelung erreichbar (max. 2,00 m über Boden im Türblatt bzw. 2,70 m im Rahmen mit langem Schlüssel)? = Nein</t>
        </is>
      </c>
      <c r="G123" s="4" t="inlineStr">
        <is>
          <t>Mittel</t>
        </is>
      </c>
      <c r="H123" s="4" t="inlineStr">
        <is>
          <t>INFERRED</t>
        </is>
      </c>
      <c r="I123" s="4" t="inlineStr"/>
      <c r="J123" s="4" t="inlineStr">
        <is>
          <t>Leiter/Tritt für die Personenbefreiung bereithalten, Beauftragte unterweisen</t>
        </is>
      </c>
      <c r="K123" s="4" t="inlineStr">
        <is>
          <t>Notentriegelung in erreichbarer Höhe (max. 2,00 m) nachrüsten oder langen Entriegelungsschlüssel hinterlegen</t>
        </is>
      </c>
      <c r="L123" s="4" t="inlineStr"/>
      <c r="M123" s="3" t="n"/>
      <c r="N123" s="3" t="n"/>
    </row>
    <row r="124">
      <c r="A124" s="2" t="inlineStr">
        <is>
          <t>MF-T02</t>
        </is>
      </c>
      <c r="B124" s="2" t="inlineStr">
        <is>
          <t>Fehlende oder schlecht erreichbare Notentriegelung der Schachttüren</t>
        </is>
      </c>
      <c r="C124" s="2" t="inlineStr">
        <is>
          <t>Türen und Verriegelung</t>
        </is>
      </c>
      <c r="D124" s="2" t="inlineStr">
        <is>
          <t>MF-T02-R4</t>
        </is>
      </c>
      <c r="E124" s="2" t="n">
        <v>1</v>
      </c>
      <c r="F124" s="2" t="inlineStr">
        <is>
          <t>7.5 Notentriegelung an allen Schachttüren vorhanden? beantwortet</t>
        </is>
      </c>
      <c r="G124" s="2" t="inlineStr">
        <is>
          <t>Kein Risiko</t>
        </is>
      </c>
      <c r="H124" s="2" t="inlineStr">
        <is>
          <t>HIGH_CONFIDENCE</t>
        </is>
      </c>
      <c r="I124" s="2" t="inlineStr"/>
      <c r="J124" s="2" t="inlineStr">
        <is>
          <t>Zustand erhalten; bei der wiederkehrenden Prüfung und der Betreiberkontrolle erneut prüfen</t>
        </is>
      </c>
      <c r="K124" s="2" t="inlineStr"/>
      <c r="L124" s="2" t="inlineStr">
        <is>
          <t>Kein Risiko: keine Mangelregel trifft zu, alle Pflichtfragen beantwortet.</t>
        </is>
      </c>
      <c r="M124" s="3" t="n"/>
      <c r="N124" s="3" t="n"/>
    </row>
    <row r="125">
      <c r="A125" s="4" t="inlineStr">
        <is>
          <t>MF-T03</t>
        </is>
      </c>
      <c r="B125" s="4" t="inlineStr">
        <is>
          <t>Schachttüren nicht selbstschließend</t>
        </is>
      </c>
      <c r="C125" s="4" t="inlineStr">
        <is>
          <t>Türen und Verriegelung</t>
        </is>
      </c>
      <c r="D125" s="4" t="inlineStr">
        <is>
          <t>MF-T03-R1</t>
        </is>
      </c>
      <c r="E125" s="4" t="n">
        <v>100</v>
      </c>
      <c r="F125" s="4" t="inlineStr">
        <is>
          <t>7.4 Schließt die Schachttür nach einer Notentriegelung selbsttätig? = Nein</t>
        </is>
      </c>
      <c r="G125" s="4" t="inlineStr">
        <is>
          <t>Hoch</t>
        </is>
      </c>
      <c r="H125" s="4" t="inlineStr">
        <is>
          <t>HIGH_CONFIDENCE</t>
        </is>
      </c>
      <c r="I125" s="4" t="inlineStr"/>
      <c r="J125" s="4" t="inlineStr"/>
      <c r="K125" s="4" t="inlineStr">
        <is>
          <t>Schachttür umrüsten</t>
        </is>
      </c>
      <c r="L125" s="4" t="inlineStr"/>
      <c r="M125" s="3" t="n"/>
      <c r="N125" s="3" t="n"/>
    </row>
    <row r="126">
      <c r="A126" s="2" t="inlineStr">
        <is>
          <t>MF-T03</t>
        </is>
      </c>
      <c r="B126" s="2" t="inlineStr">
        <is>
          <t>Schachttüren nicht selbstschließend</t>
        </is>
      </c>
      <c r="C126" s="2" t="inlineStr">
        <is>
          <t>Türen und Verriegelung</t>
        </is>
      </c>
      <c r="D126" s="2" t="inlineStr">
        <is>
          <t>MF-T03-R2</t>
        </is>
      </c>
      <c r="E126" s="2" t="n">
        <v>100</v>
      </c>
      <c r="F126" s="2" t="inlineStr">
        <is>
          <t>7.3 Schachttüren selbstschließend (Feder oder Gewicht)? = Nein</t>
        </is>
      </c>
      <c r="G126" s="2" t="inlineStr">
        <is>
          <t>Mittel</t>
        </is>
      </c>
      <c r="H126" s="2" t="inlineStr">
        <is>
          <t>HIGH_CONFIDENCE</t>
        </is>
      </c>
      <c r="I126" s="2" t="inlineStr"/>
      <c r="J126" s="2" t="inlineStr">
        <is>
          <t>Erhöhte Vorsicht, besonders bei Personenbefreiung</t>
        </is>
      </c>
      <c r="K126" s="2" t="inlineStr">
        <is>
          <t>Selbstschließung nachrüsten</t>
        </is>
      </c>
      <c r="L126" s="2" t="inlineStr"/>
      <c r="M126" s="3" t="n"/>
      <c r="N126" s="3" t="n"/>
    </row>
    <row r="127">
      <c r="A127" s="4" t="inlineStr">
        <is>
          <t>MF-T03</t>
        </is>
      </c>
      <c r="B127" s="4" t="inlineStr">
        <is>
          <t>Schachttüren nicht selbstschließend</t>
        </is>
      </c>
      <c r="C127" s="4" t="inlineStr">
        <is>
          <t>Türen und Verriegelung</t>
        </is>
      </c>
      <c r="D127" s="4" t="inlineStr">
        <is>
          <t>MF-T03-R3</t>
        </is>
      </c>
      <c r="E127" s="4" t="n">
        <v>1</v>
      </c>
      <c r="F127" s="4" t="inlineStr">
        <is>
          <t>7.3 Schachttüren selbstschließend (Feder oder Gewicht)? beantwortet</t>
        </is>
      </c>
      <c r="G127" s="4" t="inlineStr">
        <is>
          <t>Kein Risiko</t>
        </is>
      </c>
      <c r="H127" s="4" t="inlineStr">
        <is>
          <t>HIGH_CONFIDENCE</t>
        </is>
      </c>
      <c r="I127" s="4" t="inlineStr"/>
      <c r="J127" s="4" t="inlineStr">
        <is>
          <t>Zustand erhalten; bei der wiederkehrenden Prüfung und der Betreiberkontrolle erneut prüfen</t>
        </is>
      </c>
      <c r="K127" s="4" t="inlineStr"/>
      <c r="L127" s="4" t="inlineStr">
        <is>
          <t>Kein Risiko: keine Mangelregel trifft zu, alle Pflichtfragen beantwortet.</t>
        </is>
      </c>
      <c r="M127" s="3" t="n"/>
      <c r="N127" s="3" t="n"/>
    </row>
    <row r="128">
      <c r="A128" s="2" t="inlineStr">
        <is>
          <t>MF-T04</t>
        </is>
      </c>
      <c r="B128" s="2" t="inlineStr">
        <is>
          <t>Ungeeignetes Glas oder fehlender Einzugsschutz an Türen mit Glas</t>
        </is>
      </c>
      <c r="C128" s="2" t="inlineStr">
        <is>
          <t>Türen und Verriegelung</t>
        </is>
      </c>
      <c r="D128" s="2" t="inlineStr">
        <is>
          <t>MF-T04-R1</t>
        </is>
      </c>
      <c r="E128" s="2" t="n">
        <v>100</v>
      </c>
      <c r="F128" s="2" t="inlineStr">
        <is>
          <t>7.8 Glaseinsätze in Schacht-/Fahrkorbtüren aus normgerechtem, unbeschädigtem Glas (Verbundsicherheitsglas nach EN 81-20 5.3.5.3)? = Nein</t>
        </is>
      </c>
      <c r="G128" s="2" t="inlineStr">
        <is>
          <t>Hoch</t>
        </is>
      </c>
      <c r="H128" s="2" t="inlineStr">
        <is>
          <t>HIGH_CONFIDENCE</t>
        </is>
      </c>
      <c r="I128" s="2" t="inlineStr"/>
      <c r="J128" s="2" t="inlineStr">
        <is>
          <t>Anlage zur Gefahrenabwehr abschalten!</t>
        </is>
      </c>
      <c r="K128" s="2" t="inlineStr">
        <is>
          <t>Normgerechtes Glas (z.B. VSG) einbauen oder verschließen und Anwesenheitsanzeige nachrüsten.</t>
        </is>
      </c>
      <c r="L128" s="2" t="inlineStr"/>
      <c r="M128" s="3" t="n"/>
      <c r="N128" s="3" t="n"/>
    </row>
    <row r="129">
      <c r="A129" s="4" t="inlineStr">
        <is>
          <t>MF-T04</t>
        </is>
      </c>
      <c r="B129" s="4" t="inlineStr">
        <is>
          <t>Ungeeignetes Glas oder fehlender Einzugsschutz an Türen mit Glas</t>
        </is>
      </c>
      <c r="C129" s="4" t="inlineStr">
        <is>
          <t>Türen und Verriegelung</t>
        </is>
      </c>
      <c r="D129" s="4" t="inlineStr">
        <is>
          <t>MF-T04-R2</t>
        </is>
      </c>
      <c r="E129" s="4" t="n">
        <v>100</v>
      </c>
      <c r="F129" s="4" t="inlineStr">
        <is>
          <t>7.10 Schutz gegen Einziehen von Kinderhänden an Glas-Schiebetüren vorhanden (Sensorleiste, Abstand, Beschichtung)? = Nein</t>
        </is>
      </c>
      <c r="G129" s="4" t="inlineStr">
        <is>
          <t>Hoch</t>
        </is>
      </c>
      <c r="H129" s="4" t="inlineStr">
        <is>
          <t>HIGH_CONFIDENCE</t>
        </is>
      </c>
      <c r="I129" s="4" t="inlineStr"/>
      <c r="J129" s="4" t="inlineStr">
        <is>
          <t>Aufzug nur für eingeschränkten Personenkreis freigeben und für sonstigen Personentransport sperren</t>
        </is>
      </c>
      <c r="K129" s="4" t="inlineStr">
        <is>
          <t>Schutzmaßnahme gegen Einzug von Kinderhänden nachrüsten</t>
        </is>
      </c>
      <c r="L129" s="4" t="inlineStr"/>
      <c r="M129" s="3" t="n"/>
      <c r="N129" s="3" t="n"/>
    </row>
    <row r="130">
      <c r="A130" s="2" t="inlineStr">
        <is>
          <t>MF-T04</t>
        </is>
      </c>
      <c r="B130" s="2" t="inlineStr">
        <is>
          <t>Ungeeignetes Glas oder fehlender Einzugsschutz an Türen mit Glas</t>
        </is>
      </c>
      <c r="C130" s="2" t="inlineStr">
        <is>
          <t>Türen und Verriegelung</t>
        </is>
      </c>
      <c r="D130" s="2" t="inlineStr">
        <is>
          <t>MF-T04-R3</t>
        </is>
      </c>
      <c r="E130" s="2" t="n">
        <v>100</v>
      </c>
      <c r="F130" s="2" t="inlineStr">
        <is>
          <t>7.9 Drahtglas (Gitterglas) verbaut? = Ja</t>
        </is>
      </c>
      <c r="G130" s="2" t="inlineStr">
        <is>
          <t>Niedrig</t>
        </is>
      </c>
      <c r="H130" s="2" t="inlineStr">
        <is>
          <t>HIGH_CONFIDENCE</t>
        </is>
      </c>
      <c r="I130" s="2" t="inlineStr"/>
      <c r="J130" s="2" t="inlineStr">
        <is>
          <t>Häufige Kontrolle durch Aufzugswärter</t>
        </is>
      </c>
      <c r="K130" s="2" t="inlineStr">
        <is>
          <t>Normgerechtes Glas (z.B. VSG) einbauen oder verschließen und Anwesenheitsanzeige nachrüsten.</t>
        </is>
      </c>
      <c r="L130" s="2" t="inlineStr">
        <is>
          <t>TRBS 3121 Anh. 1 Nr. 9: Risiko bei intaktem, sicher befestigtem Drahtglas ausdrücklich niedrig (App K9: gelb). Entschieden 2026-09-02: K-T01.</t>
        </is>
      </c>
      <c r="M130" s="3" t="n"/>
      <c r="N130" s="3" t="n"/>
    </row>
    <row r="131">
      <c r="A131" s="4" t="inlineStr">
        <is>
          <t>MF-T04</t>
        </is>
      </c>
      <c r="B131" s="4" t="inlineStr">
        <is>
          <t>Ungeeignetes Glas oder fehlender Einzugsschutz an Türen mit Glas</t>
        </is>
      </c>
      <c r="C131" s="4" t="inlineStr">
        <is>
          <t>Türen und Verriegelung</t>
        </is>
      </c>
      <c r="D131" s="4" t="inlineStr">
        <is>
          <t>MF-T04-R4</t>
        </is>
      </c>
      <c r="E131" s="4" t="n">
        <v>1</v>
      </c>
      <c r="F131" s="4" t="inlineStr">
        <is>
          <t>7.8 Glaseinsätze in Schacht-/Fahrkorbtüren aus normgerechtem, unbeschädigtem Glas (Verbundsicherheitsglas nach EN 81-20 5.3.5.3)? beantwortet</t>
        </is>
      </c>
      <c r="G131" s="4" t="inlineStr">
        <is>
          <t>Kein Risiko</t>
        </is>
      </c>
      <c r="H131" s="4" t="inlineStr">
        <is>
          <t>HIGH_CONFIDENCE</t>
        </is>
      </c>
      <c r="I131" s="4" t="inlineStr"/>
      <c r="J131" s="4" t="inlineStr">
        <is>
          <t>Zustand erhalten; bei der wiederkehrenden Prüfung und der Betreiberkontrolle erneut prüfen</t>
        </is>
      </c>
      <c r="K131" s="4" t="inlineStr"/>
      <c r="L131" s="4" t="inlineStr">
        <is>
          <t>Kein Risiko: keine Mangelregel trifft zu, alle Pflichtfragen beantwortet.</t>
        </is>
      </c>
      <c r="M131" s="3" t="n"/>
      <c r="N131" s="3" t="n"/>
    </row>
    <row r="132">
      <c r="A132" s="2" t="inlineStr">
        <is>
          <t>MF-T05</t>
        </is>
      </c>
      <c r="B132" s="2" t="inlineStr">
        <is>
          <t>Unzureichende Feuerwiderstandsfähigkeit der Schachttüren</t>
        </is>
      </c>
      <c r="C132" s="2" t="inlineStr">
        <is>
          <t>Brandschutz und Gebäudeschnittstelle</t>
        </is>
      </c>
      <c r="D132" s="2" t="inlineStr">
        <is>
          <t>MF-T05-R1</t>
        </is>
      </c>
      <c r="E132" s="2" t="n">
        <v>100</v>
      </c>
      <c r="F132" s="2" t="inlineStr">
        <is>
          <t>7.11 Feuerwiderstandsfähigkeit der Schachttüren (EN 81-58 / bauaufsichtliche Anforderung) = „Gefordert, aber nicht gegeben"</t>
        </is>
      </c>
      <c r="G132" s="2" t="inlineStr">
        <is>
          <t>Mittel</t>
        </is>
      </c>
      <c r="H132" s="2" t="inlineStr">
        <is>
          <t>INFERRED</t>
        </is>
      </c>
      <c r="I132" s="2" t="inlineStr"/>
      <c r="J132" s="2" t="inlineStr">
        <is>
          <t>Betreiber informieren; Abstimmung mit Brandschutzkonzept / Bauaufsicht</t>
        </is>
      </c>
      <c r="K132" s="2" t="inlineStr">
        <is>
          <t>Schachttüren mit nachgewiesener Feuerwiderstandsfähigkeit (EN 81-58) einbauen</t>
        </is>
      </c>
      <c r="L132" s="2" t="inlineStr"/>
      <c r="M132" s="3" t="n"/>
      <c r="N132" s="3" t="n"/>
    </row>
    <row r="133">
      <c r="A133" s="4" t="inlineStr">
        <is>
          <t>MF-T05</t>
        </is>
      </c>
      <c r="B133" s="4" t="inlineStr">
        <is>
          <t>Unzureichende Feuerwiderstandsfähigkeit der Schachttüren</t>
        </is>
      </c>
      <c r="C133" s="4" t="inlineStr">
        <is>
          <t>Brandschutz und Gebäudeschnittstelle</t>
        </is>
      </c>
      <c r="D133" s="4" t="inlineStr">
        <is>
          <t>MF-T05-R2</t>
        </is>
      </c>
      <c r="E133" s="4" t="n">
        <v>100</v>
      </c>
      <c r="F133" s="4" t="inlineStr">
        <is>
          <t>7.11 Feuerwiderstandsfähigkeit der Schachttüren (EN 81-58 / bauaufsichtliche Anforderung) = „Unbekannt / kein Nachweis"</t>
        </is>
      </c>
      <c r="G133" s="4" t="inlineStr">
        <is>
          <t>Mittel</t>
        </is>
      </c>
      <c r="H133" s="4" t="inlineStr">
        <is>
          <t>INFERRED</t>
        </is>
      </c>
      <c r="I133" s="4" t="inlineStr"/>
      <c r="J133" s="4" t="inlineStr">
        <is>
          <t>Nachweis (Zertifikat, Baugenehmigung) beim Betreiber anfordern</t>
        </is>
      </c>
      <c r="K133" s="4" t="inlineStr">
        <is>
          <t>Feuerwiderstandsanforderung aus dem Brandschutzkonzept klären und dokumentieren</t>
        </is>
      </c>
      <c r="L133" s="4" t="inlineStr">
        <is>
          <t>Entschieden 2026-09-02: K-K07.</t>
        </is>
      </c>
      <c r="M133" s="3" t="n"/>
      <c r="N133" s="3" t="n"/>
    </row>
    <row r="134">
      <c r="A134" s="2" t="inlineStr">
        <is>
          <t>MF-T05</t>
        </is>
      </c>
      <c r="B134" s="2" t="inlineStr">
        <is>
          <t>Unzureichende Feuerwiderstandsfähigkeit der Schachttüren</t>
        </is>
      </c>
      <c r="C134" s="2" t="inlineStr">
        <is>
          <t>Brandschutz und Gebäudeschnittstelle</t>
        </is>
      </c>
      <c r="D134" s="2" t="inlineStr">
        <is>
          <t>MF-T05-R3</t>
        </is>
      </c>
      <c r="E134" s="2" t="n">
        <v>1</v>
      </c>
      <c r="F134" s="2" t="inlineStr">
        <is>
          <t>7.11 Feuerwiderstandsfähigkeit der Schachttüren (EN 81-58 / bauaufsichtliche Anforderung) beantwortet</t>
        </is>
      </c>
      <c r="G134" s="2" t="inlineStr">
        <is>
          <t>Kein Risiko</t>
        </is>
      </c>
      <c r="H134" s="2" t="inlineStr">
        <is>
          <t>HIGH_CONFIDENCE</t>
        </is>
      </c>
      <c r="I134" s="2" t="inlineStr"/>
      <c r="J134" s="2" t="inlineStr">
        <is>
          <t>Zustand erhalten; bei der wiederkehrenden Prüfung und der Betreiberkontrolle erneut prüfen</t>
        </is>
      </c>
      <c r="K134" s="2" t="inlineStr"/>
      <c r="L134" s="2" t="inlineStr">
        <is>
          <t>Kein Risiko: keine Mangelregel trifft zu, alle Pflichtfragen beantwortet.</t>
        </is>
      </c>
      <c r="M134" s="3" t="n"/>
      <c r="N134" s="3" t="n"/>
    </row>
    <row r="135">
      <c r="A135" s="4" t="inlineStr">
        <is>
          <t>MF-T06</t>
        </is>
      </c>
      <c r="B135" s="4" t="inlineStr">
        <is>
          <t>Fahrkorb ohne Abschlusstür oder ohne Schließkantensicherung</t>
        </is>
      </c>
      <c r="C135" s="4" t="inlineStr">
        <is>
          <t>Türen und Verriegelung</t>
        </is>
      </c>
      <c r="D135" s="4" t="inlineStr">
        <is>
          <t>MF-T06-R1</t>
        </is>
      </c>
      <c r="E135" s="4" t="n">
        <v>300</v>
      </c>
      <c r="F135" s="4" t="inlineStr">
        <is>
          <t>(8.6 Fahrkorbabschlusstür vorhanden? = Nein UND 8.9 Ohne Fahrkorbtür: Sicherheitslichtgitter vorhanden? = Nein UND 8.9a Ohne Fahrkorbtür: Scherengitter vorhanden? = Nein)</t>
        </is>
      </c>
      <c r="G135" s="4" t="inlineStr">
        <is>
          <t>Hoch</t>
        </is>
      </c>
      <c r="H135" s="4" t="inlineStr">
        <is>
          <t>HIGH_CONFIDENCE</t>
        </is>
      </c>
      <c r="I135" s="4" t="inlineStr"/>
      <c r="J135" s="4" t="inlineStr">
        <is>
          <t>Aufzug für Personentransport sperren</t>
        </is>
      </c>
      <c r="K135" s="4" t="inlineStr">
        <is>
          <t>Kabinentür oder Sicherheitslichtgitter nachrüsten</t>
        </is>
      </c>
      <c r="L135" s="4" t="inlineStr"/>
      <c r="M135" s="3" t="n"/>
      <c r="N135" s="3" t="n"/>
    </row>
    <row r="136">
      <c r="A136" s="2" t="inlineStr">
        <is>
          <t>MF-T06</t>
        </is>
      </c>
      <c r="B136" s="2" t="inlineStr">
        <is>
          <t>Fahrkorb ohne Abschlusstür oder ohne Schließkantensicherung</t>
        </is>
      </c>
      <c r="C136" s="2" t="inlineStr">
        <is>
          <t>Türen und Verriegelung</t>
        </is>
      </c>
      <c r="D136" s="2" t="inlineStr">
        <is>
          <t>MF-T06-R2</t>
        </is>
      </c>
      <c r="E136" s="2" t="n">
        <v>250</v>
      </c>
      <c r="F136" s="2" t="inlineStr">
        <is>
          <t>(8.6 Fahrkorbabschlusstür vorhanden? = Nein UND (4.9 Nutzung durch Personen mit eingeschränkter Mobilität (Rollstuhl, Rollator, Sehbehinderung) zu erwarten? = Ja ODER 4.12 Nutzung durch unbeaufsichtigte Kinder zu erwarten (Schule, Kita, Wohnanlage)? = Ja))</t>
        </is>
      </c>
      <c r="G136" s="2" t="inlineStr">
        <is>
          <t>Hoch</t>
        </is>
      </c>
      <c r="H136" s="2" t="inlineStr">
        <is>
          <t>INFERRED</t>
        </is>
      </c>
      <c r="I136" s="2" t="inlineStr"/>
      <c r="J136" s="2" t="inlineStr">
        <is>
          <t>Ohne weitere Schließkantensicherung für Personentransport sperren</t>
        </is>
      </c>
      <c r="K136" s="2" t="inlineStr">
        <is>
          <t>Kabinentür nachrüsten</t>
        </is>
      </c>
      <c r="L136" s="2" t="inlineStr">
        <is>
          <t>Entschieden 2026-09-02: K-K09.</t>
        </is>
      </c>
      <c r="M136" s="3" t="n"/>
      <c r="N136" s="3" t="n"/>
    </row>
    <row r="137">
      <c r="A137" s="4" t="inlineStr">
        <is>
          <t>MF-T06</t>
        </is>
      </c>
      <c r="B137" s="4" t="inlineStr">
        <is>
          <t>Fahrkorb ohne Abschlusstür oder ohne Schließkantensicherung</t>
        </is>
      </c>
      <c r="C137" s="4" t="inlineStr">
        <is>
          <t>Türen und Verriegelung</t>
        </is>
      </c>
      <c r="D137" s="4" t="inlineStr">
        <is>
          <t>MF-T06-R3</t>
        </is>
      </c>
      <c r="E137" s="4" t="n">
        <v>200</v>
      </c>
      <c r="F137" s="4" t="inlineStr">
        <is>
          <t>(8.6 Fahrkorbabschlusstür vorhanden? = Nein UND 8.9a Ohne Fahrkorbtür: Scherengitter vorhanden? = Ja)</t>
        </is>
      </c>
      <c r="G137" s="4" t="inlineStr">
        <is>
          <t>Mittel</t>
        </is>
      </c>
      <c r="H137" s="4" t="inlineStr">
        <is>
          <t>HIGH_CONFIDENCE</t>
        </is>
      </c>
      <c r="I137" s="4" t="inlineStr"/>
      <c r="J137" s="4" t="inlineStr">
        <is>
          <t>Aufzug nur für unterwiesene Personen freigeben und für sonstigen Personentransport sperren</t>
        </is>
      </c>
      <c r="K137" s="4" t="inlineStr">
        <is>
          <t>Kabinentür nachrüsten</t>
        </is>
      </c>
      <c r="L137" s="4" t="inlineStr"/>
      <c r="M137" s="3" t="n"/>
      <c r="N137" s="3" t="n"/>
    </row>
    <row r="138">
      <c r="A138" s="2" t="inlineStr">
        <is>
          <t>MF-T06</t>
        </is>
      </c>
      <c r="B138" s="2" t="inlineStr">
        <is>
          <t>Fahrkorb ohne Abschlusstür oder ohne Schließkantensicherung</t>
        </is>
      </c>
      <c r="C138" s="2" t="inlineStr">
        <is>
          <t>Türen und Verriegelung</t>
        </is>
      </c>
      <c r="D138" s="2" t="inlineStr">
        <is>
          <t>MF-T06-R4</t>
        </is>
      </c>
      <c r="E138" s="2" t="n">
        <v>200</v>
      </c>
      <c r="F138" s="2" t="inlineStr">
        <is>
          <t>(8.6 Fahrkorbabschlusstür vorhanden? = Nein UND 8.9 Ohne Fahrkorbtür: Sicherheitslichtgitter vorhanden? = Ja)</t>
        </is>
      </c>
      <c r="G138" s="2" t="inlineStr">
        <is>
          <t>Mittel</t>
        </is>
      </c>
      <c r="H138" s="2" t="inlineStr">
        <is>
          <t>HIGH_CONFIDENCE</t>
        </is>
      </c>
      <c r="I138" s="2" t="inlineStr"/>
      <c r="J138" s="2" t="inlineStr">
        <is>
          <t>Aufzug nur für unterwiesene Personen freigeben und für sonstigen Personentransport sperren</t>
        </is>
      </c>
      <c r="K138" s="2" t="inlineStr">
        <is>
          <t>Kabinentür nachrüsten</t>
        </is>
      </c>
      <c r="L138" s="2" t="inlineStr"/>
      <c r="M138" s="3" t="n"/>
      <c r="N138" s="3" t="n"/>
    </row>
    <row r="139">
      <c r="A139" s="4" t="inlineStr">
        <is>
          <t>MF-T06</t>
        </is>
      </c>
      <c r="B139" s="4" t="inlineStr">
        <is>
          <t>Fahrkorb ohne Abschlusstür oder ohne Schließkantensicherung</t>
        </is>
      </c>
      <c r="C139" s="4" t="inlineStr">
        <is>
          <t>Türen und Verriegelung</t>
        </is>
      </c>
      <c r="D139" s="4" t="inlineStr">
        <is>
          <t>MF-T06-R5</t>
        </is>
      </c>
      <c r="E139" s="4" t="n">
        <v>200</v>
      </c>
      <c r="F139" s="4" t="inlineStr">
        <is>
          <t>(8.6 Fahrkorbabschlusstür vorhanden? = Ja UND 8.8 Schließkantensicherung der Fahrkorbtür = „Keine Schließkantensicherung")</t>
        </is>
      </c>
      <c r="G139" s="4" t="inlineStr">
        <is>
          <t>Mittel</t>
        </is>
      </c>
      <c r="H139" s="4" t="inlineStr">
        <is>
          <t>HIGH_CONFIDENCE</t>
        </is>
      </c>
      <c r="I139" s="4" t="inlineStr"/>
      <c r="J139" s="4" t="inlineStr">
        <is>
          <t>Aufzug nur für eingeschränkten Personenkreis freigeben und für sonstigen Personentransport sperren</t>
        </is>
      </c>
      <c r="K139" s="4" t="inlineStr">
        <is>
          <t>Lichtgitter nachrüsten</t>
        </is>
      </c>
      <c r="L139" s="4" t="inlineStr"/>
      <c r="M139" s="3" t="n"/>
      <c r="N139" s="3" t="n"/>
    </row>
    <row r="140">
      <c r="A140" s="2" t="inlineStr">
        <is>
          <t>MF-T06</t>
        </is>
      </c>
      <c r="B140" s="2" t="inlineStr">
        <is>
          <t>Fahrkorb ohne Abschlusstür oder ohne Schließkantensicherung</t>
        </is>
      </c>
      <c r="C140" s="2" t="inlineStr">
        <is>
          <t>Türen und Verriegelung</t>
        </is>
      </c>
      <c r="D140" s="2" t="inlineStr">
        <is>
          <t>MF-T06-R6</t>
        </is>
      </c>
      <c r="E140" s="2" t="n">
        <v>210</v>
      </c>
      <c r="F140" s="2" t="inlineStr">
        <is>
          <t>(8.6 Fahrkorbabschlusstür vorhanden? = Ja UND 8.8 Schließkantensicherung der Fahrkorbtür = „Einzel-Lichtschranke mit Kraftbegrenzung 150 N / 10 J (ältere Ausführung)" UND 4.9 Nutzung durch Personen mit eingeschränkter Mobilität (Rollstuhl, Rollator, Sehbehinderung) zu erwarten? = Ja)</t>
        </is>
      </c>
      <c r="G140" s="2" t="inlineStr">
        <is>
          <t>Hoch</t>
        </is>
      </c>
      <c r="H140" s="2" t="inlineStr">
        <is>
          <t>INFERRED</t>
        </is>
      </c>
      <c r="I140" s="2" t="inlineStr"/>
      <c r="J140" s="2" t="inlineStr">
        <is>
          <t>Aufzug nur für eingeschränkten Personenkreis freigeben und für sonstigen Personentransport sperren</t>
        </is>
      </c>
      <c r="K140" s="2" t="inlineStr">
        <is>
          <t>Lichtgitter nachrüsten</t>
        </is>
      </c>
      <c r="L140" s="2" t="inlineStr">
        <is>
          <t>TRBS 3121 Anh. 1 Nr. 10: 150 N + Lichtschranke + 10 J = Mittel, ausdrücklich NICHT bei behinderten, alten oder gebrechlichen Personen. Entschieden 2026-09-02: K-T02.</t>
        </is>
      </c>
      <c r="M140" s="3" t="n"/>
      <c r="N140" s="3" t="n"/>
    </row>
    <row r="141">
      <c r="A141" s="4" t="inlineStr">
        <is>
          <t>MF-T06</t>
        </is>
      </c>
      <c r="B141" s="4" t="inlineStr">
        <is>
          <t>Fahrkorb ohne Abschlusstür oder ohne Schließkantensicherung</t>
        </is>
      </c>
      <c r="C141" s="4" t="inlineStr">
        <is>
          <t>Türen und Verriegelung</t>
        </is>
      </c>
      <c r="D141" s="4" t="inlineStr">
        <is>
          <t>MF-T06-R7</t>
        </is>
      </c>
      <c r="E141" s="4" t="n">
        <v>200</v>
      </c>
      <c r="F141" s="4" t="inlineStr">
        <is>
          <t>(8.6 Fahrkorbabschlusstür vorhanden? = Ja UND 8.8 Schließkantensicherung der Fahrkorbtür = „Einzel-Lichtschranke mit Kraftbegrenzung 150 N / 10 J (ältere Ausführung)")</t>
        </is>
      </c>
      <c r="G141" s="4" t="inlineStr">
        <is>
          <t>Mittel</t>
        </is>
      </c>
      <c r="H141" s="4" t="inlineStr">
        <is>
          <t>HIGH_CONFIDENCE</t>
        </is>
      </c>
      <c r="I141" s="4" t="inlineStr"/>
      <c r="J141" s="4" t="inlineStr">
        <is>
          <t>Aufzug nur für eingeschränkten Personenkreis freigeben und für sonstigen Personentransport sperren</t>
        </is>
      </c>
      <c r="K141" s="4" t="inlineStr">
        <is>
          <t>Lichtgitter nachrüsten</t>
        </is>
      </c>
      <c r="L141" s="4" t="inlineStr">
        <is>
          <t>TRBS 3121 Anh. 1 Nr. 10: ausdrücklich mittleres Risiko. Entschieden 2026-09-02: K-T02.</t>
        </is>
      </c>
      <c r="M141" s="3" t="n"/>
      <c r="N141" s="3" t="n"/>
    </row>
    <row r="142">
      <c r="A142" s="2" t="inlineStr">
        <is>
          <t>MF-T06</t>
        </is>
      </c>
      <c r="B142" s="2" t="inlineStr">
        <is>
          <t>Fahrkorb ohne Abschlusstür oder ohne Schließkantensicherung</t>
        </is>
      </c>
      <c r="C142" s="2" t="inlineStr">
        <is>
          <t>Türen und Verriegelung</t>
        </is>
      </c>
      <c r="D142" s="2" t="inlineStr">
        <is>
          <t>MF-T06-R8</t>
        </is>
      </c>
      <c r="E142" s="2" t="n">
        <v>1</v>
      </c>
      <c r="F142" s="2" t="inlineStr">
        <is>
          <t>8.6 Fahrkorbabschlusstür vorhanden? beantwortet</t>
        </is>
      </c>
      <c r="G142" s="2" t="inlineStr">
        <is>
          <t>Kein Risiko</t>
        </is>
      </c>
      <c r="H142" s="2" t="inlineStr">
        <is>
          <t>HIGH_CONFIDENCE</t>
        </is>
      </c>
      <c r="I142" s="2" t="inlineStr"/>
      <c r="J142" s="2" t="inlineStr">
        <is>
          <t>Zustand erhalten; bei der wiederkehrenden Prüfung und der Betreiberkontrolle erneut prüfen</t>
        </is>
      </c>
      <c r="K142" s="2" t="inlineStr"/>
      <c r="L142" s="2" t="inlineStr">
        <is>
          <t>Kein Risiko: keine Mangelregel trifft zu, alle Pflichtfragen beantwortet.</t>
        </is>
      </c>
      <c r="M142" s="3" t="n"/>
      <c r="N142" s="3" t="n"/>
    </row>
    <row r="143">
      <c r="A143" s="4" t="inlineStr">
        <is>
          <t>MF-T07</t>
        </is>
      </c>
      <c r="B143" s="4" t="inlineStr">
        <is>
          <t>Unzureichende Fläche unterhalb der Schachttürschwelle</t>
        </is>
      </c>
      <c r="C143" s="4" t="inlineStr">
        <is>
          <t>Türen und Verriegelung</t>
        </is>
      </c>
      <c r="D143" s="4" t="inlineStr">
        <is>
          <t>MF-T07-R1</t>
        </is>
      </c>
      <c r="E143" s="4" t="n">
        <v>200</v>
      </c>
      <c r="F143" s="4" t="inlineStr">
        <is>
          <t>7.12 Schachtwand unterhalb der Schachttürschwelle (vertikale Fläche zur Entriegelungszone) = „Keine geschlossene Fläche (offene Konstruktion, Gitter, Mauerwerk mit Absätzen)"</t>
        </is>
      </c>
      <c r="G143" s="4" t="inlineStr">
        <is>
          <t>Hoch</t>
        </is>
      </c>
      <c r="H143" s="4" t="inlineStr">
        <is>
          <t>HIGH_CONFIDENCE</t>
        </is>
      </c>
      <c r="I143" s="4" t="inlineStr"/>
      <c r="J143" s="4" t="inlineStr">
        <is>
          <t>Personenbefreiung nur durch fachkundige Personen; Haltestellen mit unvollständiger Schachtwand kennzeichnen</t>
        </is>
      </c>
      <c r="K143" s="4" t="inlineStr">
        <is>
          <t>Durchgehende, glatte vertikale Fläche unterhalb jeder Schachttürschwelle herstellen (EN 81-20 5.2.5.3.2)</t>
        </is>
      </c>
      <c r="L143" s="4" t="inlineStr"/>
      <c r="M143" s="3" t="n"/>
      <c r="N143" s="3" t="n"/>
    </row>
    <row r="144">
      <c r="A144" s="2" t="inlineStr">
        <is>
          <t>MF-T07</t>
        </is>
      </c>
      <c r="B144" s="2" t="inlineStr">
        <is>
          <t>Unzureichende Fläche unterhalb der Schachttürschwelle</t>
        </is>
      </c>
      <c r="C144" s="2" t="inlineStr">
        <is>
          <t>Türen und Verriegelung</t>
        </is>
      </c>
      <c r="D144" s="2" t="inlineStr">
        <is>
          <t>MF-T07-R2</t>
        </is>
      </c>
      <c r="E144" s="2" t="n">
        <v>100</v>
      </c>
      <c r="F144" s="2" t="inlineStr">
        <is>
          <t>7.12 Schachtwand unterhalb der Schachttürschwelle (vertikale Fläche zur Entriegelungszone) = „Vorhanden, aber mit Mängeln (Vorsprünge über 5 mm, zu geringe Höhe oder Breite, nachgiebig, offene Fugen)"</t>
        </is>
      </c>
      <c r="G144" s="2" t="inlineStr">
        <is>
          <t>Mittel</t>
        </is>
      </c>
      <c r="H144" s="2" t="inlineStr">
        <is>
          <t>HIGH_CONFIDENCE</t>
        </is>
      </c>
      <c r="I144" s="2" t="inlineStr"/>
      <c r="J144" s="2" t="inlineStr">
        <is>
          <t>Vorsprünge und offene Fugen im Bereich der Türschwelle beseitigen</t>
        </is>
      </c>
      <c r="K144" s="2" t="inlineStr">
        <is>
          <t>Fläche unterhalb der Schachttürschwelle normgerecht ergänzen (Höhe, Breite, Festigkeit, Abschrägung)</t>
        </is>
      </c>
      <c r="L144" s="2" t="inlineStr"/>
      <c r="M144" s="3" t="n"/>
      <c r="N144" s="3" t="n"/>
    </row>
    <row r="145">
      <c r="A145" s="4" t="inlineStr">
        <is>
          <t>MF-T07</t>
        </is>
      </c>
      <c r="B145" s="4" t="inlineStr">
        <is>
          <t>Unzureichende Fläche unterhalb der Schachttürschwelle</t>
        </is>
      </c>
      <c r="C145" s="4" t="inlineStr">
        <is>
          <t>Türen und Verriegelung</t>
        </is>
      </c>
      <c r="D145" s="4" t="inlineStr">
        <is>
          <t>MF-T07-R3</t>
        </is>
      </c>
      <c r="E145" s="4" t="n">
        <v>1</v>
      </c>
      <c r="F145" s="4" t="inlineStr">
        <is>
          <t>7.12 Schachtwand unterhalb der Schachttürschwelle (vertikale Fläche zur Entriegelungszone) beantwortet</t>
        </is>
      </c>
      <c r="G145" s="4" t="inlineStr">
        <is>
          <t>Kein Risiko</t>
        </is>
      </c>
      <c r="H145" s="4" t="inlineStr">
        <is>
          <t>HIGH_CONFIDENCE</t>
        </is>
      </c>
      <c r="I145" s="4" t="inlineStr"/>
      <c r="J145" s="4" t="inlineStr">
        <is>
          <t>Zustand erhalten; bei der wiederkehrenden Prüfung und der Betreiberkontrolle erneut prüfen</t>
        </is>
      </c>
      <c r="K145" s="4" t="inlineStr"/>
      <c r="L145" s="4" t="inlineStr">
        <is>
          <t>Kein Risiko: keine Mangelregel trifft zu, alle Pflichtfragen beantwortet.</t>
        </is>
      </c>
      <c r="M145" s="3" t="n"/>
      <c r="N145" s="3" t="n"/>
    </row>
    <row r="146">
      <c r="A146" s="2" t="inlineStr">
        <is>
          <t>MF-T08</t>
        </is>
      </c>
      <c r="B146" s="2" t="inlineStr">
        <is>
          <t>Türblatt kann aus der Führung fallen (fehlende Rückhalteeinrichtung)</t>
        </is>
      </c>
      <c r="C146" s="2" t="inlineStr">
        <is>
          <t>Türen und Verriegelung</t>
        </is>
      </c>
      <c r="D146" s="2" t="inlineStr">
        <is>
          <t>MF-T08-R1</t>
        </is>
      </c>
      <c r="E146" s="2" t="n">
        <v>200</v>
      </c>
      <c r="F146" s="2" t="inlineStr">
        <is>
          <t>(7.13 Rückhalteeinrichtungen an den horizontal bewegten Schacht-Schiebetüren vorhanden (Türblatt bleibt in seiner Lage, wenn ein Führungselement versagt)? = Nein UND 7.13a Führungselemente, Hänger und Befestigungen der Türblätter unbeschädigt und ohne auffälliges Spiel? = Nein)</t>
        </is>
      </c>
      <c r="G146" s="2" t="inlineStr">
        <is>
          <t>Hoch</t>
        </is>
      </c>
      <c r="H146" s="2" t="inlineStr">
        <is>
          <t>HIGH_CONFIDENCE</t>
        </is>
      </c>
      <c r="I146" s="2" t="inlineStr"/>
      <c r="J146" s="2" t="inlineStr">
        <is>
          <t>Beschädigte Führungselemente und Aufhängungen sofort instand setzen; Tür bis dahin außer Betrieb nehmen</t>
        </is>
      </c>
      <c r="K146" s="2" t="inlineStr">
        <is>
          <t>Rückhalteeinrichtungen nach EN 81-20 5.3.5.3.2 nachrüsten</t>
        </is>
      </c>
      <c r="L146" s="2" t="inlineStr"/>
      <c r="M146" s="3" t="n"/>
      <c r="N146" s="3" t="n"/>
    </row>
    <row r="147">
      <c r="A147" s="4" t="inlineStr">
        <is>
          <t>MF-T08</t>
        </is>
      </c>
      <c r="B147" s="4" t="inlineStr">
        <is>
          <t>Türblatt kann aus der Führung fallen (fehlende Rückhalteeinrichtung)</t>
        </is>
      </c>
      <c r="C147" s="4" t="inlineStr">
        <is>
          <t>Türen und Verriegelung</t>
        </is>
      </c>
      <c r="D147" s="4" t="inlineStr">
        <is>
          <t>MF-T08-R2</t>
        </is>
      </c>
      <c r="E147" s="4" t="n">
        <v>100</v>
      </c>
      <c r="F147" s="4" t="inlineStr">
        <is>
          <t>7.13 Rückhalteeinrichtungen an den horizontal bewegten Schacht-Schiebetüren vorhanden (Türblatt bleibt in seiner Lage, wenn ein Führungselement versagt)? = Nein</t>
        </is>
      </c>
      <c r="G147" s="4" t="inlineStr">
        <is>
          <t>Mittel</t>
        </is>
      </c>
      <c r="H147" s="4" t="inlineStr">
        <is>
          <t>HIGH_CONFIDENCE</t>
        </is>
      </c>
      <c r="I147" s="4" t="inlineStr"/>
      <c r="J147" s="4" t="inlineStr">
        <is>
          <t>Führung, Hänger und Befestigung der Türblätter in die wiederkehrende Prüfung aufnehmen</t>
        </is>
      </c>
      <c r="K147" s="4" t="inlineStr">
        <is>
          <t>Rückhalteeinrichtungen nach EN 81-20 5.3.5.3.2 nachrüsten</t>
        </is>
      </c>
      <c r="L147" s="4" t="inlineStr"/>
      <c r="M147" s="3" t="n"/>
      <c r="N147" s="3" t="n"/>
    </row>
    <row r="148">
      <c r="A148" s="2" t="inlineStr">
        <is>
          <t>MF-T08</t>
        </is>
      </c>
      <c r="B148" s="2" t="inlineStr">
        <is>
          <t>Türblatt kann aus der Führung fallen (fehlende Rückhalteeinrichtung)</t>
        </is>
      </c>
      <c r="C148" s="2" t="inlineStr">
        <is>
          <t>Türen und Verriegelung</t>
        </is>
      </c>
      <c r="D148" s="2" t="inlineStr">
        <is>
          <t>MF-T08-R3</t>
        </is>
      </c>
      <c r="E148" s="2" t="n">
        <v>90</v>
      </c>
      <c r="F148" s="2" t="inlineStr">
        <is>
          <t>7.13a Führungselemente, Hänger und Befestigungen der Türblätter unbeschädigt und ohne auffälliges Spiel? = Nein</t>
        </is>
      </c>
      <c r="G148" s="2" t="inlineStr">
        <is>
          <t>Mittel</t>
        </is>
      </c>
      <c r="H148" s="2" t="inlineStr">
        <is>
          <t>HIGH_CONFIDENCE</t>
        </is>
      </c>
      <c r="I148" s="2" t="inlineStr"/>
      <c r="J148" s="2" t="inlineStr">
        <is>
          <t>Beschädigte Führungselemente, Hänger und Befestigungen instand setzen</t>
        </is>
      </c>
      <c r="K148" s="2" t="inlineStr">
        <is>
          <t>Türführungen in den Wartungsplan aufnehmen und regelmäßig nachstellen</t>
        </is>
      </c>
      <c r="L148" s="2" t="inlineStr"/>
      <c r="M148" s="3" t="n"/>
      <c r="N148" s="3" t="n"/>
    </row>
    <row r="149">
      <c r="A149" s="4" t="inlineStr">
        <is>
          <t>MF-T08</t>
        </is>
      </c>
      <c r="B149" s="4" t="inlineStr">
        <is>
          <t>Türblatt kann aus der Führung fallen (fehlende Rückhalteeinrichtung)</t>
        </is>
      </c>
      <c r="C149" s="4" t="inlineStr">
        <is>
          <t>Türen und Verriegelung</t>
        </is>
      </c>
      <c r="D149" s="4" t="inlineStr">
        <is>
          <t>MF-T08-R4</t>
        </is>
      </c>
      <c r="E149" s="4" t="n">
        <v>1</v>
      </c>
      <c r="F149" s="4" t="inlineStr">
        <is>
          <t>7.13 Rückhalteeinrichtungen an den horizontal bewegten Schacht-Schiebetüren vorhanden (Türblatt bleibt in seiner Lage, wenn ein Führungselement versagt)? beantwortet</t>
        </is>
      </c>
      <c r="G149" s="4" t="inlineStr">
        <is>
          <t>Kein Risiko</t>
        </is>
      </c>
      <c r="H149" s="4" t="inlineStr">
        <is>
          <t>HIGH_CONFIDENCE</t>
        </is>
      </c>
      <c r="I149" s="4" t="inlineStr"/>
      <c r="J149" s="4" t="inlineStr">
        <is>
          <t>Zustand erhalten; bei der wiederkehrenden Prüfung und der Betreiberkontrolle erneut prüfen</t>
        </is>
      </c>
      <c r="K149" s="4" t="inlineStr"/>
      <c r="L149" s="4" t="inlineStr">
        <is>
          <t>Kein Risiko: keine Mangelregel trifft zu, alle Pflichtfragen beantwortet.</t>
        </is>
      </c>
      <c r="M149" s="3" t="n"/>
      <c r="N149" s="3" t="n"/>
    </row>
    <row r="150">
      <c r="A150" s="2" t="inlineStr">
        <is>
          <t>MF-T09</t>
        </is>
      </c>
      <c r="B150" s="2" t="inlineStr">
        <is>
          <t>Unzureichende Verbindung der Türblätter mehrteiliger Schachttüren</t>
        </is>
      </c>
      <c r="C150" s="2" t="inlineStr">
        <is>
          <t>Türen und Verriegelung</t>
        </is>
      </c>
      <c r="D150" s="2" t="inlineStr">
        <is>
          <t>MF-T09-R1</t>
        </is>
      </c>
      <c r="E150" s="2" t="n">
        <v>200</v>
      </c>
      <c r="F150" s="2" t="inlineStr">
        <is>
          <t>7.14a Verbindung der Türblätter mehrteiliger Schachttüren = „Keine wirksame Verbindung; nur ein Türblatt verriegelt"</t>
        </is>
      </c>
      <c r="G150" s="2" t="inlineStr">
        <is>
          <t>Hoch</t>
        </is>
      </c>
      <c r="H150" s="2" t="inlineStr">
        <is>
          <t>HIGH_CONFIDENCE</t>
        </is>
      </c>
      <c r="I150" s="2" t="inlineStr"/>
      <c r="J150" s="2" t="inlineStr">
        <is>
          <t>Tür außer Betrieb nehmen oder alle Türblätter verriegeln, bis die Verbindung hergestellt ist</t>
        </is>
      </c>
      <c r="K150" s="2" t="inlineStr">
        <is>
          <t>Türblätter mechanisch verbinden oder alle Türblätter verriegeln und überwachen (EN 81-20 5.3.11)</t>
        </is>
      </c>
      <c r="L150" s="2" t="inlineStr"/>
      <c r="M150" s="3" t="n"/>
      <c r="N150" s="3" t="n"/>
    </row>
    <row r="151">
      <c r="A151" s="4" t="inlineStr">
        <is>
          <t>MF-T09</t>
        </is>
      </c>
      <c r="B151" s="4" t="inlineStr">
        <is>
          <t>Unzureichende Verbindung der Türblätter mehrteiliger Schachttüren</t>
        </is>
      </c>
      <c r="C151" s="4" t="inlineStr">
        <is>
          <t>Türen und Verriegelung</t>
        </is>
      </c>
      <c r="D151" s="4" t="inlineStr">
        <is>
          <t>MF-T09-R2</t>
        </is>
      </c>
      <c r="E151" s="4" t="n">
        <v>150</v>
      </c>
      <c r="F151" s="4" t="inlineStr">
        <is>
          <t>7.14a Verbindung der Türblätter mehrteiliger Schachttüren = „Mittelbar verbunden, Schließstellung der übrigen Türblätter nicht überwacht"</t>
        </is>
      </c>
      <c r="G151" s="4" t="inlineStr">
        <is>
          <t>Hoch</t>
        </is>
      </c>
      <c r="H151" s="4" t="inlineStr">
        <is>
          <t>HIGH_CONFIDENCE</t>
        </is>
      </c>
      <c r="I151" s="4" t="inlineStr"/>
      <c r="J151" s="4" t="inlineStr">
        <is>
          <t>Griffe an den nicht verriegelten Türblättern entfernen; Schließstellung bei jeder Wartung prüfen</t>
        </is>
      </c>
      <c r="K151" s="4" t="inlineStr">
        <is>
          <t>Schließstellung der nicht verriegelten Türblätter durch eine elektrische Sicherheitseinrichtung überwachen (EN 81-20 5.3.11.2)</t>
        </is>
      </c>
      <c r="L151" s="4" t="inlineStr"/>
      <c r="M151" s="3" t="n"/>
      <c r="N151" s="3" t="n"/>
    </row>
    <row r="152">
      <c r="A152" s="2" t="inlineStr">
        <is>
          <t>MF-T09</t>
        </is>
      </c>
      <c r="B152" s="2" t="inlineStr">
        <is>
          <t>Unzureichende Verbindung der Türblätter mehrteiliger Schachttüren</t>
        </is>
      </c>
      <c r="C152" s="2" t="inlineStr">
        <is>
          <t>Türen und Verriegelung</t>
        </is>
      </c>
      <c r="D152" s="2" t="inlineStr">
        <is>
          <t>MF-T09-R3</t>
        </is>
      </c>
      <c r="E152" s="2" t="n">
        <v>1</v>
      </c>
      <c r="F152" s="2" t="inlineStr">
        <is>
          <t>7.14a Verbindung der Türblätter mehrteiliger Schachttüren beantwortet</t>
        </is>
      </c>
      <c r="G152" s="2" t="inlineStr">
        <is>
          <t>Kein Risiko</t>
        </is>
      </c>
      <c r="H152" s="2" t="inlineStr">
        <is>
          <t>HIGH_CONFIDENCE</t>
        </is>
      </c>
      <c r="I152" s="2" t="inlineStr"/>
      <c r="J152" s="2" t="inlineStr">
        <is>
          <t>Zustand erhalten; bei der wiederkehrenden Prüfung und der Betreiberkontrolle erneut prüfen</t>
        </is>
      </c>
      <c r="K152" s="2" t="inlineStr"/>
      <c r="L152" s="2" t="inlineStr">
        <is>
          <t>Kein Risiko: keine Mangelregel trifft zu, alle Pflichtfragen beantwortet.</t>
        </is>
      </c>
      <c r="M152" s="3" t="n"/>
      <c r="N152" s="3" t="n"/>
    </row>
    <row r="153">
      <c r="A153" s="4" t="inlineStr">
        <is>
          <t>MF-K01</t>
        </is>
      </c>
      <c r="B153" s="4" t="inlineStr">
        <is>
          <t>Fehlende oder unzulängliche Notrufeinrichtung im Fahrkorb</t>
        </is>
      </c>
      <c r="C153" s="4" t="inlineStr">
        <is>
          <t>Notruf und Personenbefreiung</t>
        </is>
      </c>
      <c r="D153" s="4" t="inlineStr">
        <is>
          <t>MF-K01-R1</t>
        </is>
      </c>
      <c r="E153" s="4" t="n">
        <v>100</v>
      </c>
      <c r="F153" s="4" t="inlineStr">
        <is>
          <t>8.1 Notrufeinrichtung im Fahrkorb vorhanden? = Nein</t>
        </is>
      </c>
      <c r="G153" s="4" t="inlineStr">
        <is>
          <t>Hoch</t>
        </is>
      </c>
      <c r="H153" s="4" t="inlineStr">
        <is>
          <t>HIGH_CONFIDENCE</t>
        </is>
      </c>
      <c r="I153" s="4" t="inlineStr"/>
      <c r="J153" s="4" t="inlineStr">
        <is>
          <t>Aufzug für Personentransport sperren</t>
        </is>
      </c>
      <c r="K153" s="4" t="inlineStr">
        <is>
          <t>Notrufsystem mit Sprechverbindung installieren</t>
        </is>
      </c>
      <c r="L153" s="4" t="inlineStr"/>
      <c r="M153" s="3" t="n"/>
      <c r="N153" s="3" t="n"/>
    </row>
    <row r="154">
      <c r="A154" s="2" t="inlineStr">
        <is>
          <t>MF-K01</t>
        </is>
      </c>
      <c r="B154" s="2" t="inlineStr">
        <is>
          <t>Fehlende oder unzulängliche Notrufeinrichtung im Fahrkorb</t>
        </is>
      </c>
      <c r="C154" s="2" t="inlineStr">
        <is>
          <t>Notruf und Personenbefreiung</t>
        </is>
      </c>
      <c r="D154" s="2" t="inlineStr">
        <is>
          <t>MF-K01-R2</t>
        </is>
      </c>
      <c r="E154" s="2" t="n">
        <v>100</v>
      </c>
      <c r="F154" s="2" t="inlineStr">
        <is>
          <t>8.2 Art der Notrufeinrichtung = „Klingel im Schacht ohne Weiterleitung"</t>
        </is>
      </c>
      <c r="G154" s="2" t="inlineStr">
        <is>
          <t>Mittel</t>
        </is>
      </c>
      <c r="H154" s="2" t="inlineStr">
        <is>
          <t>HIGH_CONFIDENCE</t>
        </is>
      </c>
      <c r="I154" s="2" t="inlineStr"/>
      <c r="J154" s="2" t="inlineStr">
        <is>
          <t>Aufzug nur für unterwiesene Personen freigeben und für sonstigen Personentransport sperren</t>
        </is>
      </c>
      <c r="K154" s="2" t="inlineStr">
        <is>
          <t>Notrufsystem mit Sprechverbindung installieren</t>
        </is>
      </c>
      <c r="L154" s="2" t="inlineStr"/>
      <c r="M154" s="3" t="n"/>
      <c r="N154" s="3" t="n"/>
    </row>
    <row r="155">
      <c r="A155" s="4" t="inlineStr">
        <is>
          <t>MF-K01</t>
        </is>
      </c>
      <c r="B155" s="4" t="inlineStr">
        <is>
          <t>Fehlende oder unzulängliche Notrufeinrichtung im Fahrkorb</t>
        </is>
      </c>
      <c r="C155" s="4" t="inlineStr">
        <is>
          <t>Notruf und Personenbefreiung</t>
        </is>
      </c>
      <c r="D155" s="4" t="inlineStr">
        <is>
          <t>MF-K01-R3</t>
        </is>
      </c>
      <c r="E155" s="4" t="n">
        <v>100</v>
      </c>
      <c r="F155" s="4" t="inlineStr">
        <is>
          <t>8.2 Art der Notrufeinrichtung = „Sprechverbindung oder Klingel zu nicht ständig besetzter Stelle"</t>
        </is>
      </c>
      <c r="G155" s="4" t="inlineStr">
        <is>
          <t>Mittel</t>
        </is>
      </c>
      <c r="H155" s="4" t="inlineStr">
        <is>
          <t>HIGH_CONFIDENCE</t>
        </is>
      </c>
      <c r="I155" s="4" t="inlineStr"/>
      <c r="J155" s="4" t="inlineStr">
        <is>
          <t>Aufzug nur für unterwiesene Personen freigeben und für sonstigen Personentransport sperren</t>
        </is>
      </c>
      <c r="K155" s="4" t="inlineStr">
        <is>
          <t>Notrufsystem mit Sprechverbindung installieren</t>
        </is>
      </c>
      <c r="L155" s="4" t="inlineStr"/>
      <c r="M155" s="3" t="n"/>
      <c r="N155" s="3" t="n"/>
    </row>
    <row r="156">
      <c r="A156" s="2" t="inlineStr">
        <is>
          <t>MF-K01</t>
        </is>
      </c>
      <c r="B156" s="2" t="inlineStr">
        <is>
          <t>Fehlende oder unzulängliche Notrufeinrichtung im Fahrkorb</t>
        </is>
      </c>
      <c r="C156" s="2" t="inlineStr">
        <is>
          <t>Notruf und Personenbefreiung</t>
        </is>
      </c>
      <c r="D156" s="2" t="inlineStr">
        <is>
          <t>MF-K01-R4</t>
        </is>
      </c>
      <c r="E156" s="2" t="n">
        <v>100</v>
      </c>
      <c r="F156" s="2" t="inlineStr">
        <is>
          <t>8.2 Art der Notrufeinrichtung = „Klingel zu ständig besetzter Stelle"</t>
        </is>
      </c>
      <c r="G156" s="2" t="inlineStr">
        <is>
          <t>Mittel</t>
        </is>
      </c>
      <c r="H156" s="2" t="inlineStr">
        <is>
          <t>HIGH_CONFIDENCE</t>
        </is>
      </c>
      <c r="I156" s="2" t="inlineStr"/>
      <c r="J156" s="2" t="inlineStr">
        <is>
          <t>Aufzug nur für unterwiesene Personen freigeben und für sonstigen Personentransport sperren</t>
        </is>
      </c>
      <c r="K156" s="2" t="inlineStr">
        <is>
          <t>Notrufsystem mit Sprechverbindung installieren</t>
        </is>
      </c>
      <c r="L156" s="2" t="inlineStr"/>
      <c r="M156" s="3" t="n"/>
      <c r="N156" s="3" t="n"/>
    </row>
    <row r="157">
      <c r="A157" s="4" t="inlineStr">
        <is>
          <t>MF-K01</t>
        </is>
      </c>
      <c r="B157" s="4" t="inlineStr">
        <is>
          <t>Fehlende oder unzulängliche Notrufeinrichtung im Fahrkorb</t>
        </is>
      </c>
      <c r="C157" s="4" t="inlineStr">
        <is>
          <t>Notruf und Personenbefreiung</t>
        </is>
      </c>
      <c r="D157" s="4" t="inlineStr">
        <is>
          <t>MF-K01-R5</t>
        </is>
      </c>
      <c r="E157" s="4" t="n">
        <v>100</v>
      </c>
      <c r="F157" s="4" t="inlineStr">
        <is>
          <t>8.3 Notruf auf eine rund um die Uhr besetzte Stelle aufgeschaltet? = Nein</t>
        </is>
      </c>
      <c r="G157" s="4" t="inlineStr">
        <is>
          <t>Mittel</t>
        </is>
      </c>
      <c r="H157" s="4" t="inlineStr">
        <is>
          <t>INFERRED</t>
        </is>
      </c>
      <c r="I157" s="4" t="inlineStr"/>
      <c r="J157" s="4" t="inlineStr">
        <is>
          <t>Betreiber informieren; Erreichbarkeit der Notrufstelle außerhalb der Betriebszeiten regeln</t>
        </is>
      </c>
      <c r="K157" s="4" t="inlineStr">
        <is>
          <t>Notruf auf einen 24 h besetzten Notrufdienst (EN 81-28) aufschalten</t>
        </is>
      </c>
      <c r="L157" s="4" t="inlineStr">
        <is>
          <t>Entschieden 2026-09-02: K-K01.</t>
        </is>
      </c>
      <c r="M157" s="3" t="n"/>
      <c r="N157" s="3" t="n"/>
    </row>
    <row r="158">
      <c r="A158" s="2" t="inlineStr">
        <is>
          <t>MF-K01</t>
        </is>
      </c>
      <c r="B158" s="2" t="inlineStr">
        <is>
          <t>Fehlende oder unzulängliche Notrufeinrichtung im Fahrkorb</t>
        </is>
      </c>
      <c r="C158" s="2" t="inlineStr">
        <is>
          <t>Notruf und Personenbefreiung</t>
        </is>
      </c>
      <c r="D158" s="2" t="inlineStr">
        <is>
          <t>MF-K01-R6</t>
        </is>
      </c>
      <c r="E158" s="2" t="n">
        <v>1</v>
      </c>
      <c r="F158" s="2" t="inlineStr">
        <is>
          <t>8.1 Notrufeinrichtung im Fahrkorb vorhanden? beantwortet</t>
        </is>
      </c>
      <c r="G158" s="2" t="inlineStr">
        <is>
          <t>Kein Risiko</t>
        </is>
      </c>
      <c r="H158" s="2" t="inlineStr">
        <is>
          <t>HIGH_CONFIDENCE</t>
        </is>
      </c>
      <c r="I158" s="2" t="inlineStr"/>
      <c r="J158" s="2" t="inlineStr">
        <is>
          <t>Zustand erhalten; bei der wiederkehrenden Prüfung und der Betreiberkontrolle erneut prüfen</t>
        </is>
      </c>
      <c r="K158" s="2" t="inlineStr"/>
      <c r="L158" s="2" t="inlineStr">
        <is>
          <t>Kein Risiko: keine Mangelregel trifft zu, alle Pflichtfragen beantwortet.</t>
        </is>
      </c>
      <c r="M158" s="3" t="n"/>
      <c r="N158" s="3" t="n"/>
    </row>
    <row r="159">
      <c r="A159" s="4" t="inlineStr">
        <is>
          <t>MF-K02</t>
        </is>
      </c>
      <c r="B159" s="4" t="inlineStr">
        <is>
          <t>Fehlende oder unzulängliche Notbeleuchtung im Fahrkorb</t>
        </is>
      </c>
      <c r="C159" s="4" t="inlineStr">
        <is>
          <t>Beleuchtung</t>
        </is>
      </c>
      <c r="D159" s="4" t="inlineStr">
        <is>
          <t>MF-K02-R1</t>
        </is>
      </c>
      <c r="E159" s="4" t="n">
        <v>100</v>
      </c>
      <c r="F159" s="4" t="inlineStr">
        <is>
          <t>8.5 Notbeleuchtung im Fahrkorb = „Keine Notbeleuchtung"</t>
        </is>
      </c>
      <c r="G159" s="4" t="inlineStr">
        <is>
          <t>Hoch</t>
        </is>
      </c>
      <c r="H159" s="4" t="inlineStr">
        <is>
          <t>HIGH_CONFIDENCE</t>
        </is>
      </c>
      <c r="I159" s="4" t="inlineStr"/>
      <c r="J159" s="4" t="inlineStr">
        <is>
          <t>Erhöhte Vorsicht</t>
        </is>
      </c>
      <c r="K159" s="4" t="inlineStr">
        <is>
          <t>Beleuchtung nachrüsten</t>
        </is>
      </c>
      <c r="L159" s="4" t="inlineStr">
        <is>
          <t>Entschieden 2026-09-02: K-K02.</t>
        </is>
      </c>
      <c r="M159" s="3" t="n"/>
      <c r="N159" s="3" t="n"/>
    </row>
    <row r="160">
      <c r="A160" s="2" t="inlineStr">
        <is>
          <t>MF-K02</t>
        </is>
      </c>
      <c r="B160" s="2" t="inlineStr">
        <is>
          <t>Fehlende oder unzulängliche Notbeleuchtung im Fahrkorb</t>
        </is>
      </c>
      <c r="C160" s="2" t="inlineStr">
        <is>
          <t>Beleuchtung</t>
        </is>
      </c>
      <c r="D160" s="2" t="inlineStr">
        <is>
          <t>MF-K02-R2</t>
        </is>
      </c>
      <c r="E160" s="2" t="n">
        <v>100</v>
      </c>
      <c r="F160" s="2" t="inlineStr">
        <is>
          <t>8.5 Notbeleuchtung im Fahrkorb = „Keine Notbeleuchtung, aber beleuchteter Notruftaster"</t>
        </is>
      </c>
      <c r="G160" s="2" t="inlineStr">
        <is>
          <t>Kein Risiko</t>
        </is>
      </c>
      <c r="H160" s="2" t="inlineStr">
        <is>
          <t>HIGH_CONFIDENCE</t>
        </is>
      </c>
      <c r="I160" s="2" t="inlineStr"/>
      <c r="J160" s="2" t="inlineStr"/>
      <c r="K160" s="2" t="inlineStr"/>
      <c r="L160" s="2" t="inlineStr">
        <is>
          <t>App K10: Leuchte ohne Netzersatzfunktion, jedoch beleuchteter Notruf-Taster = grün</t>
        </is>
      </c>
      <c r="M160" s="3" t="n"/>
      <c r="N160" s="3" t="n"/>
    </row>
    <row r="161">
      <c r="A161" s="4" t="inlineStr">
        <is>
          <t>MF-K02</t>
        </is>
      </c>
      <c r="B161" s="4" t="inlineStr">
        <is>
          <t>Fehlende oder unzulängliche Notbeleuchtung im Fahrkorb</t>
        </is>
      </c>
      <c r="C161" s="4" t="inlineStr">
        <is>
          <t>Beleuchtung</t>
        </is>
      </c>
      <c r="D161" s="4" t="inlineStr">
        <is>
          <t>MF-K02-R3</t>
        </is>
      </c>
      <c r="E161" s="4" t="n">
        <v>1</v>
      </c>
      <c r="F161" s="4" t="inlineStr">
        <is>
          <t>8.5 Notbeleuchtung im Fahrkorb beantwortet</t>
        </is>
      </c>
      <c r="G161" s="4" t="inlineStr">
        <is>
          <t>Kein Risiko</t>
        </is>
      </c>
      <c r="H161" s="4" t="inlineStr">
        <is>
          <t>HIGH_CONFIDENCE</t>
        </is>
      </c>
      <c r="I161" s="4" t="inlineStr"/>
      <c r="J161" s="4" t="inlineStr">
        <is>
          <t>Zustand erhalten; bei der wiederkehrenden Prüfung und der Betreiberkontrolle erneut prüfen</t>
        </is>
      </c>
      <c r="K161" s="4" t="inlineStr"/>
      <c r="L161" s="4" t="inlineStr">
        <is>
          <t>Kein Risiko: keine Mangelregel trifft zu, alle Pflichtfragen beantwortet.</t>
        </is>
      </c>
      <c r="M161" s="3" t="n"/>
      <c r="N161" s="3" t="n"/>
    </row>
    <row r="162">
      <c r="A162" s="2" t="inlineStr">
        <is>
          <t>MF-K03</t>
        </is>
      </c>
      <c r="B162" s="2" t="inlineStr">
        <is>
          <t>Unzureichende Haltegenauigkeit / Stufenbildung an den Haltestellen</t>
        </is>
      </c>
      <c r="C162" s="2" t="inlineStr">
        <is>
          <t>Antrieb, Bremse und Hydraulik</t>
        </is>
      </c>
      <c r="D162" s="2" t="inlineStr">
        <is>
          <t>MF-K03-R1</t>
        </is>
      </c>
      <c r="E162" s="2" t="n">
        <v>300</v>
      </c>
      <c r="F162" s="2" t="inlineStr">
        <is>
          <t>8.10 Größte gemessene Stufenbildung / Haltegenauigkeit [mm] &gt; 20</t>
        </is>
      </c>
      <c r="G162" s="2" t="inlineStr">
        <is>
          <t>Hoch</t>
        </is>
      </c>
      <c r="H162" s="2" t="inlineStr">
        <is>
          <t>HIGH_CONFIDENCE</t>
        </is>
      </c>
      <c r="I162" s="2" t="inlineStr"/>
      <c r="J162" s="2" t="inlineStr">
        <is>
          <t>Aufzug nur für unterwiesene Personen freigeben und für sonstigen Personentransport sperren</t>
        </is>
      </c>
      <c r="K162" s="2" t="inlineStr">
        <is>
          <t>Motrorregelung oder andere technische Maßnahme nachrüsten</t>
        </is>
      </c>
      <c r="L162" s="2" t="inlineStr"/>
      <c r="M162" s="3" t="n"/>
      <c r="N162" s="3" t="n"/>
    </row>
    <row r="163">
      <c r="A163" s="4" t="inlineStr">
        <is>
          <t>MF-K03</t>
        </is>
      </c>
      <c r="B163" s="4" t="inlineStr">
        <is>
          <t>Unzureichende Haltegenauigkeit / Stufenbildung an den Haltestellen</t>
        </is>
      </c>
      <c r="C163" s="4" t="inlineStr">
        <is>
          <t>Antrieb, Bremse und Hydraulik</t>
        </is>
      </c>
      <c r="D163" s="4" t="inlineStr">
        <is>
          <t>MF-K03-R2</t>
        </is>
      </c>
      <c r="E163" s="4" t="n">
        <v>250</v>
      </c>
      <c r="F163" s="4" t="inlineStr">
        <is>
          <t>(8.10 Größte gemessene Stufenbildung / Haltegenauigkeit [mm] &gt; 10 UND 4.9 Nutzung durch Personen mit eingeschränkter Mobilität (Rollstuhl, Rollator, Sehbehinderung) zu erwarten? = Ja)</t>
        </is>
      </c>
      <c r="G163" s="4" t="inlineStr">
        <is>
          <t>Hoch</t>
        </is>
      </c>
      <c r="H163" s="4" t="inlineStr">
        <is>
          <t>INFERRED</t>
        </is>
      </c>
      <c r="I163" s="4" t="inlineStr"/>
      <c r="J163" s="4" t="inlineStr">
        <is>
          <t>Aufzug nur für unterwiesene Personen freigeben und für sonstigen Personentransport sperren</t>
        </is>
      </c>
      <c r="K163" s="4" t="inlineStr">
        <is>
          <t>Motrorregelung oder andere technische Maßnahme nachrüsten</t>
        </is>
      </c>
      <c r="L163" s="4" t="inlineStr">
        <is>
          <t>Entschieden 2026-09-02: K-K03.</t>
        </is>
      </c>
      <c r="M163" s="3" t="n"/>
      <c r="N163" s="3" t="n"/>
    </row>
    <row r="164">
      <c r="A164" s="2" t="inlineStr">
        <is>
          <t>MF-K03</t>
        </is>
      </c>
      <c r="B164" s="2" t="inlineStr">
        <is>
          <t>Unzureichende Haltegenauigkeit / Stufenbildung an den Haltestellen</t>
        </is>
      </c>
      <c r="C164" s="2" t="inlineStr">
        <is>
          <t>Antrieb, Bremse und Hydraulik</t>
        </is>
      </c>
      <c r="D164" s="2" t="inlineStr">
        <is>
          <t>MF-K03-R3</t>
        </is>
      </c>
      <c r="E164" s="2" t="n">
        <v>200</v>
      </c>
      <c r="F164" s="2" t="inlineStr">
        <is>
          <t>8.10 Größte gemessene Stufenbildung / Haltegenauigkeit [mm] &gt; 10</t>
        </is>
      </c>
      <c r="G164" s="2" t="inlineStr">
        <is>
          <t>Mittel</t>
        </is>
      </c>
      <c r="H164" s="2" t="inlineStr">
        <is>
          <t>HIGH_CONFIDENCE</t>
        </is>
      </c>
      <c r="I164" s="2" t="inlineStr"/>
      <c r="J164" s="2" t="inlineStr">
        <is>
          <t>Aufzug/Bremse/Motorregelung einstellen</t>
        </is>
      </c>
      <c r="K164" s="2" t="inlineStr"/>
      <c r="L164" s="2" t="inlineStr">
        <is>
          <t>Entscheidung 02.09.2026: kein Warnhinweis als Kompensation, bleibt Mittel. Entschieden 2026-09-02: K-K10.</t>
        </is>
      </c>
      <c r="M164" s="3" t="n"/>
      <c r="N164" s="3" t="n"/>
    </row>
    <row r="165">
      <c r="A165" s="4" t="inlineStr">
        <is>
          <t>MF-K03</t>
        </is>
      </c>
      <c r="B165" s="4" t="inlineStr">
        <is>
          <t>Unzureichende Haltegenauigkeit / Stufenbildung an den Haltestellen</t>
        </is>
      </c>
      <c r="C165" s="4" t="inlineStr">
        <is>
          <t>Antrieb, Bremse und Hydraulik</t>
        </is>
      </c>
      <c r="D165" s="4" t="inlineStr">
        <is>
          <t>MF-K03-R4</t>
        </is>
      </c>
      <c r="E165" s="4" t="n">
        <v>1</v>
      </c>
      <c r="F165" s="4" t="inlineStr">
        <is>
          <t>8.10 Größte gemessene Stufenbildung / Haltegenauigkeit [mm] beantwortet</t>
        </is>
      </c>
      <c r="G165" s="4" t="inlineStr">
        <is>
          <t>Kein Risiko</t>
        </is>
      </c>
      <c r="H165" s="4" t="inlineStr">
        <is>
          <t>HIGH_CONFIDENCE</t>
        </is>
      </c>
      <c r="I165" s="4" t="inlineStr"/>
      <c r="J165" s="4" t="inlineStr">
        <is>
          <t>Zustand erhalten; bei der wiederkehrenden Prüfung und der Betreiberkontrolle erneut prüfen</t>
        </is>
      </c>
      <c r="K165" s="4" t="inlineStr"/>
      <c r="L165" s="4" t="inlineStr">
        <is>
          <t>Kein Risiko: keine Mangelregel trifft zu, alle Pflichtfragen beantwortet.</t>
        </is>
      </c>
      <c r="M165" s="3" t="n"/>
      <c r="N165" s="3" t="n"/>
    </row>
    <row r="166">
      <c r="A166" s="2" t="inlineStr">
        <is>
          <t>MF-K04</t>
        </is>
      </c>
      <c r="B166" s="2" t="inlineStr">
        <is>
          <t>Unzureichende Fahrkorbtürschürze</t>
        </is>
      </c>
      <c r="C166" s="2" t="inlineStr">
        <is>
          <t>Fahrkorb und Nutzung</t>
        </is>
      </c>
      <c r="D166" s="2" t="inlineStr">
        <is>
          <t>MF-K04-R1</t>
        </is>
      </c>
      <c r="E166" s="2" t="n">
        <v>300</v>
      </c>
      <c r="F166" s="2" t="inlineStr">
        <is>
          <t>(8.12 Länge der Fahrkorbtürschürze [mm] &lt; 300 UND 8.13 Personenbefreiung ausschließlich durch fachkundige Personen (Betriebsanweisung, keine Selbstbefreiung durch Aufzugswärter)? = Ja)</t>
        </is>
      </c>
      <c r="G166" s="2" t="inlineStr">
        <is>
          <t>Mittel</t>
        </is>
      </c>
      <c r="H166" s="2" t="inlineStr">
        <is>
          <t>HIGH_CONFIDENCE</t>
        </is>
      </c>
      <c r="I166" s="2" t="inlineStr"/>
      <c r="J166" s="2" t="inlineStr">
        <is>
          <t>Erhöhte Vorsicht</t>
        </is>
      </c>
      <c r="K166" s="2" t="inlineStr">
        <is>
          <t>Kabinentürschürze nachrüsten</t>
        </is>
      </c>
      <c r="L166" s="2" t="inlineStr"/>
      <c r="M166" s="3" t="n"/>
      <c r="N166" s="3" t="n"/>
    </row>
    <row r="167">
      <c r="A167" s="4" t="inlineStr">
        <is>
          <t>MF-K04</t>
        </is>
      </c>
      <c r="B167" s="4" t="inlineStr">
        <is>
          <t>Unzureichende Fahrkorbtürschürze</t>
        </is>
      </c>
      <c r="C167" s="4" t="inlineStr">
        <is>
          <t>Fahrkorb und Nutzung</t>
        </is>
      </c>
      <c r="D167" s="4" t="inlineStr">
        <is>
          <t>MF-K04-R2</t>
        </is>
      </c>
      <c r="E167" s="4" t="n">
        <v>200</v>
      </c>
      <c r="F167" s="4" t="inlineStr">
        <is>
          <t>8.12 Länge der Fahrkorbtürschürze [mm] &lt; 300</t>
        </is>
      </c>
      <c r="G167" s="4" t="inlineStr">
        <is>
          <t>Hoch</t>
        </is>
      </c>
      <c r="H167" s="4" t="inlineStr">
        <is>
          <t>HIGH_CONFIDENCE</t>
        </is>
      </c>
      <c r="I167" s="4" t="inlineStr"/>
      <c r="J167" s="4" t="inlineStr">
        <is>
          <t>Erhöhte Vorsicht</t>
        </is>
      </c>
      <c r="K167" s="4" t="inlineStr">
        <is>
          <t>Kabinentürschürze nachrüsten</t>
        </is>
      </c>
      <c r="L167" s="4" t="inlineStr"/>
      <c r="M167" s="3" t="n"/>
      <c r="N167" s="3" t="n"/>
    </row>
    <row r="168">
      <c r="A168" s="2" t="inlineStr">
        <is>
          <t>MF-K04</t>
        </is>
      </c>
      <c r="B168" s="2" t="inlineStr">
        <is>
          <t>Unzureichende Fahrkorbtürschürze</t>
        </is>
      </c>
      <c r="C168" s="2" t="inlineStr">
        <is>
          <t>Fahrkorb und Nutzung</t>
        </is>
      </c>
      <c r="D168" s="2" t="inlineStr">
        <is>
          <t>MF-K04-R3</t>
        </is>
      </c>
      <c r="E168" s="2" t="n">
        <v>100</v>
      </c>
      <c r="F168" s="2" t="inlineStr">
        <is>
          <t>8.12 Länge der Fahrkorbtürschürze [mm] &lt; 750</t>
        </is>
      </c>
      <c r="G168" s="2" t="inlineStr">
        <is>
          <t>Mittel</t>
        </is>
      </c>
      <c r="H168" s="2" t="inlineStr">
        <is>
          <t>HIGH_CONFIDENCE</t>
        </is>
      </c>
      <c r="I168" s="2" t="inlineStr"/>
      <c r="J168" s="2" t="inlineStr">
        <is>
          <t>Erhöhte Vorsicht</t>
        </is>
      </c>
      <c r="K168" s="2" t="inlineStr">
        <is>
          <t>Kabinentürschürze nachrüsten</t>
        </is>
      </c>
      <c r="L168" s="2" t="inlineStr"/>
      <c r="M168" s="3" t="n"/>
      <c r="N168" s="3" t="n"/>
    </row>
    <row r="169">
      <c r="A169" s="4" t="inlineStr">
        <is>
          <t>MF-K04</t>
        </is>
      </c>
      <c r="B169" s="4" t="inlineStr">
        <is>
          <t>Unzureichende Fahrkorbtürschürze</t>
        </is>
      </c>
      <c r="C169" s="4" t="inlineStr">
        <is>
          <t>Fahrkorb und Nutzung</t>
        </is>
      </c>
      <c r="D169" s="4" t="inlineStr">
        <is>
          <t>MF-K04-R4</t>
        </is>
      </c>
      <c r="E169" s="4" t="n">
        <v>1</v>
      </c>
      <c r="F169" s="4" t="inlineStr">
        <is>
          <t>8.12 Länge der Fahrkorbtürschürze [mm] beantwortet</t>
        </is>
      </c>
      <c r="G169" s="4" t="inlineStr">
        <is>
          <t>Kein Risiko</t>
        </is>
      </c>
      <c r="H169" s="4" t="inlineStr">
        <is>
          <t>HIGH_CONFIDENCE</t>
        </is>
      </c>
      <c r="I169" s="4" t="inlineStr"/>
      <c r="J169" s="4" t="inlineStr">
        <is>
          <t>Zustand erhalten; bei der wiederkehrenden Prüfung und der Betreiberkontrolle erneut prüfen</t>
        </is>
      </c>
      <c r="K169" s="4" t="inlineStr"/>
      <c r="L169" s="4" t="inlineStr">
        <is>
          <t>Kein Risiko: keine Mangelregel trifft zu, alle Pflichtfragen beantwortet.</t>
        </is>
      </c>
      <c r="M169" s="3" t="n"/>
      <c r="N169" s="3" t="n"/>
    </row>
    <row r="170">
      <c r="A170" s="2" t="inlineStr">
        <is>
          <t>MF-K05</t>
        </is>
      </c>
      <c r="B170" s="2" t="inlineStr">
        <is>
          <t>Zu großer Abstand zwischen Fahrkorbschwelle und Schachtwand</t>
        </is>
      </c>
      <c r="C170" s="2" t="inlineStr">
        <is>
          <t>Fahrkorb und Nutzung</t>
        </is>
      </c>
      <c r="D170" s="2" t="inlineStr">
        <is>
          <t>MF-K05-R1</t>
        </is>
      </c>
      <c r="E170" s="2" t="n">
        <v>200</v>
      </c>
      <c r="F170" s="2" t="inlineStr">
        <is>
          <t>(8.14 Größter Abstand Fahrkorbschwelle – Schachtwand [mm] &gt; 150 UND 8.15 Fahrkorbtür-Verriegelung (Fahrkorbtür außerhalb der Entriegelungszone verriegelt)? = Ja UND 8.15a Zusatzverriegelung an den Schachttüren vorhanden? = Ja)</t>
        </is>
      </c>
      <c r="G170" s="2" t="inlineStr">
        <is>
          <t>Kein Risiko</t>
        </is>
      </c>
      <c r="H170" s="2" t="inlineStr">
        <is>
          <t>HIGH_CONFIDENCE</t>
        </is>
      </c>
      <c r="I170" s="2" t="inlineStr"/>
      <c r="J170" s="2" t="inlineStr"/>
      <c r="K170" s="2" t="inlineStr"/>
      <c r="L170" s="2" t="inlineStr">
        <is>
          <t>Entscheidung 02.09.2026: Kein Risiko nur mit Fahrkorbtür-Verriegelung UND Zusatzverriegelung an der Schachttür. Entschieden 2026-09-02: K-K04.</t>
        </is>
      </c>
      <c r="M170" s="3" t="n"/>
      <c r="N170" s="3" t="n"/>
    </row>
    <row r="171">
      <c r="A171" s="4" t="inlineStr">
        <is>
          <t>MF-K05</t>
        </is>
      </c>
      <c r="B171" s="4" t="inlineStr">
        <is>
          <t>Zu großer Abstand zwischen Fahrkorbschwelle und Schachtwand</t>
        </is>
      </c>
      <c r="C171" s="4" t="inlineStr">
        <is>
          <t>Fahrkorb und Nutzung</t>
        </is>
      </c>
      <c r="D171" s="4" t="inlineStr">
        <is>
          <t>MF-K05-R2</t>
        </is>
      </c>
      <c r="E171" s="4" t="n">
        <v>100</v>
      </c>
      <c r="F171" s="4" t="inlineStr">
        <is>
          <t>8.14 Größter Abstand Fahrkorbschwelle – Schachtwand [mm] &gt; 150</t>
        </is>
      </c>
      <c r="G171" s="4" t="inlineStr">
        <is>
          <t>Hoch</t>
        </is>
      </c>
      <c r="H171" s="4" t="inlineStr">
        <is>
          <t>HIGH_CONFIDENCE</t>
        </is>
      </c>
      <c r="I171" s="4" t="inlineStr"/>
      <c r="J171" s="4" t="inlineStr">
        <is>
          <t>Nutzer über die Absturzgefahr bei Selbstbefreiung unterweisen; Personenbefreiung nur durch fachkundige Personen</t>
        </is>
      </c>
      <c r="K171" s="4" t="inlineStr">
        <is>
          <t>Fahrkorbtür-Verriegelung außerhalb der Entriegelungszone und Zusatzverriegelung an den Schachttüren nachrüsten oder Abstand auf unter 150 mm reduzieren</t>
        </is>
      </c>
      <c r="L171" s="4" t="inlineStr"/>
      <c r="M171" s="3" t="n"/>
      <c r="N171" s="3" t="n"/>
    </row>
    <row r="172">
      <c r="A172" s="2" t="inlineStr">
        <is>
          <t>MF-K05</t>
        </is>
      </c>
      <c r="B172" s="2" t="inlineStr">
        <is>
          <t>Zu großer Abstand zwischen Fahrkorbschwelle und Schachtwand</t>
        </is>
      </c>
      <c r="C172" s="2" t="inlineStr">
        <is>
          <t>Fahrkorb und Nutzung</t>
        </is>
      </c>
      <c r="D172" s="2" t="inlineStr">
        <is>
          <t>MF-K05-R3</t>
        </is>
      </c>
      <c r="E172" s="2" t="n">
        <v>1</v>
      </c>
      <c r="F172" s="2" t="inlineStr">
        <is>
          <t>8.14 Größter Abstand Fahrkorbschwelle – Schachtwand [mm] beantwortet</t>
        </is>
      </c>
      <c r="G172" s="2" t="inlineStr">
        <is>
          <t>Kein Risiko</t>
        </is>
      </c>
      <c r="H172" s="2" t="inlineStr">
        <is>
          <t>HIGH_CONFIDENCE</t>
        </is>
      </c>
      <c r="I172" s="2" t="inlineStr"/>
      <c r="J172" s="2" t="inlineStr">
        <is>
          <t>Zustand erhalten; bei der wiederkehrenden Prüfung und der Betreiberkontrolle erneut prüfen</t>
        </is>
      </c>
      <c r="K172" s="2" t="inlineStr"/>
      <c r="L172" s="2" t="inlineStr">
        <is>
          <t>Kein Risiko: keine Mangelregel trifft zu, alle Pflichtfragen beantwortet.</t>
        </is>
      </c>
      <c r="M172" s="3" t="n"/>
      <c r="N172" s="3" t="n"/>
    </row>
    <row r="173">
      <c r="A173" s="4" t="inlineStr">
        <is>
          <t>MF-K06</t>
        </is>
      </c>
      <c r="B173" s="4" t="inlineStr">
        <is>
          <t>Fehlende Kennzeichnung der Nennlast, unpassende Nutzfläche oder fehlende Überlastkontrolle</t>
        </is>
      </c>
      <c r="C173" s="4" t="inlineStr">
        <is>
          <t>Fahrkorb und Nutzung</t>
        </is>
      </c>
      <c r="D173" s="4" t="inlineStr">
        <is>
          <t>MF-K06-R1</t>
        </is>
      </c>
      <c r="E173" s="4" t="n">
        <v>100</v>
      </c>
      <c r="F173" s="4" t="inlineStr">
        <is>
          <t>8.17 Nutzfläche des Fahrkorbs passt zur Nennlast (Tabelle EN 81-20 5.4.2)? = Nein</t>
        </is>
      </c>
      <c r="G173" s="4" t="inlineStr">
        <is>
          <t>Hoch</t>
        </is>
      </c>
      <c r="H173" s="4" t="inlineStr">
        <is>
          <t>HIGH_CONFIDENCE</t>
        </is>
      </c>
      <c r="I173" s="4" t="inlineStr"/>
      <c r="J173" s="4" t="inlineStr">
        <is>
          <t>Beladung begrenzen und Nutzer unterweisen, Personenbeförderung einschränken</t>
        </is>
      </c>
      <c r="K173" s="4" t="inlineStr">
        <is>
          <t>Nutzfläche verkleinern oder Nennlast anpassen und die Anlage neu bewerten lassen</t>
        </is>
      </c>
      <c r="L173" s="4" t="inlineStr"/>
      <c r="M173" s="3" t="n"/>
      <c r="N173" s="3" t="n"/>
    </row>
    <row r="174">
      <c r="A174" s="2" t="inlineStr">
        <is>
          <t>MF-K06</t>
        </is>
      </c>
      <c r="B174" s="2" t="inlineStr">
        <is>
          <t>Fehlende Kennzeichnung der Nennlast, unpassende Nutzfläche oder fehlende Überlastkontrolle</t>
        </is>
      </c>
      <c r="C174" s="2" t="inlineStr">
        <is>
          <t>Fahrkorb und Nutzung</t>
        </is>
      </c>
      <c r="D174" s="2" t="inlineStr">
        <is>
          <t>MF-K06-R2</t>
        </is>
      </c>
      <c r="E174" s="2" t="n">
        <v>100</v>
      </c>
      <c r="F174" s="2" t="inlineStr">
        <is>
          <t>(8.18 Überlastkontrolle / Lastmessung vorhanden? = Nein UND 2.1 Nutzungsart der Anlage in [„Lastenaufzug mit Personenbegleitung", „Güteraufzug ohne Personenbeförderung", „Personen- und Lastenaufzug"])</t>
        </is>
      </c>
      <c r="G174" s="2" t="inlineStr">
        <is>
          <t>Hoch</t>
        </is>
      </c>
      <c r="H174" s="2" t="inlineStr">
        <is>
          <t>HIGH_CONFIDENCE</t>
        </is>
      </c>
      <c r="I174" s="2" t="inlineStr"/>
      <c r="J174" s="2" t="inlineStr">
        <is>
          <t>Aufzug nur für unterwiesene Personen freigeben und für sonstigen Personentransport sperren</t>
        </is>
      </c>
      <c r="K174" s="2" t="inlineStr">
        <is>
          <t>Überlastsicherung nachrüsten</t>
        </is>
      </c>
      <c r="L174" s="2" t="inlineStr"/>
      <c r="M174" s="3" t="n"/>
      <c r="N174" s="3" t="n"/>
    </row>
    <row r="175">
      <c r="A175" s="4" t="inlineStr">
        <is>
          <t>MF-K06</t>
        </is>
      </c>
      <c r="B175" s="4" t="inlineStr">
        <is>
          <t>Fehlende Kennzeichnung der Nennlast, unpassende Nutzfläche oder fehlende Überlastkontrolle</t>
        </is>
      </c>
      <c r="C175" s="4" t="inlineStr">
        <is>
          <t>Fahrkorb und Nutzung</t>
        </is>
      </c>
      <c r="D175" s="4" t="inlineStr">
        <is>
          <t>MF-K06-R3</t>
        </is>
      </c>
      <c r="E175" s="4" t="n">
        <v>100</v>
      </c>
      <c r="F175" s="4" t="inlineStr">
        <is>
          <t>8.18 Überlastkontrolle / Lastmessung vorhanden? = Nein</t>
        </is>
      </c>
      <c r="G175" s="4" t="inlineStr">
        <is>
          <t>Mittel</t>
        </is>
      </c>
      <c r="H175" s="4" t="inlineStr">
        <is>
          <t>HIGH_CONFIDENCE</t>
        </is>
      </c>
      <c r="I175" s="4" t="inlineStr"/>
      <c r="J175" s="4" t="inlineStr">
        <is>
          <t>Beladung organisatorisch begrenzen und überwachen</t>
        </is>
      </c>
      <c r="K175" s="4" t="inlineStr">
        <is>
          <t>Überlasteinrichtung nachrüsten</t>
        </is>
      </c>
      <c r="L175" s="4" t="inlineStr"/>
      <c r="M175" s="3" t="n"/>
      <c r="N175" s="3" t="n"/>
    </row>
    <row r="176">
      <c r="A176" s="2" t="inlineStr">
        <is>
          <t>MF-K06</t>
        </is>
      </c>
      <c r="B176" s="2" t="inlineStr">
        <is>
          <t>Fehlende Kennzeichnung der Nennlast, unpassende Nutzfläche oder fehlende Überlastkontrolle</t>
        </is>
      </c>
      <c r="C176" s="2" t="inlineStr">
        <is>
          <t>Fahrkorb und Nutzung</t>
        </is>
      </c>
      <c r="D176" s="2" t="inlineStr">
        <is>
          <t>MF-K06-R4</t>
        </is>
      </c>
      <c r="E176" s="2" t="n">
        <v>100</v>
      </c>
      <c r="F176" s="2" t="inlineStr">
        <is>
          <t>8.16 Nennlast und zulässige Personenzahl im Fahrkorb gekennzeichnet? = Nein</t>
        </is>
      </c>
      <c r="G176" s="2" t="inlineStr">
        <is>
          <t>Mittel</t>
        </is>
      </c>
      <c r="H176" s="2" t="inlineStr">
        <is>
          <t>HIGH_CONFIDENCE</t>
        </is>
      </c>
      <c r="I176" s="2" t="inlineStr"/>
      <c r="J176" s="2" t="inlineStr">
        <is>
          <t>Kennzeichnung provisorisch anbringen und Nutzer unterweisen</t>
        </is>
      </c>
      <c r="K176" s="2" t="inlineStr">
        <is>
          <t>Dauerhafte Kennzeichnung von Nennlast und zulässiger Personenzahl im Fahrkorb anbringen</t>
        </is>
      </c>
      <c r="L176" s="2" t="inlineStr"/>
      <c r="M176" s="3" t="n"/>
      <c r="N176" s="3" t="n"/>
    </row>
    <row r="177">
      <c r="A177" s="4" t="inlineStr">
        <is>
          <t>MF-K06</t>
        </is>
      </c>
      <c r="B177" s="4" t="inlineStr">
        <is>
          <t>Fehlende Kennzeichnung der Nennlast, unpassende Nutzfläche oder fehlende Überlastkontrolle</t>
        </is>
      </c>
      <c r="C177" s="4" t="inlineStr">
        <is>
          <t>Fahrkorb und Nutzung</t>
        </is>
      </c>
      <c r="D177" s="4" t="inlineStr">
        <is>
          <t>MF-K06-R5</t>
        </is>
      </c>
      <c r="E177" s="4" t="n">
        <v>100</v>
      </c>
      <c r="F177" s="4" t="inlineStr">
        <is>
          <t>8.18a Funktion der Überlastkontrolle nachweislich geprüft? = Nein</t>
        </is>
      </c>
      <c r="G177" s="4" t="inlineStr">
        <is>
          <t>Niedrig</t>
        </is>
      </c>
      <c r="H177" s="4" t="inlineStr">
        <is>
          <t>HIGH_CONFIDENCE</t>
        </is>
      </c>
      <c r="I177" s="4" t="inlineStr"/>
      <c r="J177" s="4" t="inlineStr">
        <is>
          <t>Funktion der Überlastkontrolle prüfen lassen</t>
        </is>
      </c>
      <c r="K177" s="4" t="inlineStr">
        <is>
          <t>Überlastkontrolle in die wiederkehrende Prüfung aufnehmen und dokumentieren</t>
        </is>
      </c>
      <c r="L177" s="4" t="inlineStr">
        <is>
          <t>Entschieden 2026-09-02: K-K05.</t>
        </is>
      </c>
      <c r="M177" s="3" t="n"/>
      <c r="N177" s="3" t="n"/>
    </row>
    <row r="178">
      <c r="A178" s="2" t="inlineStr">
        <is>
          <t>MF-K06</t>
        </is>
      </c>
      <c r="B178" s="2" t="inlineStr">
        <is>
          <t>Fehlende Kennzeichnung der Nennlast, unpassende Nutzfläche oder fehlende Überlastkontrolle</t>
        </is>
      </c>
      <c r="C178" s="2" t="inlineStr">
        <is>
          <t>Fahrkorb und Nutzung</t>
        </is>
      </c>
      <c r="D178" s="2" t="inlineStr">
        <is>
          <t>MF-K06-R6</t>
        </is>
      </c>
      <c r="E178" s="2" t="n">
        <v>1</v>
      </c>
      <c r="F178" s="2" t="inlineStr">
        <is>
          <t>8.16 Nennlast und zulässige Personenzahl im Fahrkorb gekennzeichnet? beantwortet</t>
        </is>
      </c>
      <c r="G178" s="2" t="inlineStr">
        <is>
          <t>Kein Risiko</t>
        </is>
      </c>
      <c r="H178" s="2" t="inlineStr">
        <is>
          <t>HIGH_CONFIDENCE</t>
        </is>
      </c>
      <c r="I178" s="2" t="inlineStr"/>
      <c r="J178" s="2" t="inlineStr">
        <is>
          <t>Zustand erhalten; bei der wiederkehrenden Prüfung und der Betreiberkontrolle erneut prüfen</t>
        </is>
      </c>
      <c r="K178" s="2" t="inlineStr"/>
      <c r="L178" s="2" t="inlineStr">
        <is>
          <t>Kein Risiko: keine Mangelregel trifft zu, alle Pflichtfragen beantwortet.</t>
        </is>
      </c>
      <c r="M178" s="3" t="n"/>
      <c r="N178" s="3" t="n"/>
    </row>
    <row r="179">
      <c r="A179" s="4" t="inlineStr">
        <is>
          <t>MF-K07</t>
        </is>
      </c>
      <c r="B179" s="4" t="inlineStr">
        <is>
          <t>Unzureichende Lüftung des Fahrkorbs</t>
        </is>
      </c>
      <c r="C179" s="4" t="inlineStr">
        <is>
          <t>Fahrkorb und Nutzung</t>
        </is>
      </c>
      <c r="D179" s="4" t="inlineStr">
        <is>
          <t>MF-K07-R1</t>
        </is>
      </c>
      <c r="E179" s="4" t="n">
        <v>100</v>
      </c>
      <c r="F179" s="4" t="inlineStr">
        <is>
          <t>8.19 Lüftung des Fahrkorbs = „Lüftungsöffnungen fehlen oder unzureichend"</t>
        </is>
      </c>
      <c r="G179" s="4" t="inlineStr">
        <is>
          <t>Hoch</t>
        </is>
      </c>
      <c r="H179" s="4" t="inlineStr">
        <is>
          <t>HIGH_CONFIDENCE</t>
        </is>
      </c>
      <c r="I179" s="4" t="inlineStr"/>
      <c r="J179" s="4" t="inlineStr">
        <is>
          <t>Aufenthaltsdauer begrenzen und Notbefreiung sicherstellen</t>
        </is>
      </c>
      <c r="K179" s="4" t="inlineStr">
        <is>
          <t>Lüftungsöffnungen nach DIN EN 81-20, 5.4.9 herstellen</t>
        </is>
      </c>
      <c r="L179" s="4" t="inlineStr"/>
      <c r="M179" s="3" t="n"/>
      <c r="N179" s="3" t="n"/>
    </row>
    <row r="180">
      <c r="A180" s="2" t="inlineStr">
        <is>
          <t>MF-K07</t>
        </is>
      </c>
      <c r="B180" s="2" t="inlineStr">
        <is>
          <t>Unzureichende Lüftung des Fahrkorbs</t>
        </is>
      </c>
      <c r="C180" s="2" t="inlineStr">
        <is>
          <t>Fahrkorb und Nutzung</t>
        </is>
      </c>
      <c r="D180" s="2" t="inlineStr">
        <is>
          <t>MF-K07-R2</t>
        </is>
      </c>
      <c r="E180" s="2" t="n">
        <v>100</v>
      </c>
      <c r="F180" s="2" t="inlineStr">
        <is>
          <t>8.19 Lüftung des Fahrkorbs = „Lüftungsöffnungen teilweise verdeckt oder verschmutzt"</t>
        </is>
      </c>
      <c r="G180" s="2" t="inlineStr">
        <is>
          <t>Mittel</t>
        </is>
      </c>
      <c r="H180" s="2" t="inlineStr">
        <is>
          <t>HIGH_CONFIDENCE</t>
        </is>
      </c>
      <c r="I180" s="2" t="inlineStr"/>
      <c r="J180" s="2" t="inlineStr">
        <is>
          <t>Öffnungen freimachen und reinigen</t>
        </is>
      </c>
      <c r="K180" s="2" t="inlineStr">
        <is>
          <t>Reinigung der Lüftungsöffnungen in den Wartungsplan aufnehmen</t>
        </is>
      </c>
      <c r="L180" s="2" t="inlineStr"/>
      <c r="M180" s="3" t="n"/>
      <c r="N180" s="3" t="n"/>
    </row>
    <row r="181">
      <c r="A181" s="4" t="inlineStr">
        <is>
          <t>MF-K07</t>
        </is>
      </c>
      <c r="B181" s="4" t="inlineStr">
        <is>
          <t>Unzureichende Lüftung des Fahrkorbs</t>
        </is>
      </c>
      <c r="C181" s="4" t="inlineStr">
        <is>
          <t>Fahrkorb und Nutzung</t>
        </is>
      </c>
      <c r="D181" s="4" t="inlineStr">
        <is>
          <t>MF-K07-R3</t>
        </is>
      </c>
      <c r="E181" s="4" t="n">
        <v>100</v>
      </c>
      <c r="F181" s="4" t="inlineStr">
        <is>
          <t>8.19 Lüftung des Fahrkorbs = „Keine Zwangsbelüftung bei langen Fahrzeiten / hoher Belegung"</t>
        </is>
      </c>
      <c r="G181" s="4" t="inlineStr">
        <is>
          <t>Mittel</t>
        </is>
      </c>
      <c r="H181" s="4" t="inlineStr">
        <is>
          <t>HIGH_CONFIDENCE</t>
        </is>
      </c>
      <c r="I181" s="4" t="inlineStr"/>
      <c r="J181" s="4" t="inlineStr">
        <is>
          <t>Belegung und Fahrzeiten beobachten</t>
        </is>
      </c>
      <c r="K181" s="4" t="inlineStr">
        <is>
          <t>Zwangsbelüftung des Fahrkorbs nachrüsten</t>
        </is>
      </c>
      <c r="L181" s="4" t="inlineStr"/>
      <c r="M181" s="3" t="n"/>
      <c r="N181" s="3" t="n"/>
    </row>
    <row r="182">
      <c r="A182" s="2" t="inlineStr">
        <is>
          <t>MF-K07</t>
        </is>
      </c>
      <c r="B182" s="2" t="inlineStr">
        <is>
          <t>Unzureichende Lüftung des Fahrkorbs</t>
        </is>
      </c>
      <c r="C182" s="2" t="inlineStr">
        <is>
          <t>Fahrkorb und Nutzung</t>
        </is>
      </c>
      <c r="D182" s="2" t="inlineStr">
        <is>
          <t>MF-K07-R4</t>
        </is>
      </c>
      <c r="E182" s="2" t="n">
        <v>1</v>
      </c>
      <c r="F182" s="2" t="inlineStr">
        <is>
          <t>8.19 Lüftung des Fahrkorbs beantwortet</t>
        </is>
      </c>
      <c r="G182" s="2" t="inlineStr">
        <is>
          <t>Kein Risiko</t>
        </is>
      </c>
      <c r="H182" s="2" t="inlineStr">
        <is>
          <t>HIGH_CONFIDENCE</t>
        </is>
      </c>
      <c r="I182" s="2" t="inlineStr"/>
      <c r="J182" s="2" t="inlineStr">
        <is>
          <t>Zustand erhalten; bei der wiederkehrenden Prüfung und der Betreiberkontrolle erneut prüfen</t>
        </is>
      </c>
      <c r="K182" s="2" t="inlineStr"/>
      <c r="L182" s="2" t="inlineStr">
        <is>
          <t>Kein Risiko: keine Mangelregel trifft zu, alle Pflichtfragen beantwortet.</t>
        </is>
      </c>
      <c r="M182" s="3" t="n"/>
      <c r="N182" s="3" t="n"/>
    </row>
    <row r="183">
      <c r="A183" s="4" t="inlineStr">
        <is>
          <t>MF-K08</t>
        </is>
      </c>
      <c r="B183" s="4" t="inlineStr">
        <is>
          <t>Fehlende Brandfallsteuerung trotz Anforderung im Brandschutzkonzept</t>
        </is>
      </c>
      <c r="C183" s="4" t="inlineStr">
        <is>
          <t>Brandschutz und Gebäudeschnittstelle</t>
        </is>
      </c>
      <c r="D183" s="4" t="inlineStr">
        <is>
          <t>MF-K08-R1</t>
        </is>
      </c>
      <c r="E183" s="4" t="n">
        <v>100</v>
      </c>
      <c r="F183" s="4" t="inlineStr">
        <is>
          <t>8.21 Brandfallsteuerung vorhanden und in die Brandmeldeanlage eingebunden? = Nein</t>
        </is>
      </c>
      <c r="G183" s="4" t="inlineStr">
        <is>
          <t>Hoch</t>
        </is>
      </c>
      <c r="H183" s="4" t="inlineStr">
        <is>
          <t>HIGH_CONFIDENCE</t>
        </is>
      </c>
      <c r="I183" s="4" t="inlineStr"/>
      <c r="J183" s="4" t="inlineStr">
        <is>
          <t>Betreiber und Brandschutzbeauftragten informieren, Ersatzmaßnahmen festlegen</t>
        </is>
      </c>
      <c r="K183" s="4" t="inlineStr">
        <is>
          <t>Brandfallsteuerung nach DIN EN 81-73 nachrüsten</t>
        </is>
      </c>
      <c r="L183" s="4" t="inlineStr"/>
      <c r="M183" s="3" t="n"/>
      <c r="N183" s="3" t="n"/>
    </row>
    <row r="184">
      <c r="A184" s="2" t="inlineStr">
        <is>
          <t>MF-K08</t>
        </is>
      </c>
      <c r="B184" s="2" t="inlineStr">
        <is>
          <t>Fehlende Brandfallsteuerung trotz Anforderung im Brandschutzkonzept</t>
        </is>
      </c>
      <c r="C184" s="2" t="inlineStr">
        <is>
          <t>Brandschutz und Gebäudeschnittstelle</t>
        </is>
      </c>
      <c r="D184" s="2" t="inlineStr">
        <is>
          <t>MF-K08-R2</t>
        </is>
      </c>
      <c r="E184" s="2" t="n">
        <v>100</v>
      </c>
      <c r="F184" s="2" t="inlineStr">
        <is>
          <t>8.21a Funktion der Brandfallsteuerung regelmäßig geprüft (Nachweis)? = Nein</t>
        </is>
      </c>
      <c r="G184" s="2" t="inlineStr">
        <is>
          <t>Mittel</t>
        </is>
      </c>
      <c r="H184" s="2" t="inlineStr">
        <is>
          <t>HIGH_CONFIDENCE</t>
        </is>
      </c>
      <c r="I184" s="2" t="inlineStr"/>
      <c r="J184" s="2" t="inlineStr">
        <is>
          <t>Funktionsprüfung veranlassen</t>
        </is>
      </c>
      <c r="K184" s="2" t="inlineStr">
        <is>
          <t>Funktionsprüfung in Wartung und wiederkehrende Prüfung aufnehmen</t>
        </is>
      </c>
      <c r="L184" s="2" t="inlineStr"/>
      <c r="M184" s="3" t="n"/>
      <c r="N184" s="3" t="n"/>
    </row>
    <row r="185">
      <c r="A185" s="4" t="inlineStr">
        <is>
          <t>MF-K08</t>
        </is>
      </c>
      <c r="B185" s="4" t="inlineStr">
        <is>
          <t>Fehlende Brandfallsteuerung trotz Anforderung im Brandschutzkonzept</t>
        </is>
      </c>
      <c r="C185" s="4" t="inlineStr">
        <is>
          <t>Brandschutz und Gebäudeschnittstelle</t>
        </is>
      </c>
      <c r="D185" s="4" t="inlineStr">
        <is>
          <t>MF-K08-R3</t>
        </is>
      </c>
      <c r="E185" s="4" t="n">
        <v>1</v>
      </c>
      <c r="F185" s="4" t="inlineStr">
        <is>
          <t>8.21 Brandfallsteuerung vorhanden und in die Brandmeldeanlage eingebunden? beantwortet</t>
        </is>
      </c>
      <c r="G185" s="4" t="inlineStr">
        <is>
          <t>Kein Risiko</t>
        </is>
      </c>
      <c r="H185" s="4" t="inlineStr">
        <is>
          <t>HIGH_CONFIDENCE</t>
        </is>
      </c>
      <c r="I185" s="4" t="inlineStr"/>
      <c r="J185" s="4" t="inlineStr">
        <is>
          <t>Zustand erhalten; bei der wiederkehrenden Prüfung und der Betreiberkontrolle erneut prüfen</t>
        </is>
      </c>
      <c r="K185" s="4" t="inlineStr"/>
      <c r="L185" s="4" t="inlineStr">
        <is>
          <t>Kein Risiko: keine Mangelregel trifft zu, alle Pflichtfragen beantwortet.</t>
        </is>
      </c>
      <c r="M185" s="3" t="n"/>
      <c r="N185" s="3" t="n"/>
    </row>
    <row r="186">
      <c r="A186" s="2" t="inlineStr">
        <is>
          <t>MF-K09</t>
        </is>
      </c>
      <c r="B186" s="2" t="inlineStr">
        <is>
          <t>Fehlender Hinweis „Aufzug im Brandfall nicht benutzen"</t>
        </is>
      </c>
      <c r="C186" s="2" t="inlineStr">
        <is>
          <t>Brandschutz und Gebäudeschnittstelle</t>
        </is>
      </c>
      <c r="D186" s="2" t="inlineStr">
        <is>
          <t>MF-K09-R1</t>
        </is>
      </c>
      <c r="E186" s="2" t="n">
        <v>100</v>
      </c>
      <c r="F186" s="2" t="inlineStr">
        <is>
          <t>8.20 Hinweisschild „Aufzug im Brandfall nicht benutzen" an allen Haltestellen vorhanden und lesbar? = Nein</t>
        </is>
      </c>
      <c r="G186" s="2" t="inlineStr">
        <is>
          <t>Mittel</t>
        </is>
      </c>
      <c r="H186" s="2" t="inlineStr">
        <is>
          <t>HIGH_CONFIDENCE</t>
        </is>
      </c>
      <c r="I186" s="2" t="inlineStr"/>
      <c r="J186" s="2" t="inlineStr">
        <is>
          <t>Provisorischen Hinweis an den Haltestellen anbringen</t>
        </is>
      </c>
      <c r="K186" s="2" t="inlineStr">
        <is>
          <t>Dauerhafte Beschilderung an allen Haltestellen anbringen</t>
        </is>
      </c>
      <c r="L186" s="2" t="inlineStr"/>
      <c r="M186" s="3" t="n"/>
      <c r="N186" s="3" t="n"/>
    </row>
    <row r="187">
      <c r="A187" s="4" t="inlineStr">
        <is>
          <t>MF-K09</t>
        </is>
      </c>
      <c r="B187" s="4" t="inlineStr">
        <is>
          <t>Fehlender Hinweis „Aufzug im Brandfall nicht benutzen"</t>
        </is>
      </c>
      <c r="C187" s="4" t="inlineStr">
        <is>
          <t>Brandschutz und Gebäudeschnittstelle</t>
        </is>
      </c>
      <c r="D187" s="4" t="inlineStr">
        <is>
          <t>MF-K09-R2</t>
        </is>
      </c>
      <c r="E187" s="4" t="n">
        <v>1</v>
      </c>
      <c r="F187" s="4" t="inlineStr">
        <is>
          <t>8.20 Hinweisschild „Aufzug im Brandfall nicht benutzen" an allen Haltestellen vorhanden und lesbar? beantwortet</t>
        </is>
      </c>
      <c r="G187" s="4" t="inlineStr">
        <is>
          <t>Kein Risiko</t>
        </is>
      </c>
      <c r="H187" s="4" t="inlineStr">
        <is>
          <t>HIGH_CONFIDENCE</t>
        </is>
      </c>
      <c r="I187" s="4" t="inlineStr"/>
      <c r="J187" s="4" t="inlineStr">
        <is>
          <t>Zustand erhalten; bei der wiederkehrenden Prüfung und der Betreiberkontrolle erneut prüfen</t>
        </is>
      </c>
      <c r="K187" s="4" t="inlineStr"/>
      <c r="L187" s="4" t="inlineStr">
        <is>
          <t>Kein Risiko: keine Mangelregel trifft zu, alle Pflichtfragen beantwortet.</t>
        </is>
      </c>
      <c r="M187" s="3" t="n"/>
      <c r="N187" s="3" t="n"/>
    </row>
    <row r="188">
      <c r="A188" s="2" t="inlineStr">
        <is>
          <t>MF-K10</t>
        </is>
      </c>
      <c r="B188" s="2" t="inlineStr">
        <is>
          <t>Eingeschränkte Zugänglichkeit für Personen mit eingeschränkter Mobilität</t>
        </is>
      </c>
      <c r="C188" s="2" t="inlineStr">
        <is>
          <t>Fahrkorb und Nutzung</t>
        </is>
      </c>
      <c r="D188" s="2" t="inlineStr">
        <is>
          <t>MF-K10-R1</t>
        </is>
      </c>
      <c r="E188" s="2" t="n">
        <v>100</v>
      </c>
      <c r="F188" s="2" t="inlineStr">
        <is>
          <t>8.24 Fahrkorbabmessungen für Rollstuhlnutzung ausreichend (mind. 1,00 m × 1,25 m)? = Nein</t>
        </is>
      </c>
      <c r="G188" s="2" t="inlineStr">
        <is>
          <t>Hoch</t>
        </is>
      </c>
      <c r="H188" s="2" t="inlineStr">
        <is>
          <t>HIGH_CONFIDENCE</t>
        </is>
      </c>
      <c r="I188" s="2" t="inlineStr"/>
      <c r="J188" s="2" t="inlineStr">
        <is>
          <t>Alternative barrierefreie Zugangsmöglichkeit festlegen und ausschildern</t>
        </is>
      </c>
      <c r="K188" s="2" t="inlineStr">
        <is>
          <t>Umbau oder Ersatz der Anlage prüfen</t>
        </is>
      </c>
      <c r="L188" s="2" t="inlineStr"/>
      <c r="M188" s="3" t="n"/>
      <c r="N188" s="3" t="n"/>
    </row>
    <row r="189">
      <c r="A189" s="4" t="inlineStr">
        <is>
          <t>MF-K10</t>
        </is>
      </c>
      <c r="B189" s="4" t="inlineStr">
        <is>
          <t>Eingeschränkte Zugänglichkeit für Personen mit eingeschränkter Mobilität</t>
        </is>
      </c>
      <c r="C189" s="4" t="inlineStr">
        <is>
          <t>Fahrkorb und Nutzung</t>
        </is>
      </c>
      <c r="D189" s="4" t="inlineStr">
        <is>
          <t>MF-K10-R2</t>
        </is>
      </c>
      <c r="E189" s="4" t="n">
        <v>100</v>
      </c>
      <c r="F189" s="4" t="inlineStr">
        <is>
          <t>8.22 Anlage nach DIN EN 81-70 barrierefrei ausgeführt? = Nein</t>
        </is>
      </c>
      <c r="G189" s="4" t="inlineStr">
        <is>
          <t>Mittel</t>
        </is>
      </c>
      <c r="H189" s="4" t="inlineStr">
        <is>
          <t>HIGH_CONFIDENCE</t>
        </is>
      </c>
      <c r="I189" s="4" t="inlineStr"/>
      <c r="J189" s="4" t="inlineStr">
        <is>
          <t>Bündigkeit und Türoffenhaltezeit prüfen und einstellen</t>
        </is>
      </c>
      <c r="K189" s="4" t="inlineStr">
        <is>
          <t>Nachrüstung nach DIN EN 81-70 prüfen (Bedienelemente, Handlauf, Spiegel, akustische Ansage)</t>
        </is>
      </c>
      <c r="L189" s="4" t="inlineStr"/>
      <c r="M189" s="3" t="n"/>
      <c r="N189" s="3" t="n"/>
    </row>
    <row r="190">
      <c r="A190" s="2" t="inlineStr">
        <is>
          <t>MF-K10</t>
        </is>
      </c>
      <c r="B190" s="2" t="inlineStr">
        <is>
          <t>Eingeschränkte Zugänglichkeit für Personen mit eingeschränkter Mobilität</t>
        </is>
      </c>
      <c r="C190" s="2" t="inlineStr">
        <is>
          <t>Fahrkorb und Nutzung</t>
        </is>
      </c>
      <c r="D190" s="2" t="inlineStr">
        <is>
          <t>MF-K10-R3</t>
        </is>
      </c>
      <c r="E190" s="2" t="n">
        <v>100</v>
      </c>
      <c r="F190" s="2" t="inlineStr">
        <is>
          <t>8.23 Bedienelemente in erreichbarer Höhe und ertastbar? = Nein</t>
        </is>
      </c>
      <c r="G190" s="2" t="inlineStr">
        <is>
          <t>Mittel</t>
        </is>
      </c>
      <c r="H190" s="2" t="inlineStr">
        <is>
          <t>HIGH_CONFIDENCE</t>
        </is>
      </c>
      <c r="I190" s="2" t="inlineStr"/>
      <c r="J190" s="2" t="inlineStr">
        <is>
          <t>Nutzer unterweisen und Hilfestellung organisieren</t>
        </is>
      </c>
      <c r="K190" s="2" t="inlineStr">
        <is>
          <t>Bedienelemente nach DIN EN 81-70 versetzen oder ersetzen</t>
        </is>
      </c>
      <c r="L190" s="2" t="inlineStr"/>
      <c r="M190" s="3" t="n"/>
      <c r="N190" s="3" t="n"/>
    </row>
    <row r="191">
      <c r="A191" s="4" t="inlineStr">
        <is>
          <t>MF-K10</t>
        </is>
      </c>
      <c r="B191" s="4" t="inlineStr">
        <is>
          <t>Eingeschränkte Zugänglichkeit für Personen mit eingeschränkter Mobilität</t>
        </is>
      </c>
      <c r="C191" s="4" t="inlineStr">
        <is>
          <t>Fahrkorb und Nutzung</t>
        </is>
      </c>
      <c r="D191" s="4" t="inlineStr">
        <is>
          <t>MF-K10-R4</t>
        </is>
      </c>
      <c r="E191" s="4" t="n">
        <v>1</v>
      </c>
      <c r="F191" s="4" t="inlineStr">
        <is>
          <t>8.22 Anlage nach DIN EN 81-70 barrierefrei ausgeführt? beantwortet</t>
        </is>
      </c>
      <c r="G191" s="4" t="inlineStr">
        <is>
          <t>Kein Risiko</t>
        </is>
      </c>
      <c r="H191" s="4" t="inlineStr">
        <is>
          <t>HIGH_CONFIDENCE</t>
        </is>
      </c>
      <c r="I191" s="4" t="inlineStr"/>
      <c r="J191" s="4" t="inlineStr">
        <is>
          <t>Zustand erhalten; bei der wiederkehrenden Prüfung und der Betreiberkontrolle erneut prüfen</t>
        </is>
      </c>
      <c r="K191" s="4" t="inlineStr"/>
      <c r="L191" s="4" t="inlineStr">
        <is>
          <t>Kein Risiko: keine Mangelregel trifft zu, alle Pflichtfragen beantwortet.</t>
        </is>
      </c>
      <c r="M191" s="3" t="n"/>
      <c r="N191" s="3" t="n"/>
    </row>
    <row r="192">
      <c r="A192" s="2" t="inlineStr">
        <is>
          <t>MF-K11</t>
        </is>
      </c>
      <c r="B192" s="2" t="inlineStr">
        <is>
          <t>Beschädigte Fahrkorbausstattung / Vandalismus</t>
        </is>
      </c>
      <c r="C192" s="2" t="inlineStr">
        <is>
          <t>Fahrkorb und Nutzung</t>
        </is>
      </c>
      <c r="D192" s="2" t="inlineStr">
        <is>
          <t>MF-K11-R1</t>
        </is>
      </c>
      <c r="E192" s="2" t="n">
        <v>100</v>
      </c>
      <c r="F192" s="2" t="inlineStr">
        <is>
          <t>8.25 Zustand der Fahrkorbausstattung = „Beschädigt mit unmittelbarer Gefährdung (freiliegende Elektrik, gebrochenes Glas, defekter Notruf)"</t>
        </is>
      </c>
      <c r="G192" s="2" t="inlineStr">
        <is>
          <t>Hoch</t>
        </is>
      </c>
      <c r="H192" s="2" t="inlineStr">
        <is>
          <t>HIGH_CONFIDENCE</t>
        </is>
      </c>
      <c r="I192" s="2" t="inlineStr"/>
      <c r="J192" s="2" t="inlineStr">
        <is>
          <t>Aufzug stilllegen</t>
        </is>
      </c>
      <c r="K192" s="2" t="inlineStr">
        <is>
          <t>Instandsetzung veranlassen und Anlage vor Wiederinbetriebnahme prüfen</t>
        </is>
      </c>
      <c r="L192" s="2" t="inlineStr"/>
      <c r="M192" s="3" t="n"/>
      <c r="N192" s="3" t="n"/>
    </row>
    <row r="193">
      <c r="A193" s="4" t="inlineStr">
        <is>
          <t>MF-K11</t>
        </is>
      </c>
      <c r="B193" s="4" t="inlineStr">
        <is>
          <t>Beschädigte Fahrkorbausstattung / Vandalismus</t>
        </is>
      </c>
      <c r="C193" s="4" t="inlineStr">
        <is>
          <t>Fahrkorb und Nutzung</t>
        </is>
      </c>
      <c r="D193" s="4" t="inlineStr">
        <is>
          <t>MF-K11-R2</t>
        </is>
      </c>
      <c r="E193" s="4" t="n">
        <v>100</v>
      </c>
      <c r="F193" s="4" t="inlineStr">
        <is>
          <t>8.25 Zustand der Fahrkorbausstattung = „Beschädigt ohne unmittelbare Gefährdung (Tableau, Spiegel, Verkleidung)"</t>
        </is>
      </c>
      <c r="G193" s="4" t="inlineStr">
        <is>
          <t>Mittel</t>
        </is>
      </c>
      <c r="H193" s="4" t="inlineStr">
        <is>
          <t>HIGH_CONFIDENCE</t>
        </is>
      </c>
      <c r="I193" s="4" t="inlineStr"/>
      <c r="J193" s="4" t="inlineStr">
        <is>
          <t>Scharfe Kanten und lose Teile sichern</t>
        </is>
      </c>
      <c r="K193" s="4" t="inlineStr">
        <is>
          <t>Beschädigte Bauteile instand setzen oder ersetzen</t>
        </is>
      </c>
      <c r="L193" s="4" t="inlineStr"/>
      <c r="M193" s="3" t="n"/>
      <c r="N193" s="3" t="n"/>
    </row>
    <row r="194">
      <c r="A194" s="2" t="inlineStr">
        <is>
          <t>MF-K11</t>
        </is>
      </c>
      <c r="B194" s="2" t="inlineStr">
        <is>
          <t>Beschädigte Fahrkorbausstattung / Vandalismus</t>
        </is>
      </c>
      <c r="C194" s="2" t="inlineStr">
        <is>
          <t>Fahrkorb und Nutzung</t>
        </is>
      </c>
      <c r="D194" s="2" t="inlineStr">
        <is>
          <t>MF-K11-R3</t>
        </is>
      </c>
      <c r="E194" s="2" t="n">
        <v>100</v>
      </c>
      <c r="F194" s="2" t="inlineStr">
        <is>
          <t>(8.26 Wiederholte Vandalismusschäden? = Ja UND 8.26a Vandalismussichere Ausführung nach DIN EN 81-71? = Nein)</t>
        </is>
      </c>
      <c r="G194" s="2" t="inlineStr">
        <is>
          <t>Mittel</t>
        </is>
      </c>
      <c r="H194" s="2" t="inlineStr">
        <is>
          <t>HIGH_CONFIDENCE</t>
        </is>
      </c>
      <c r="I194" s="2" t="inlineStr"/>
      <c r="J194" s="2" t="inlineStr">
        <is>
          <t>Schäden zeitnah beseitigen und dokumentieren</t>
        </is>
      </c>
      <c r="K194" s="2" t="inlineStr">
        <is>
          <t>Nachrüstung nach DIN EN 81-71, Videoüberwachung oder Zugangsbeschränkung prüfen</t>
        </is>
      </c>
      <c r="L194" s="2" t="inlineStr"/>
      <c r="M194" s="3" t="n"/>
      <c r="N194" s="3" t="n"/>
    </row>
    <row r="195">
      <c r="A195" s="4" t="inlineStr">
        <is>
          <t>MF-K11</t>
        </is>
      </c>
      <c r="B195" s="4" t="inlineStr">
        <is>
          <t>Beschädigte Fahrkorbausstattung / Vandalismus</t>
        </is>
      </c>
      <c r="C195" s="4" t="inlineStr">
        <is>
          <t>Fahrkorb und Nutzung</t>
        </is>
      </c>
      <c r="D195" s="4" t="inlineStr">
        <is>
          <t>MF-K11-R4</t>
        </is>
      </c>
      <c r="E195" s="4" t="n">
        <v>1</v>
      </c>
      <c r="F195" s="4" t="inlineStr">
        <is>
          <t>8.25 Zustand der Fahrkorbausstattung beantwortet</t>
        </is>
      </c>
      <c r="G195" s="4" t="inlineStr">
        <is>
          <t>Kein Risiko</t>
        </is>
      </c>
      <c r="H195" s="4" t="inlineStr">
        <is>
          <t>HIGH_CONFIDENCE</t>
        </is>
      </c>
      <c r="I195" s="4" t="inlineStr"/>
      <c r="J195" s="4" t="inlineStr">
        <is>
          <t>Zustand erhalten; bei der wiederkehrenden Prüfung und der Betreiberkontrolle erneut prüfen</t>
        </is>
      </c>
      <c r="K195" s="4" t="inlineStr"/>
      <c r="L195" s="4" t="inlineStr">
        <is>
          <t>Kein Risiko: keine Mangelregel trifft zu, alle Pflichtfragen beantwortet.</t>
        </is>
      </c>
      <c r="M195" s="3" t="n"/>
      <c r="N195" s="3" t="n"/>
    </row>
    <row r="196">
      <c r="A196" s="2" t="inlineStr">
        <is>
          <t>MF-K12</t>
        </is>
      </c>
      <c r="B196" s="2" t="inlineStr">
        <is>
          <t>Fehlender Schutz gegen unbeabsichtigte Fahrkorbbewegung bei offenen Türen (UCM)</t>
        </is>
      </c>
      <c r="C196" s="2" t="inlineStr">
        <is>
          <t>Sicherheitskomponenten</t>
        </is>
      </c>
      <c r="D196" s="2" t="inlineStr">
        <is>
          <t>MF-K12-R1</t>
        </is>
      </c>
      <c r="E196" s="2" t="n">
        <v>300</v>
      </c>
      <c r="F196" s="2" t="inlineStr">
        <is>
          <t>(4.5 UCM-Schutz (unbeabsichtigte Fahrkorbbewegung, A3 / EN 81-20 5.6.7) vorhanden? = Nein UND (8.27 Türüberbrückung (SR-Modul) für Nachregulieren / Voraböffnen mit offener Tür vorhanden? = Ja ODER 3.1 Aufzugsart in [„Hydraulikaufzug", „Seil-Hydraulikaufzug (indirekt)"]))</t>
        </is>
      </c>
      <c r="G196" s="2" t="inlineStr">
        <is>
          <t>Hoch</t>
        </is>
      </c>
      <c r="H196" s="2" t="inlineStr">
        <is>
          <t>HIGH_CONFIDENCE</t>
        </is>
      </c>
      <c r="I196" s="2" t="inlineStr"/>
      <c r="J196" s="2" t="inlineStr"/>
      <c r="K196" s="2" t="inlineStr">
        <is>
          <t>UCM nachrüsten oder SR-Modul ausbauen</t>
        </is>
      </c>
      <c r="L196" s="2" t="inlineStr">
        <is>
          <t>Entscheidung 02.09.2026: Hydraulikaufzug hat immer eine Türüberbrückung (Nachregulieren bei Druckverlust) – ohne UCM daher Hoch wie bei Seilaufzügen mit SR-Modul. Entschieden 2026-09-02: K-K12.</t>
        </is>
      </c>
      <c r="M196" s="3" t="n"/>
      <c r="N196" s="3" t="n"/>
    </row>
    <row r="197">
      <c r="A197" s="4" t="inlineStr">
        <is>
          <t>MF-K12</t>
        </is>
      </c>
      <c r="B197" s="4" t="inlineStr">
        <is>
          <t>Fehlender Schutz gegen unbeabsichtigte Fahrkorbbewegung bei offenen Türen (UCM)</t>
        </is>
      </c>
      <c r="C197" s="4" t="inlineStr">
        <is>
          <t>Sicherheitskomponenten</t>
        </is>
      </c>
      <c r="D197" s="4" t="inlineStr">
        <is>
          <t>MF-K12-R2</t>
        </is>
      </c>
      <c r="E197" s="4" t="n">
        <v>250</v>
      </c>
      <c r="F197" s="4" t="inlineStr">
        <is>
          <t>(4.5 UCM-Schutz (unbeabsichtigte Fahrkorbbewegung, A3 / EN 81-20 5.6.7) vorhanden? = Nein UND 8.27 Türüberbrückung (SR-Modul) für Nachregulieren / Voraböffnen mit offener Tür vorhanden? = Nein UND 6.2 Zweikreisbremse (redundante Betriebsbremse) vorhanden? = Ja UND 6.2a Bremse elektrisch überwacht (Bremskontrollschalter)? = Ja UND 4.6 Antriebswelle statisch bestimmt gelagert (keine 3-Punkt-Lagerung)? = Ja)</t>
        </is>
      </c>
      <c r="G197" s="4" t="inlineStr">
        <is>
          <t>Niedrig</t>
        </is>
      </c>
      <c r="H197" s="4" t="inlineStr">
        <is>
          <t>HIGH_CONFIDENCE</t>
        </is>
      </c>
      <c r="I197" s="4" t="inlineStr"/>
      <c r="J197" s="4" t="inlineStr">
        <is>
          <t>Bremsüberwachung und Bremsprüfung im Wartungsumfang halten</t>
        </is>
      </c>
      <c r="K197" s="4" t="inlineStr">
        <is>
          <t>Bei Steuerungs- oder Antriebsmodernisierung UCM-Schutz nach EN 81-20 5.6.7 vorsehen</t>
        </is>
      </c>
      <c r="L197" s="4" t="inlineStr">
        <is>
          <t>Entschieden 2026-09-02: K-K08.</t>
        </is>
      </c>
      <c r="M197" s="3" t="n"/>
      <c r="N197" s="3" t="n"/>
    </row>
    <row r="198">
      <c r="A198" s="2" t="inlineStr">
        <is>
          <t>MF-K12</t>
        </is>
      </c>
      <c r="B198" s="2" t="inlineStr">
        <is>
          <t>Fehlender Schutz gegen unbeabsichtigte Fahrkorbbewegung bei offenen Türen (UCM)</t>
        </is>
      </c>
      <c r="C198" s="2" t="inlineStr">
        <is>
          <t>Sicherheitskomponenten</t>
        </is>
      </c>
      <c r="D198" s="2" t="inlineStr">
        <is>
          <t>MF-K12-R3</t>
        </is>
      </c>
      <c r="E198" s="2" t="n">
        <v>245</v>
      </c>
      <c r="F198" s="2" t="inlineStr">
        <is>
          <t>(4.5 UCM-Schutz (unbeabsichtigte Fahrkorbbewegung, A3 / EN 81-20 5.6.7) vorhanden? = Nein UND 8.27 Türüberbrückung (SR-Modul) für Nachregulieren / Voraböffnen mit offener Tür vorhanden? = Nein UND 6.2 Zweikreisbremse (redundante Betriebsbremse) vorhanden? = Ja UND 4.6 Antriebswelle statisch bestimmt gelagert (keine 3-Punkt-Lagerung)? = Ja)</t>
        </is>
      </c>
      <c r="G198" s="2" t="inlineStr">
        <is>
          <t>Mittel</t>
        </is>
      </c>
      <c r="H198" s="2" t="inlineStr">
        <is>
          <t>HIGH_CONFIDENCE</t>
        </is>
      </c>
      <c r="I198" s="2" t="inlineStr"/>
      <c r="J198" s="2" t="inlineStr"/>
      <c r="K198" s="2" t="inlineStr">
        <is>
          <t>Bremskontrollschalter nachrüsten</t>
        </is>
      </c>
      <c r="L198" s="2" t="inlineStr">
        <is>
          <t>TRBS 3121 Anh. 1 Nr. 16: statisch bestimmte Lagerung und Zweikreisbremse (ohne Überwachung) ausdrücklich mittleres Risiko. Entschieden 2026-09-02: K-K11.</t>
        </is>
      </c>
      <c r="M198" s="3" t="n"/>
      <c r="N198" s="3" t="n"/>
    </row>
    <row r="199">
      <c r="A199" s="4" t="inlineStr">
        <is>
          <t>MF-K12</t>
        </is>
      </c>
      <c r="B199" s="4" t="inlineStr">
        <is>
          <t>Fehlender Schutz gegen unbeabsichtigte Fahrkorbbewegung bei offenen Türen (UCM)</t>
        </is>
      </c>
      <c r="C199" s="4" t="inlineStr">
        <is>
          <t>Sicherheitskomponenten</t>
        </is>
      </c>
      <c r="D199" s="4" t="inlineStr">
        <is>
          <t>MF-K12-R4</t>
        </is>
      </c>
      <c r="E199" s="4" t="n">
        <v>100</v>
      </c>
      <c r="F199" s="4" t="inlineStr">
        <is>
          <t>4.5 UCM-Schutz (unbeabsichtigte Fahrkorbbewegung, A3 / EN 81-20 5.6.7) vorhanden? = Nein</t>
        </is>
      </c>
      <c r="G199" s="4" t="inlineStr">
        <is>
          <t>Hoch</t>
        </is>
      </c>
      <c r="H199" s="4" t="inlineStr">
        <is>
          <t>HIGH_CONFIDENCE</t>
        </is>
      </c>
      <c r="I199" s="4" t="inlineStr"/>
      <c r="J199" s="4" t="inlineStr">
        <is>
          <t>Regelmäßige Kontrolle durch beauftragte Person</t>
        </is>
      </c>
      <c r="K199" s="4" t="inlineStr">
        <is>
          <t>Zweikreis-Bremssystem mit Bremsüberwachung nachrüsten</t>
        </is>
      </c>
      <c r="L199" s="4" t="inlineStr"/>
      <c r="M199" s="3" t="n"/>
      <c r="N199" s="3" t="n"/>
    </row>
    <row r="200">
      <c r="A200" s="2" t="inlineStr">
        <is>
          <t>MF-K12</t>
        </is>
      </c>
      <c r="B200" s="2" t="inlineStr">
        <is>
          <t>Fehlender Schutz gegen unbeabsichtigte Fahrkorbbewegung bei offenen Türen (UCM)</t>
        </is>
      </c>
      <c r="C200" s="2" t="inlineStr">
        <is>
          <t>Sicherheitskomponenten</t>
        </is>
      </c>
      <c r="D200" s="2" t="inlineStr">
        <is>
          <t>MF-K12-R5</t>
        </is>
      </c>
      <c r="E200" s="2" t="n">
        <v>1</v>
      </c>
      <c r="F200" s="2" t="inlineStr">
        <is>
          <t>4.5 UCM-Schutz (unbeabsichtigte Fahrkorbbewegung, A3 / EN 81-20 5.6.7) vorhanden? beantwortet</t>
        </is>
      </c>
      <c r="G200" s="2" t="inlineStr">
        <is>
          <t>Kein Risiko</t>
        </is>
      </c>
      <c r="H200" s="2" t="inlineStr">
        <is>
          <t>HIGH_CONFIDENCE</t>
        </is>
      </c>
      <c r="I200" s="2" t="inlineStr"/>
      <c r="J200" s="2" t="inlineStr">
        <is>
          <t>Zustand erhalten; bei der wiederkehrenden Prüfung und der Betreiberkontrolle erneut prüfen</t>
        </is>
      </c>
      <c r="K200" s="2" t="inlineStr"/>
      <c r="L200" s="2" t="inlineStr">
        <is>
          <t>Kein Risiko: keine Mangelregel trifft zu, alle Pflichtfragen beantwortet.</t>
        </is>
      </c>
      <c r="M200" s="3" t="n"/>
      <c r="N200" s="3" t="n"/>
    </row>
    <row r="201">
      <c r="A201" s="4" t="inlineStr">
        <is>
          <t>MF-K13</t>
        </is>
      </c>
      <c r="B201" s="4" t="inlineStr">
        <is>
          <t>Fehlender Schutz gegen Übergeschwindigkeit aufwärts / Sturz nach oben</t>
        </is>
      </c>
      <c r="C201" s="4" t="inlineStr">
        <is>
          <t>Sicherheitskomponenten</t>
        </is>
      </c>
      <c r="D201" s="4" t="inlineStr">
        <is>
          <t>MF-K13-R1</t>
        </is>
      </c>
      <c r="E201" s="4" t="n">
        <v>100</v>
      </c>
      <c r="F201" s="4" t="inlineStr">
        <is>
          <t>8.28 Schutz gegen Übergeschwindigkeit aufwärts / Sturz nach oben = „Nicht verhindert"</t>
        </is>
      </c>
      <c r="G201" s="4" t="inlineStr">
        <is>
          <t>Hoch</t>
        </is>
      </c>
      <c r="H201" s="4" t="inlineStr">
        <is>
          <t>HIGH_CONFIDENCE</t>
        </is>
      </c>
      <c r="I201" s="4" t="inlineStr"/>
      <c r="J201" s="4" t="inlineStr">
        <is>
          <t>Regelmäßige Materialprüfung (z.B. Ultraschall)</t>
        </is>
      </c>
      <c r="K201" s="4" t="inlineStr">
        <is>
          <t>Sturzverhinderung nach oben nachrüsten</t>
        </is>
      </c>
      <c r="L201" s="4" t="inlineStr"/>
      <c r="M201" s="3" t="n"/>
      <c r="N201" s="3" t="n"/>
    </row>
    <row r="202">
      <c r="A202" s="2" t="inlineStr">
        <is>
          <t>MF-K13</t>
        </is>
      </c>
      <c r="B202" s="2" t="inlineStr">
        <is>
          <t>Fehlender Schutz gegen Übergeschwindigkeit aufwärts / Sturz nach oben</t>
        </is>
      </c>
      <c r="C202" s="2" t="inlineStr">
        <is>
          <t>Sicherheitskomponenten</t>
        </is>
      </c>
      <c r="D202" s="2" t="inlineStr">
        <is>
          <t>MF-K13-R2</t>
        </is>
      </c>
      <c r="E202" s="2" t="n">
        <v>1</v>
      </c>
      <c r="F202" s="2" t="inlineStr">
        <is>
          <t>8.28 Schutz gegen Übergeschwindigkeit aufwärts / Sturz nach oben beantwortet</t>
        </is>
      </c>
      <c r="G202" s="2" t="inlineStr">
        <is>
          <t>Kein Risiko</t>
        </is>
      </c>
      <c r="H202" s="2" t="inlineStr">
        <is>
          <t>HIGH_CONFIDENCE</t>
        </is>
      </c>
      <c r="I202" s="2" t="inlineStr"/>
      <c r="J202" s="2" t="inlineStr">
        <is>
          <t>Zustand erhalten; bei der wiederkehrenden Prüfung und der Betreiberkontrolle erneut prüfen</t>
        </is>
      </c>
      <c r="K202" s="2" t="inlineStr"/>
      <c r="L202" s="2" t="inlineStr">
        <is>
          <t>Kein Risiko: keine Mangelregel trifft zu, alle Pflichtfragen beantwortet.</t>
        </is>
      </c>
      <c r="M202" s="3" t="n"/>
      <c r="N202" s="3" t="n"/>
    </row>
    <row r="203">
      <c r="A203" s="4" t="inlineStr">
        <is>
          <t>MF-K14</t>
        </is>
      </c>
      <c r="B203" s="4" t="inlineStr">
        <is>
          <t>Statisch unbestimmt gelagerte Antriebswelle (3-Punkt-Lagerung)</t>
        </is>
      </c>
      <c r="C203" s="4" t="inlineStr">
        <is>
          <t>Antrieb, Bremse und Hydraulik</t>
        </is>
      </c>
      <c r="D203" s="4" t="inlineStr">
        <is>
          <t>MF-K14-R1</t>
        </is>
      </c>
      <c r="E203" s="4" t="n">
        <v>200</v>
      </c>
      <c r="F203" s="4" t="inlineStr">
        <is>
          <t>(4.6 Antriebswelle statisch bestimmt gelagert (keine 3-Punkt-Lagerung)? = Nein UND 8.28 Schutz gegen Übergeschwindigkeit aufwärts / Sturz nach oben = „Aktive Maßnahme (Notbremssystem / SAFÜ auf Seil oder Treibscheibe)")</t>
        </is>
      </c>
      <c r="G203" s="4" t="inlineStr">
        <is>
          <t>Niedrig</t>
        </is>
      </c>
      <c r="H203" s="4" t="inlineStr">
        <is>
          <t>INFERRED</t>
        </is>
      </c>
      <c r="I203" s="4" t="inlineStr"/>
      <c r="J203" s="4" t="inlineStr">
        <is>
          <t>Schutzmaßnahmen (SAFÜ/Notbremse) weiterhin aufrechterhalten und prüfen</t>
        </is>
      </c>
      <c r="K203" s="4" t="inlineStr">
        <is>
          <t>Bei Modernisierung des Antriebs statisch bestimmte Lagerung vorsehen</t>
        </is>
      </c>
      <c r="L203" s="4" t="inlineStr">
        <is>
          <t>Blaupause Schindler M004: 3-Punkt-Lagerung mit SAFÜ = Niedrig (DIRECT belegt).</t>
        </is>
      </c>
      <c r="M203" s="3" t="n"/>
      <c r="N203" s="3" t="n"/>
    </row>
    <row r="204">
      <c r="A204" s="2" t="inlineStr">
        <is>
          <t>MF-K14</t>
        </is>
      </c>
      <c r="B204" s="2" t="inlineStr">
        <is>
          <t>Statisch unbestimmt gelagerte Antriebswelle (3-Punkt-Lagerung)</t>
        </is>
      </c>
      <c r="C204" s="2" t="inlineStr">
        <is>
          <t>Antrieb, Bremse und Hydraulik</t>
        </is>
      </c>
      <c r="D204" s="2" t="inlineStr">
        <is>
          <t>MF-K14-R2</t>
        </is>
      </c>
      <c r="E204" s="2" t="n">
        <v>100</v>
      </c>
      <c r="F204" s="2" t="inlineStr">
        <is>
          <t>4.6 Antriebswelle statisch bestimmt gelagert (keine 3-Punkt-Lagerung)? = Nein</t>
        </is>
      </c>
      <c r="G204" s="2" t="inlineStr">
        <is>
          <t>Hoch</t>
        </is>
      </c>
      <c r="H204" s="2" t="inlineStr">
        <is>
          <t>HIGH_CONFIDENCE</t>
        </is>
      </c>
      <c r="I204" s="2" t="inlineStr"/>
      <c r="J204" s="2" t="inlineStr">
        <is>
          <t>Regelmäßige Materialprüfung (z.B. Ultraschall)</t>
        </is>
      </c>
      <c r="K204" s="2" t="inlineStr">
        <is>
          <t>Antrieb tauschen, Machinenrahmen oder UCM nachrüsten</t>
        </is>
      </c>
      <c r="L204" s="2" t="inlineStr"/>
      <c r="M204" s="3" t="n"/>
      <c r="N204" s="3" t="n"/>
    </row>
    <row r="205">
      <c r="A205" s="4" t="inlineStr">
        <is>
          <t>MF-K14</t>
        </is>
      </c>
      <c r="B205" s="4" t="inlineStr">
        <is>
          <t>Statisch unbestimmt gelagerte Antriebswelle (3-Punkt-Lagerung)</t>
        </is>
      </c>
      <c r="C205" s="4" t="inlineStr">
        <is>
          <t>Antrieb, Bremse und Hydraulik</t>
        </is>
      </c>
      <c r="D205" s="4" t="inlineStr">
        <is>
          <t>MF-K14-R3</t>
        </is>
      </c>
      <c r="E205" s="4" t="n">
        <v>1</v>
      </c>
      <c r="F205" s="4" t="inlineStr">
        <is>
          <t>4.6 Antriebswelle statisch bestimmt gelagert (keine 3-Punkt-Lagerung)? beantwortet</t>
        </is>
      </c>
      <c r="G205" s="4" t="inlineStr">
        <is>
          <t>Kein Risiko</t>
        </is>
      </c>
      <c r="H205" s="4" t="inlineStr">
        <is>
          <t>HIGH_CONFIDENCE</t>
        </is>
      </c>
      <c r="I205" s="4" t="inlineStr"/>
      <c r="J205" s="4" t="inlineStr">
        <is>
          <t>Zustand erhalten; bei der wiederkehrenden Prüfung und der Betreiberkontrolle erneut prüfen</t>
        </is>
      </c>
      <c r="K205" s="4" t="inlineStr"/>
      <c r="L205" s="4" t="inlineStr">
        <is>
          <t>Kein Risiko: keine Mangelregel trifft zu, alle Pflichtfragen beantwortet.</t>
        </is>
      </c>
      <c r="M205" s="3" t="n"/>
      <c r="N205" s="3" t="n"/>
    </row>
    <row r="206">
      <c r="A206" s="2" t="inlineStr">
        <is>
          <t>MF-K15</t>
        </is>
      </c>
      <c r="B206" s="2" t="inlineStr">
        <is>
          <t>Unzureichende Beleuchtung im Fahrkorb (Normalbetrieb)</t>
        </is>
      </c>
      <c r="C206" s="2" t="inlineStr">
        <is>
          <t>Beleuchtung</t>
        </is>
      </c>
      <c r="D206" s="2" t="inlineStr">
        <is>
          <t>MF-K15-R1</t>
        </is>
      </c>
      <c r="E206" s="2" t="n">
        <v>300</v>
      </c>
      <c r="F206" s="2" t="inlineStr">
        <is>
          <t>8.29 Beleuchtung im Fahrkorb (Normalbetrieb) = „Keine funktionsfähige Beleuchtung im Fahrkorb"</t>
        </is>
      </c>
      <c r="G206" s="2" t="inlineStr">
        <is>
          <t>Mittel</t>
        </is>
      </c>
      <c r="H206" s="2" t="inlineStr">
        <is>
          <t>HIGH_CONFIDENCE</t>
        </is>
      </c>
      <c r="I206" s="2" t="inlineStr"/>
      <c r="J206" s="2" t="inlineStr">
        <is>
          <t>Beleuchtung instand setzen; bis dahin Notbeleuchtung und Notruf prüfen</t>
        </is>
      </c>
      <c r="K206" s="2" t="inlineStr">
        <is>
          <t>Fest installierte Fahrkorbbeleuchtung nach EN 81-20 5.4.10.1 herstellen (mind. 100 Lux)</t>
        </is>
      </c>
      <c r="L206" s="2" t="inlineStr"/>
      <c r="M206" s="3" t="n"/>
      <c r="N206" s="3" t="n"/>
    </row>
    <row r="207">
      <c r="A207" s="4" t="inlineStr">
        <is>
          <t>MF-K15</t>
        </is>
      </c>
      <c r="B207" s="4" t="inlineStr">
        <is>
          <t>Unzureichende Beleuchtung im Fahrkorb (Normalbetrieb)</t>
        </is>
      </c>
      <c r="C207" s="4" t="inlineStr">
        <is>
          <t>Beleuchtung</t>
        </is>
      </c>
      <c r="D207" s="4" t="inlineStr">
        <is>
          <t>MF-K15-R2</t>
        </is>
      </c>
      <c r="E207" s="4" t="n">
        <v>200</v>
      </c>
      <c r="F207" s="4" t="inlineStr">
        <is>
          <t>8.29 Beleuchtung im Fahrkorb (Normalbetrieb) = „Beleuchtung vorhanden, aber unter 100 Lux, einzelne Lampen defekt oder stark vergilbte Abdeckung"</t>
        </is>
      </c>
      <c r="G207" s="4" t="inlineStr">
        <is>
          <t>Niedrig</t>
        </is>
      </c>
      <c r="H207" s="4" t="inlineStr">
        <is>
          <t>HIGH_CONFIDENCE</t>
        </is>
      </c>
      <c r="I207" s="4" t="inlineStr"/>
      <c r="J207" s="4" t="inlineStr">
        <is>
          <t>Defekte Lampen tauschen, Abdeckungen reinigen oder erneuern</t>
        </is>
      </c>
      <c r="K207" s="4" t="inlineStr">
        <is>
          <t>Beleuchtungsstärke auf mindestens 100 Lux anheben (Messung an den Befehlsgebern und 1 m über dem Boden)</t>
        </is>
      </c>
      <c r="L207" s="4" t="inlineStr"/>
      <c r="M207" s="3" t="n"/>
      <c r="N207" s="3" t="n"/>
    </row>
    <row r="208">
      <c r="A208" s="2" t="inlineStr">
        <is>
          <t>MF-K15</t>
        </is>
      </c>
      <c r="B208" s="2" t="inlineStr">
        <is>
          <t>Unzureichende Beleuchtung im Fahrkorb (Normalbetrieb)</t>
        </is>
      </c>
      <c r="C208" s="2" t="inlineStr">
        <is>
          <t>Beleuchtung</t>
        </is>
      </c>
      <c r="D208" s="2" t="inlineStr">
        <is>
          <t>MF-K15-R3</t>
        </is>
      </c>
      <c r="E208" s="2" t="n">
        <v>150</v>
      </c>
      <c r="F208" s="2" t="inlineStr">
        <is>
          <t>8.29a Mindestens zwei parallel geschaltete Lampen im Fahrkorb? = Nein</t>
        </is>
      </c>
      <c r="G208" s="2" t="inlineStr">
        <is>
          <t>Niedrig</t>
        </is>
      </c>
      <c r="H208" s="2" t="inlineStr">
        <is>
          <t>HIGH_CONFIDENCE</t>
        </is>
      </c>
      <c r="I208" s="2" t="inlineStr"/>
      <c r="J208" s="2" t="inlineStr">
        <is>
          <t>Ausfall der Beleuchtung in die Betriebsanweisung aufnehmen (Verhalten bei Dunkelheit im Fahrkorb)</t>
        </is>
      </c>
      <c r="K208" s="2" t="inlineStr">
        <is>
          <t>Mindestens zwei parallel geschaltete Lampen einbauen (EN 81-20 5.4.10.2)</t>
        </is>
      </c>
      <c r="L208" s="2" t="inlineStr"/>
      <c r="M208" s="3" t="n"/>
      <c r="N208" s="3" t="n"/>
    </row>
    <row r="209">
      <c r="A209" s="4" t="inlineStr">
        <is>
          <t>MF-K15</t>
        </is>
      </c>
      <c r="B209" s="4" t="inlineStr">
        <is>
          <t>Unzureichende Beleuchtung im Fahrkorb (Normalbetrieb)</t>
        </is>
      </c>
      <c r="C209" s="4" t="inlineStr">
        <is>
          <t>Beleuchtung</t>
        </is>
      </c>
      <c r="D209" s="4" t="inlineStr">
        <is>
          <t>MF-K15-R4</t>
        </is>
      </c>
      <c r="E209" s="4" t="n">
        <v>140</v>
      </c>
      <c r="F209" s="4" t="inlineStr">
        <is>
          <t>8.29b Fahrkorb ständig beleuchtet (Ausnahme: Parken mit geschlossenen Türen)? = Nein</t>
        </is>
      </c>
      <c r="G209" s="4" t="inlineStr">
        <is>
          <t>Niedrig</t>
        </is>
      </c>
      <c r="H209" s="4" t="inlineStr">
        <is>
          <t>HIGH_CONFIDENCE</t>
        </is>
      </c>
      <c r="I209" s="4" t="inlineStr"/>
      <c r="J209" s="4" t="inlineStr">
        <is>
          <t>Abschaltung der Fahrkorbbeleuchtung im Betrieb unterbinden</t>
        </is>
      </c>
      <c r="K209" s="4" t="inlineStr">
        <is>
          <t>Beleuchtung so schalten, dass der Fahrkorb außer beim Parken mit geschlossenen Türen ständig beleuchtet ist (EN 81-20 5.4.10.3)</t>
        </is>
      </c>
      <c r="L209" s="4" t="inlineStr"/>
      <c r="M209" s="3" t="n"/>
      <c r="N209" s="3" t="n"/>
    </row>
    <row r="210">
      <c r="A210" s="2" t="inlineStr">
        <is>
          <t>MF-K15</t>
        </is>
      </c>
      <c r="B210" s="2" t="inlineStr">
        <is>
          <t>Unzureichende Beleuchtung im Fahrkorb (Normalbetrieb)</t>
        </is>
      </c>
      <c r="C210" s="2" t="inlineStr">
        <is>
          <t>Beleuchtung</t>
        </is>
      </c>
      <c r="D210" s="2" t="inlineStr">
        <is>
          <t>MF-K15-R5</t>
        </is>
      </c>
      <c r="E210" s="2" t="n">
        <v>1</v>
      </c>
      <c r="F210" s="2" t="inlineStr">
        <is>
          <t>8.29 Beleuchtung im Fahrkorb (Normalbetrieb) beantwortet</t>
        </is>
      </c>
      <c r="G210" s="2" t="inlineStr">
        <is>
          <t>Kein Risiko</t>
        </is>
      </c>
      <c r="H210" s="2" t="inlineStr">
        <is>
          <t>HIGH_CONFIDENCE</t>
        </is>
      </c>
      <c r="I210" s="2" t="inlineStr"/>
      <c r="J210" s="2" t="inlineStr">
        <is>
          <t>Zustand erhalten; bei der wiederkehrenden Prüfung und der Betreiberkontrolle erneut prüfen</t>
        </is>
      </c>
      <c r="K210" s="2" t="inlineStr"/>
      <c r="L210" s="2" t="inlineStr">
        <is>
          <t>Kein Risiko: keine Mangelregel trifft zu, alle Pflichtfragen beantwortet.</t>
        </is>
      </c>
      <c r="M210" s="3" t="n"/>
      <c r="N210" s="3" t="n"/>
    </row>
    <row r="211">
      <c r="A211" s="4" t="inlineStr">
        <is>
          <t>MF-F01</t>
        </is>
      </c>
      <c r="B211" s="4" t="inlineStr">
        <is>
          <t>Fehlende oder unzureichende Absturzsicherung auf dem Fahrkorbdach</t>
        </is>
      </c>
      <c r="C211" s="4" t="inlineStr">
        <is>
          <t>Fahrkorbdach und Schachtkopf</t>
        </is>
      </c>
      <c r="D211" s="4" t="inlineStr">
        <is>
          <t>MF-F01-R1</t>
        </is>
      </c>
      <c r="E211" s="4" t="n">
        <v>100</v>
      </c>
      <c r="F211" s="4" t="inlineStr">
        <is>
          <t>(9.1 Größter horizontaler Abstand zwischen Fahrkorbdachkante und Schachtwand [mm] &gt; 300 UND 9.2 Geländer auf dem Fahrkorbdach vorhanden? = Nein)</t>
        </is>
      </c>
      <c r="G211" s="4" t="inlineStr">
        <is>
          <t>Hoch</t>
        </is>
      </c>
      <c r="H211" s="4" t="inlineStr">
        <is>
          <t>HIGH_CONFIDENCE</t>
        </is>
      </c>
      <c r="I211" s="4" t="inlineStr"/>
      <c r="J211" s="4" t="inlineStr">
        <is>
          <t>Rückhalte- oder Absturzsicherungssystem verwenden</t>
        </is>
      </c>
      <c r="K211" s="4" t="inlineStr">
        <is>
          <t>Geländer nachrüsten bzw. erhöhen</t>
        </is>
      </c>
      <c r="L211" s="4" t="inlineStr">
        <is>
          <t>Entschieden 2026-09-02: K-F02.</t>
        </is>
      </c>
      <c r="M211" s="3" t="n"/>
      <c r="N211" s="3" t="n"/>
    </row>
    <row r="212">
      <c r="A212" s="2" t="inlineStr">
        <is>
          <t>MF-F01</t>
        </is>
      </c>
      <c r="B212" s="2" t="inlineStr">
        <is>
          <t>Fehlende oder unzureichende Absturzsicherung auf dem Fahrkorbdach</t>
        </is>
      </c>
      <c r="C212" s="2" t="inlineStr">
        <is>
          <t>Fahrkorbdach und Schachtkopf</t>
        </is>
      </c>
      <c r="D212" s="2" t="inlineStr">
        <is>
          <t>MF-F01-R2</t>
        </is>
      </c>
      <c r="E212" s="2" t="n">
        <v>100</v>
      </c>
      <c r="F212" s="2" t="inlineStr">
        <is>
          <t>(9.1 Größter horizontaler Abstand zwischen Fahrkorbdachkante und Schachtwand [mm] &gt; 300 UND 9.2 Geländer auf dem Fahrkorbdach vorhanden? = Ja UND 9.3 Geländerhöhe [mm] &lt; 700)</t>
        </is>
      </c>
      <c r="G212" s="2" t="inlineStr">
        <is>
          <t>Hoch</t>
        </is>
      </c>
      <c r="H212" s="2" t="inlineStr">
        <is>
          <t>HIGH_CONFIDENCE</t>
        </is>
      </c>
      <c r="I212" s="2" t="inlineStr"/>
      <c r="J212" s="2" t="inlineStr">
        <is>
          <t>Rückhalte- oder Absturzsicherungssystem verwenden</t>
        </is>
      </c>
      <c r="K212" s="2" t="inlineStr">
        <is>
          <t>Geländer nachrüsten bzw. erhöhen</t>
        </is>
      </c>
      <c r="L212" s="2" t="inlineStr"/>
      <c r="M212" s="3" t="n"/>
      <c r="N212" s="3" t="n"/>
    </row>
    <row r="213">
      <c r="A213" s="4" t="inlineStr">
        <is>
          <t>MF-F01</t>
        </is>
      </c>
      <c r="B213" s="4" t="inlineStr">
        <is>
          <t>Fehlende oder unzureichende Absturzsicherung auf dem Fahrkorbdach</t>
        </is>
      </c>
      <c r="C213" s="4" t="inlineStr">
        <is>
          <t>Fahrkorbdach und Schachtkopf</t>
        </is>
      </c>
      <c r="D213" s="4" t="inlineStr">
        <is>
          <t>MF-F01-R3</t>
        </is>
      </c>
      <c r="E213" s="4" t="n">
        <v>100</v>
      </c>
      <c r="F213" s="4" t="inlineStr">
        <is>
          <t>(9.1 Größter horizontaler Abstand zwischen Fahrkorbdachkante und Schachtwand [mm] &gt; 850 UND 9.2 Geländer auf dem Fahrkorbdach vorhanden? = Ja UND 9.3 Geländerhöhe [mm] &lt; 1100)</t>
        </is>
      </c>
      <c r="G213" s="4" t="inlineStr">
        <is>
          <t>Hoch</t>
        </is>
      </c>
      <c r="H213" s="4" t="inlineStr">
        <is>
          <t>INFERRED</t>
        </is>
      </c>
      <c r="I213" s="4" t="inlineStr"/>
      <c r="J213" s="4" t="inlineStr">
        <is>
          <t>Rückhalte- oder Absturzsicherungssystem verwenden</t>
        </is>
      </c>
      <c r="K213" s="4" t="inlineStr">
        <is>
          <t>Geländer nachrüsten bzw. erhöhen</t>
        </is>
      </c>
      <c r="L213" s="4" t="inlineStr">
        <is>
          <t>Entschieden 2026-09-02: K-F01.</t>
        </is>
      </c>
      <c r="M213" s="3" t="n"/>
      <c r="N213" s="3" t="n"/>
    </row>
    <row r="214">
      <c r="A214" s="2" t="inlineStr">
        <is>
          <t>MF-F01</t>
        </is>
      </c>
      <c r="B214" s="2" t="inlineStr">
        <is>
          <t>Fehlende oder unzureichende Absturzsicherung auf dem Fahrkorbdach</t>
        </is>
      </c>
      <c r="C214" s="2" t="inlineStr">
        <is>
          <t>Fahrkorbdach und Schachtkopf</t>
        </is>
      </c>
      <c r="D214" s="2" t="inlineStr">
        <is>
          <t>MF-F01-R4</t>
        </is>
      </c>
      <c r="E214" s="2" t="n">
        <v>100</v>
      </c>
      <c r="F214" s="2" t="inlineStr">
        <is>
          <t>(9.1 Größter horizontaler Abstand zwischen Fahrkorbdachkante und Schachtwand [mm] &gt; 500 UND 9.2 Geländer auf dem Fahrkorbdach vorhanden? = Ja UND 9.3 Geländerhöhe [mm] &lt; 1100)</t>
        </is>
      </c>
      <c r="G214" s="2" t="inlineStr">
        <is>
          <t>Mittel</t>
        </is>
      </c>
      <c r="H214" s="2" t="inlineStr">
        <is>
          <t>HIGH_CONFIDENCE</t>
        </is>
      </c>
      <c r="I214" s="2" t="inlineStr"/>
      <c r="J214" s="2" t="inlineStr">
        <is>
          <t>Rückhalte- oder Absturzsicherungssystem verwenden</t>
        </is>
      </c>
      <c r="K214" s="2" t="inlineStr">
        <is>
          <t>Geländer auf 110 cm erhöhen bzw. erneuern</t>
        </is>
      </c>
      <c r="L214" s="2" t="inlineStr"/>
      <c r="M214" s="3" t="n"/>
      <c r="N214" s="3" t="n"/>
    </row>
    <row r="215">
      <c r="A215" s="4" t="inlineStr">
        <is>
          <t>MF-F01</t>
        </is>
      </c>
      <c r="B215" s="4" t="inlineStr">
        <is>
          <t>Fehlende oder unzureichende Absturzsicherung auf dem Fahrkorbdach</t>
        </is>
      </c>
      <c r="C215" s="4" t="inlineStr">
        <is>
          <t>Fahrkorbdach und Schachtkopf</t>
        </is>
      </c>
      <c r="D215" s="4" t="inlineStr">
        <is>
          <t>MF-F01-R5</t>
        </is>
      </c>
      <c r="E215" s="4" t="n">
        <v>100</v>
      </c>
      <c r="F215" s="4" t="inlineStr">
        <is>
          <t>9.4 Fußleiste (mind. 100 mm) am Rand des Fahrkorbdachs vorhanden? = Nein</t>
        </is>
      </c>
      <c r="G215" s="4" t="inlineStr">
        <is>
          <t>Mittel</t>
        </is>
      </c>
      <c r="H215" s="4" t="inlineStr">
        <is>
          <t>HIGH_CONFIDENCE</t>
        </is>
      </c>
      <c r="I215" s="4" t="inlineStr"/>
      <c r="J215" s="4" t="inlineStr">
        <is>
          <t>Mit Fuß nicht über den Rand des Fahrkorbdaches treten!</t>
        </is>
      </c>
      <c r="K215" s="4" t="inlineStr">
        <is>
          <t>Fußleiste nachrüsten</t>
        </is>
      </c>
      <c r="L215" s="4" t="inlineStr"/>
      <c r="M215" s="3" t="n"/>
      <c r="N215" s="3" t="n"/>
    </row>
    <row r="216">
      <c r="A216" s="2" t="inlineStr">
        <is>
          <t>MF-F01</t>
        </is>
      </c>
      <c r="B216" s="2" t="inlineStr">
        <is>
          <t>Fehlende oder unzureichende Absturzsicherung auf dem Fahrkorbdach</t>
        </is>
      </c>
      <c r="C216" s="2" t="inlineStr">
        <is>
          <t>Fahrkorbdach und Schachtkopf</t>
        </is>
      </c>
      <c r="D216" s="2" t="inlineStr">
        <is>
          <t>MF-F01-R6</t>
        </is>
      </c>
      <c r="E216" s="2" t="n">
        <v>1</v>
      </c>
      <c r="F216" s="2" t="inlineStr">
        <is>
          <t>9.1 Größter horizontaler Abstand zwischen Fahrkorbdachkante und Schachtwand [mm] beantwortet</t>
        </is>
      </c>
      <c r="G216" s="2" t="inlineStr">
        <is>
          <t>Kein Risiko</t>
        </is>
      </c>
      <c r="H216" s="2" t="inlineStr">
        <is>
          <t>HIGH_CONFIDENCE</t>
        </is>
      </c>
      <c r="I216" s="2" t="inlineStr"/>
      <c r="J216" s="2" t="inlineStr">
        <is>
          <t>Zustand erhalten; bei der wiederkehrenden Prüfung und der Betreiberkontrolle erneut prüfen</t>
        </is>
      </c>
      <c r="K216" s="2" t="inlineStr"/>
      <c r="L216" s="2" t="inlineStr">
        <is>
          <t>Kein Risiko: keine Mangelregel trifft zu, alle Pflichtfragen beantwortet.</t>
        </is>
      </c>
      <c r="M216" s="3" t="n"/>
      <c r="N216" s="3" t="n"/>
    </row>
    <row r="217">
      <c r="A217" s="4" t="inlineStr">
        <is>
          <t>MF-F02</t>
        </is>
      </c>
      <c r="B217" s="4" t="inlineStr">
        <is>
          <t>Einzugsgefahr an Rollen im Schachtkopf / auf dem Fahrkorbdach</t>
        </is>
      </c>
      <c r="C217" s="4" t="inlineStr">
        <is>
          <t>Fahrkorbdach und Schachtkopf</t>
        </is>
      </c>
      <c r="D217" s="4" t="inlineStr">
        <is>
          <t>MF-F02-R1</t>
        </is>
      </c>
      <c r="E217" s="4" t="n">
        <v>100</v>
      </c>
      <c r="F217" s="4" t="inlineStr">
        <is>
          <t>9.5a Abdeckung der Einzugstellen = „Einzugstellen offen"</t>
        </is>
      </c>
      <c r="G217" s="4" t="inlineStr">
        <is>
          <t>Hoch</t>
        </is>
      </c>
      <c r="H217" s="4" t="inlineStr">
        <is>
          <t>HIGH_CONFIDENCE</t>
        </is>
      </c>
      <c r="I217" s="4" t="inlineStr"/>
      <c r="J217" s="4" t="inlineStr">
        <is>
          <t>Sicherer Stand! Erhöhte Vorsicht!</t>
        </is>
      </c>
      <c r="K217" s="4" t="inlineStr">
        <is>
          <t>Komplettabdeckungen nachrüsten</t>
        </is>
      </c>
      <c r="L217" s="4" t="inlineStr"/>
      <c r="M217" s="3" t="n"/>
      <c r="N217" s="3" t="n"/>
    </row>
    <row r="218">
      <c r="A218" s="2" t="inlineStr">
        <is>
          <t>MF-F02</t>
        </is>
      </c>
      <c r="B218" s="2" t="inlineStr">
        <is>
          <t>Einzugsgefahr an Rollen im Schachtkopf / auf dem Fahrkorbdach</t>
        </is>
      </c>
      <c r="C218" s="2" t="inlineStr">
        <is>
          <t>Fahrkorbdach und Schachtkopf</t>
        </is>
      </c>
      <c r="D218" s="2" t="inlineStr">
        <is>
          <t>MF-F02-R2</t>
        </is>
      </c>
      <c r="E218" s="2" t="n">
        <v>100</v>
      </c>
      <c r="F218" s="2" t="inlineStr">
        <is>
          <t>9.5a Abdeckung der Einzugstellen = „Teilweise abgedeckt"</t>
        </is>
      </c>
      <c r="G218" s="2" t="inlineStr">
        <is>
          <t>Mittel</t>
        </is>
      </c>
      <c r="H218" s="2" t="inlineStr">
        <is>
          <t>HIGH_CONFIDENCE</t>
        </is>
      </c>
      <c r="I218" s="2" t="inlineStr"/>
      <c r="J218" s="2" t="inlineStr">
        <is>
          <t>Sicherer Stand! Erhöhte Vorsicht!</t>
        </is>
      </c>
      <c r="K218" s="2" t="inlineStr">
        <is>
          <t>Komplettabdeckungen nachrüsten</t>
        </is>
      </c>
      <c r="L218" s="2" t="inlineStr"/>
      <c r="M218" s="3" t="n"/>
      <c r="N218" s="3" t="n"/>
    </row>
    <row r="219">
      <c r="A219" s="4" t="inlineStr">
        <is>
          <t>MF-F02</t>
        </is>
      </c>
      <c r="B219" s="4" t="inlineStr">
        <is>
          <t>Einzugsgefahr an Rollen im Schachtkopf / auf dem Fahrkorbdach</t>
        </is>
      </c>
      <c r="C219" s="4" t="inlineStr">
        <is>
          <t>Fahrkorbdach und Schachtkopf</t>
        </is>
      </c>
      <c r="D219" s="4" t="inlineStr">
        <is>
          <t>MF-F02-R3</t>
        </is>
      </c>
      <c r="E219" s="4" t="n">
        <v>1</v>
      </c>
      <c r="F219" s="4" t="inlineStr">
        <is>
          <t>9.5 Einzugstellen im Schachtkopf / auf dem Fahrkorbdach vorhanden (Umlenkrollen, Heberrolle, Seilrollen)? beantwortet</t>
        </is>
      </c>
      <c r="G219" s="4" t="inlineStr">
        <is>
          <t>Kein Risiko</t>
        </is>
      </c>
      <c r="H219" s="4" t="inlineStr">
        <is>
          <t>HIGH_CONFIDENCE</t>
        </is>
      </c>
      <c r="I219" s="4" t="inlineStr"/>
      <c r="J219" s="4" t="inlineStr">
        <is>
          <t>Zustand erhalten; bei der wiederkehrenden Prüfung und der Betreiberkontrolle erneut prüfen</t>
        </is>
      </c>
      <c r="K219" s="4" t="inlineStr"/>
      <c r="L219" s="4" t="inlineStr">
        <is>
          <t>Kein Risiko: keine Mangelregel trifft zu, alle Pflichtfragen beantwortet.</t>
        </is>
      </c>
      <c r="M219" s="3" t="n"/>
      <c r="N219" s="3" t="n"/>
    </row>
    <row r="220">
      <c r="A220" s="2" t="inlineStr">
        <is>
          <t>MF-F03</t>
        </is>
      </c>
      <c r="B220" s="2" t="inlineStr">
        <is>
          <t>Gefährdung durch Nachbaraufzug oder dessen Gegengewicht (Fahrkorbdach)</t>
        </is>
      </c>
      <c r="C220" s="2" t="inlineStr">
        <is>
          <t>Fahrkorbdach und Schachtkopf</t>
        </is>
      </c>
      <c r="D220" s="2" t="inlineStr">
        <is>
          <t>MF-F03-R1</t>
        </is>
      </c>
      <c r="E220" s="2" t="n">
        <v>100</v>
      </c>
      <c r="F220" s="2" t="inlineStr">
        <is>
          <t>9.6 Abtrennung zum Nachbaraufzug / Nachbar-Gegengewicht im Bereich des Fahrkorbdachs = „Keine Abdeckung / kein Trenngitter"</t>
        </is>
      </c>
      <c r="G220" s="2" t="inlineStr">
        <is>
          <t>Hoch</t>
        </is>
      </c>
      <c r="H220" s="2" t="inlineStr">
        <is>
          <t>HIGH_CONFIDENCE</t>
        </is>
      </c>
      <c r="I220" s="2" t="inlineStr"/>
      <c r="J220" s="2" t="inlineStr">
        <is>
          <t>Bei Arbeiten immer ausschalten</t>
        </is>
      </c>
      <c r="K220" s="2" t="inlineStr">
        <is>
          <t>Engmaschiges Trenngitter nachrüsten</t>
        </is>
      </c>
      <c r="L220" s="2" t="inlineStr"/>
      <c r="M220" s="3" t="n"/>
      <c r="N220" s="3" t="n"/>
    </row>
    <row r="221">
      <c r="A221" s="4" t="inlineStr">
        <is>
          <t>MF-F03</t>
        </is>
      </c>
      <c r="B221" s="4" t="inlineStr">
        <is>
          <t>Gefährdung durch Nachbaraufzug oder dessen Gegengewicht (Fahrkorbdach)</t>
        </is>
      </c>
      <c r="C221" s="4" t="inlineStr">
        <is>
          <t>Fahrkorbdach und Schachtkopf</t>
        </is>
      </c>
      <c r="D221" s="4" t="inlineStr">
        <is>
          <t>MF-F03-R2</t>
        </is>
      </c>
      <c r="E221" s="4" t="n">
        <v>100</v>
      </c>
      <c r="F221" s="4" t="inlineStr">
        <is>
          <t>9.6 Abtrennung zum Nachbaraufzug / Nachbar-Gegengewicht im Bereich des Fahrkorbdachs = „Teilweise Abdeckungen"</t>
        </is>
      </c>
      <c r="G221" s="4" t="inlineStr">
        <is>
          <t>Mittel</t>
        </is>
      </c>
      <c r="H221" s="4" t="inlineStr">
        <is>
          <t>HIGH_CONFIDENCE</t>
        </is>
      </c>
      <c r="I221" s="4" t="inlineStr"/>
      <c r="J221" s="4" t="inlineStr">
        <is>
          <t>Besondere Vorsicht</t>
        </is>
      </c>
      <c r="K221" s="4" t="inlineStr">
        <is>
          <t>Abdeckung nachrüsten</t>
        </is>
      </c>
      <c r="L221" s="4" t="inlineStr"/>
      <c r="M221" s="3" t="n"/>
      <c r="N221" s="3" t="n"/>
    </row>
    <row r="222">
      <c r="A222" s="2" t="inlineStr">
        <is>
          <t>MF-F03</t>
        </is>
      </c>
      <c r="B222" s="2" t="inlineStr">
        <is>
          <t>Gefährdung durch Nachbaraufzug oder dessen Gegengewicht (Fahrkorbdach)</t>
        </is>
      </c>
      <c r="C222" s="2" t="inlineStr">
        <is>
          <t>Fahrkorbdach und Schachtkopf</t>
        </is>
      </c>
      <c r="D222" s="2" t="inlineStr">
        <is>
          <t>MF-F03-R3</t>
        </is>
      </c>
      <c r="E222" s="2" t="n">
        <v>100</v>
      </c>
      <c r="F222" s="2" t="inlineStr">
        <is>
          <t>9.6 Abtrennung zum Nachbaraufzug / Nachbar-Gegengewicht im Bereich des Fahrkorbdachs = „Grobmaschiges Trenngitter oder Spanndrähte"</t>
        </is>
      </c>
      <c r="G222" s="2" t="inlineStr">
        <is>
          <t>Mittel</t>
        </is>
      </c>
      <c r="H222" s="2" t="inlineStr">
        <is>
          <t>HIGH_CONFIDENCE</t>
        </is>
      </c>
      <c r="I222" s="2" t="inlineStr"/>
      <c r="J222" s="2" t="inlineStr">
        <is>
          <t>Besondere Vorsicht</t>
        </is>
      </c>
      <c r="K222" s="2" t="inlineStr">
        <is>
          <t>Engmaschiges Trenngitter nachrüsten</t>
        </is>
      </c>
      <c r="L222" s="2" t="inlineStr"/>
      <c r="M222" s="3" t="n"/>
      <c r="N222" s="3" t="n"/>
    </row>
    <row r="223">
      <c r="A223" s="4" t="inlineStr">
        <is>
          <t>MF-F03</t>
        </is>
      </c>
      <c r="B223" s="4" t="inlineStr">
        <is>
          <t>Gefährdung durch Nachbaraufzug oder dessen Gegengewicht (Fahrkorbdach)</t>
        </is>
      </c>
      <c r="C223" s="4" t="inlineStr">
        <is>
          <t>Fahrkorbdach und Schachtkopf</t>
        </is>
      </c>
      <c r="D223" s="4" t="inlineStr">
        <is>
          <t>MF-F03-R4</t>
        </is>
      </c>
      <c r="E223" s="4" t="n">
        <v>1</v>
      </c>
      <c r="F223" s="4" t="inlineStr">
        <is>
          <t>9.6 Abtrennung zum Nachbaraufzug / Nachbar-Gegengewicht im Bereich des Fahrkorbdachs beantwortet</t>
        </is>
      </c>
      <c r="G223" s="4" t="inlineStr">
        <is>
          <t>Kein Risiko</t>
        </is>
      </c>
      <c r="H223" s="4" t="inlineStr">
        <is>
          <t>HIGH_CONFIDENCE</t>
        </is>
      </c>
      <c r="I223" s="4" t="inlineStr"/>
      <c r="J223" s="4" t="inlineStr">
        <is>
          <t>Zustand erhalten; bei der wiederkehrenden Prüfung und der Betreiberkontrolle erneut prüfen</t>
        </is>
      </c>
      <c r="K223" s="4" t="inlineStr"/>
      <c r="L223" s="4" t="inlineStr">
        <is>
          <t>Kein Risiko: keine Mangelregel trifft zu, alle Pflichtfragen beantwortet.</t>
        </is>
      </c>
      <c r="M223" s="3" t="n"/>
      <c r="N223" s="3" t="n"/>
    </row>
    <row r="224">
      <c r="A224" s="2" t="inlineStr">
        <is>
          <t>MF-F04</t>
        </is>
      </c>
      <c r="B224" s="2" t="inlineStr">
        <is>
          <t>Unzureichender Schutzraum / Kopffreiheit im Schachtkopf</t>
        </is>
      </c>
      <c r="C224" s="2" t="inlineStr">
        <is>
          <t>Fahrkorbdach und Schachtkopf</t>
        </is>
      </c>
      <c r="D224" s="2" t="inlineStr">
        <is>
          <t>MF-F04-R1</t>
        </is>
      </c>
      <c r="E224" s="2" t="n">
        <v>100</v>
      </c>
      <c r="F224" s="2" t="inlineStr">
        <is>
          <t>9.7 Schutzraum im Schachtkopf = „Schutzraum nicht gegeben (z. B. nachträgliche Einbauten)"</t>
        </is>
      </c>
      <c r="G224" s="2" t="inlineStr">
        <is>
          <t>Hoch</t>
        </is>
      </c>
      <c r="H224" s="2" t="inlineStr">
        <is>
          <t>HIGH_CONFIDENCE</t>
        </is>
      </c>
      <c r="I224" s="2" t="inlineStr"/>
      <c r="J224" s="2" t="inlineStr">
        <is>
          <t>Fahrkorbdach nicht betreten, Einbauten entfernen</t>
        </is>
      </c>
      <c r="K224" s="2" t="inlineStr">
        <is>
          <t>Fahrbegrenzung nachrüsten oder Schutzraum wiederherstellen</t>
        </is>
      </c>
      <c r="L224" s="2" t="inlineStr"/>
      <c r="M224" s="3" t="n"/>
      <c r="N224" s="3" t="n"/>
    </row>
    <row r="225">
      <c r="A225" s="4" t="inlineStr">
        <is>
          <t>MF-F04</t>
        </is>
      </c>
      <c r="B225" s="4" t="inlineStr">
        <is>
          <t>Unzureichender Schutzraum / Kopffreiheit im Schachtkopf</t>
        </is>
      </c>
      <c r="C225" s="4" t="inlineStr">
        <is>
          <t>Fahrkorbdach und Schachtkopf</t>
        </is>
      </c>
      <c r="D225" s="4" t="inlineStr">
        <is>
          <t>MF-F04-R2</t>
        </is>
      </c>
      <c r="E225" s="4" t="n">
        <v>100</v>
      </c>
      <c r="F225" s="4" t="inlineStr">
        <is>
          <t>(9.7 Schutzraum im Schachtkopf = „Reduzierter Schachtkopf mit wirksamer Zusatzeinrichtung und Betriebsanweisung" UND 9.7a Warnkennzeichnung zur reduzierten Kopffreiheit vorhanden? = Nein)</t>
        </is>
      </c>
      <c r="G225" s="4" t="inlineStr">
        <is>
          <t>Hoch</t>
        </is>
      </c>
      <c r="H225" s="4" t="inlineStr">
        <is>
          <t>HIGH_CONFIDENCE</t>
        </is>
      </c>
      <c r="I225" s="4" t="inlineStr"/>
      <c r="J225" s="4" t="inlineStr">
        <is>
          <t>Kopfschutz verwenden, Anstoßstellen kennzeichnen</t>
        </is>
      </c>
      <c r="K225" s="4" t="inlineStr">
        <is>
          <t>Schutzraumkennzeichnung nach DIN EN 81-20 anbringen</t>
        </is>
      </c>
      <c r="L225" s="4" t="inlineStr"/>
      <c r="M225" s="3" t="n"/>
      <c r="N225" s="3" t="n"/>
    </row>
    <row r="226">
      <c r="A226" s="2" t="inlineStr">
        <is>
          <t>MF-F04</t>
        </is>
      </c>
      <c r="B226" s="2" t="inlineStr">
        <is>
          <t>Unzureichender Schutzraum / Kopffreiheit im Schachtkopf</t>
        </is>
      </c>
      <c r="C226" s="2" t="inlineStr">
        <is>
          <t>Fahrkorbdach und Schachtkopf</t>
        </is>
      </c>
      <c r="D226" s="2" t="inlineStr">
        <is>
          <t>MF-F04-R3</t>
        </is>
      </c>
      <c r="E226" s="2" t="n">
        <v>100</v>
      </c>
      <c r="F226" s="2" t="inlineStr">
        <is>
          <t>9.7 Schutzraum im Schachtkopf = „Schutzraum nach TRA 200 / EN 81-1/-2 (kleiner als EN 81-20)"</t>
        </is>
      </c>
      <c r="G226" s="2" t="inlineStr">
        <is>
          <t>Niedrig</t>
        </is>
      </c>
      <c r="H226" s="2" t="inlineStr">
        <is>
          <t>INFERRED</t>
        </is>
      </c>
      <c r="I226" s="2" t="inlineStr"/>
      <c r="J226" s="2" t="inlineStr">
        <is>
          <t>Zustand dokumentieren, Beschäftigte über den reduzierten Schutzraum unterweisen</t>
        </is>
      </c>
      <c r="K226" s="2" t="inlineStr">
        <is>
          <t>Bei Modernisierung Schutzräume nach EN 81-20 herstellen oder Schutzeinrichtung für temporären Schutzraum vorsehen</t>
        </is>
      </c>
      <c r="L226" s="2" t="inlineStr">
        <is>
          <t>TRBS 3121 Anh. 1 Nr. 5: Risiko niedrig bei Schutzräumen nach TRA 200 oder EN 81-1/-2. Entschieden 2026-09-02: K-F05.</t>
        </is>
      </c>
      <c r="M226" s="3" t="n"/>
      <c r="N226" s="3" t="n"/>
    </row>
    <row r="227">
      <c r="A227" s="4" t="inlineStr">
        <is>
          <t>MF-F04</t>
        </is>
      </c>
      <c r="B227" s="4" t="inlineStr">
        <is>
          <t>Unzureichender Schutzraum / Kopffreiheit im Schachtkopf</t>
        </is>
      </c>
      <c r="C227" s="4" t="inlineStr">
        <is>
          <t>Fahrkorbdach und Schachtkopf</t>
        </is>
      </c>
      <c r="D227" s="4" t="inlineStr">
        <is>
          <t>MF-F04-R4</t>
        </is>
      </c>
      <c r="E227" s="4" t="n">
        <v>100</v>
      </c>
      <c r="F227" s="4" t="inlineStr">
        <is>
          <t>9.7 Schutzraum im Schachtkopf = „Reduzierter Schachtkopf mit wirksamer Zusatzeinrichtung und Betriebsanweisung"</t>
        </is>
      </c>
      <c r="G227" s="4" t="inlineStr">
        <is>
          <t>Kein Risiko</t>
        </is>
      </c>
      <c r="H227" s="4" t="inlineStr">
        <is>
          <t>HIGH_CONFIDENCE</t>
        </is>
      </c>
      <c r="I227" s="4" t="inlineStr"/>
      <c r="J227" s="4" t="inlineStr"/>
      <c r="K227" s="4" t="inlineStr"/>
      <c r="L227" s="4" t="inlineStr">
        <is>
          <t>Entscheidung 02.09.2026: reduzierter Schachtkopf mit wirksamer Zusatzeinrichtung = kein Risiko (App F5). Entschieden 2026-09-02: K-F03.</t>
        </is>
      </c>
      <c r="M227" s="3" t="n"/>
      <c r="N227" s="3" t="n"/>
    </row>
    <row r="228">
      <c r="A228" s="2" t="inlineStr">
        <is>
          <t>MF-F04</t>
        </is>
      </c>
      <c r="B228" s="2" t="inlineStr">
        <is>
          <t>Unzureichender Schutzraum / Kopffreiheit im Schachtkopf</t>
        </is>
      </c>
      <c r="C228" s="2" t="inlineStr">
        <is>
          <t>Fahrkorbdach und Schachtkopf</t>
        </is>
      </c>
      <c r="D228" s="2" t="inlineStr">
        <is>
          <t>MF-F04-R5</t>
        </is>
      </c>
      <c r="E228" s="2" t="n">
        <v>1</v>
      </c>
      <c r="F228" s="2" t="inlineStr">
        <is>
          <t>9.7 Schutzraum im Schachtkopf beantwortet</t>
        </is>
      </c>
      <c r="G228" s="2" t="inlineStr">
        <is>
          <t>Kein Risiko</t>
        </is>
      </c>
      <c r="H228" s="2" t="inlineStr">
        <is>
          <t>HIGH_CONFIDENCE</t>
        </is>
      </c>
      <c r="I228" s="2" t="inlineStr"/>
      <c r="J228" s="2" t="inlineStr">
        <is>
          <t>Zustand erhalten; bei der wiederkehrenden Prüfung und der Betreiberkontrolle erneut prüfen</t>
        </is>
      </c>
      <c r="K228" s="2" t="inlineStr"/>
      <c r="L228" s="2" t="inlineStr">
        <is>
          <t>Kein Risiko: keine Mangelregel trifft zu, alle Pflichtfragen beantwortet.</t>
        </is>
      </c>
      <c r="M228" s="3" t="n"/>
      <c r="N228" s="3" t="n"/>
    </row>
    <row r="229">
      <c r="A229" s="4" t="inlineStr">
        <is>
          <t>MF-F05</t>
        </is>
      </c>
      <c r="B229" s="4" t="inlineStr">
        <is>
          <t>Fehlende oder unzulängliche Inspektionssteuerung auf dem Fahrkorbdach</t>
        </is>
      </c>
      <c r="C229" s="4" t="inlineStr">
        <is>
          <t>Sicherheitskomponenten</t>
        </is>
      </c>
      <c r="D229" s="4" t="inlineStr">
        <is>
          <t>MF-F05-R1</t>
        </is>
      </c>
      <c r="E229" s="4" t="n">
        <v>100</v>
      </c>
      <c r="F229" s="4" t="inlineStr">
        <is>
          <t>9.8 Inspektionssteuerung auf dem Fahrkorbdach vorhanden? = Nein</t>
        </is>
      </c>
      <c r="G229" s="4" t="inlineStr">
        <is>
          <t>Hoch</t>
        </is>
      </c>
      <c r="H229" s="4" t="inlineStr">
        <is>
          <t>HIGH_CONFIDENCE</t>
        </is>
      </c>
      <c r="I229" s="4" t="inlineStr"/>
      <c r="J229" s="4" t="inlineStr">
        <is>
          <t>Keine Alleinarbeit, Vorgaben der DGUV Information 209-053 beachten</t>
        </is>
      </c>
      <c r="K229" s="4" t="inlineStr">
        <is>
          <t>Inspektionssteuerung nach DIN EN 81-20, 5.12.1.5 nachrüsten</t>
        </is>
      </c>
      <c r="L229" s="4" t="inlineStr"/>
      <c r="M229" s="3" t="n"/>
      <c r="N229" s="3" t="n"/>
    </row>
    <row r="230">
      <c r="A230" s="2" t="inlineStr">
        <is>
          <t>MF-F05</t>
        </is>
      </c>
      <c r="B230" s="2" t="inlineStr">
        <is>
          <t>Fehlende oder unzulängliche Inspektionssteuerung auf dem Fahrkorbdach</t>
        </is>
      </c>
      <c r="C230" s="2" t="inlineStr">
        <is>
          <t>Sicherheitskomponenten</t>
        </is>
      </c>
      <c r="D230" s="2" t="inlineStr">
        <is>
          <t>MF-F05-R2</t>
        </is>
      </c>
      <c r="E230" s="2" t="n">
        <v>100</v>
      </c>
      <c r="F230" s="2" t="inlineStr">
        <is>
          <t>9.8c Inspektionsgeschwindigkeit max. 0,63 m/s? = Nein</t>
        </is>
      </c>
      <c r="G230" s="2" t="inlineStr">
        <is>
          <t>Hoch</t>
        </is>
      </c>
      <c r="H230" s="2" t="inlineStr">
        <is>
          <t>HIGH_CONFIDENCE</t>
        </is>
      </c>
      <c r="I230" s="2" t="inlineStr"/>
      <c r="J230" s="2" t="inlineStr">
        <is>
          <t>Besondere Vorsicht! Inspektionsfahrt nur abwärts!</t>
        </is>
      </c>
      <c r="K230" s="2" t="inlineStr">
        <is>
          <t>Inspektionsgeschwindigkeit &lt; 0,63 m/s nachrüsten</t>
        </is>
      </c>
      <c r="L230" s="2" t="inlineStr"/>
      <c r="M230" s="3" t="n"/>
      <c r="N230" s="3" t="n"/>
    </row>
    <row r="231">
      <c r="A231" s="4" t="inlineStr">
        <is>
          <t>MF-F05</t>
        </is>
      </c>
      <c r="B231" s="4" t="inlineStr">
        <is>
          <t>Fehlende oder unzulängliche Inspektionssteuerung auf dem Fahrkorbdach</t>
        </is>
      </c>
      <c r="C231" s="4" t="inlineStr">
        <is>
          <t>Sicherheitskomponenten</t>
        </is>
      </c>
      <c r="D231" s="4" t="inlineStr">
        <is>
          <t>MF-F05-R3</t>
        </is>
      </c>
      <c r="E231" s="4" t="n">
        <v>100</v>
      </c>
      <c r="F231" s="4" t="inlineStr">
        <is>
          <t>9.8a Inspektionssteuerung gegen unbeabsichtigtes Betätigen geschützt? = Nein</t>
        </is>
      </c>
      <c r="G231" s="4" t="inlineStr">
        <is>
          <t>Mittel</t>
        </is>
      </c>
      <c r="H231" s="4" t="inlineStr">
        <is>
          <t>HIGH_CONFIDENCE</t>
        </is>
      </c>
      <c r="I231" s="4" t="inlineStr"/>
      <c r="J231" s="4" t="inlineStr">
        <is>
          <t>Besondere Vorsicht beim Arbeiten</t>
        </is>
      </c>
      <c r="K231" s="4" t="inlineStr">
        <is>
          <t>Schutzkragen oder gleichwertigen Schutz nachrüsten</t>
        </is>
      </c>
      <c r="L231" s="4" t="inlineStr"/>
      <c r="M231" s="3" t="n"/>
      <c r="N231" s="3" t="n"/>
    </row>
    <row r="232">
      <c r="A232" s="2" t="inlineStr">
        <is>
          <t>MF-F05</t>
        </is>
      </c>
      <c r="B232" s="2" t="inlineStr">
        <is>
          <t>Fehlende oder unzulängliche Inspektionssteuerung auf dem Fahrkorbdach</t>
        </is>
      </c>
      <c r="C232" s="2" t="inlineStr">
        <is>
          <t>Sicherheitskomponenten</t>
        </is>
      </c>
      <c r="D232" s="2" t="inlineStr">
        <is>
          <t>MF-F05-R4</t>
        </is>
      </c>
      <c r="E232" s="2" t="n">
        <v>100</v>
      </c>
      <c r="F232" s="2" t="inlineStr">
        <is>
          <t>9.8b Inspektionssteuerung vom Zugang aus gut erreichbar? = Nein</t>
        </is>
      </c>
      <c r="G232" s="2" t="inlineStr">
        <is>
          <t>Mittel</t>
        </is>
      </c>
      <c r="H232" s="2" t="inlineStr">
        <is>
          <t>HIGH_CONFIDENCE</t>
        </is>
      </c>
      <c r="I232" s="2" t="inlineStr"/>
      <c r="J232" s="2" t="inlineStr">
        <is>
          <t>Sichere Position einnehmen, besondere Vorsicht</t>
        </is>
      </c>
      <c r="K232" s="2" t="inlineStr">
        <is>
          <t>Bedieneinrichtung versetzen oder ändern</t>
        </is>
      </c>
      <c r="L232" s="2" t="inlineStr"/>
      <c r="M232" s="3" t="n"/>
      <c r="N232" s="3" t="n"/>
    </row>
    <row r="233">
      <c r="A233" s="4" t="inlineStr">
        <is>
          <t>MF-F05</t>
        </is>
      </c>
      <c r="B233" s="4" t="inlineStr">
        <is>
          <t>Fehlende oder unzulängliche Inspektionssteuerung auf dem Fahrkorbdach</t>
        </is>
      </c>
      <c r="C233" s="4" t="inlineStr">
        <is>
          <t>Sicherheitskomponenten</t>
        </is>
      </c>
      <c r="D233" s="4" t="inlineStr">
        <is>
          <t>MF-F05-R5</t>
        </is>
      </c>
      <c r="E233" s="4" t="n">
        <v>1</v>
      </c>
      <c r="F233" s="4" t="inlineStr">
        <is>
          <t>9.8 Inspektionssteuerung auf dem Fahrkorbdach vorhanden? beantwortet</t>
        </is>
      </c>
      <c r="G233" s="4" t="inlineStr">
        <is>
          <t>Kein Risiko</t>
        </is>
      </c>
      <c r="H233" s="4" t="inlineStr">
        <is>
          <t>HIGH_CONFIDENCE</t>
        </is>
      </c>
      <c r="I233" s="4" t="inlineStr"/>
      <c r="J233" s="4" t="inlineStr">
        <is>
          <t>Zustand erhalten; bei der wiederkehrenden Prüfung und der Betreiberkontrolle erneut prüfen</t>
        </is>
      </c>
      <c r="K233" s="4" t="inlineStr"/>
      <c r="L233" s="4" t="inlineStr">
        <is>
          <t>Kein Risiko: keine Mangelregel trifft zu, alle Pflichtfragen beantwortet.</t>
        </is>
      </c>
      <c r="M233" s="3" t="n"/>
      <c r="N233" s="3" t="n"/>
    </row>
    <row r="234">
      <c r="A234" s="2" t="inlineStr">
        <is>
          <t>MF-F06</t>
        </is>
      </c>
      <c r="B234" s="2" t="inlineStr">
        <is>
          <t>Fehlender oder unwirksamer Not-Halt auf dem Fahrkorbdach</t>
        </is>
      </c>
      <c r="C234" s="2" t="inlineStr">
        <is>
          <t>Sicherheitskomponenten</t>
        </is>
      </c>
      <c r="D234" s="2" t="inlineStr">
        <is>
          <t>MF-F06-R1</t>
        </is>
      </c>
      <c r="E234" s="2" t="n">
        <v>100</v>
      </c>
      <c r="F234" s="2" t="inlineStr">
        <is>
          <t>9.9 Notbremsschalter (Not-Halt) auf dem Fahrkorbdach vorhanden? = Nein</t>
        </is>
      </c>
      <c r="G234" s="2" t="inlineStr">
        <is>
          <t>Hoch</t>
        </is>
      </c>
      <c r="H234" s="2" t="inlineStr">
        <is>
          <t>HIGH_CONFIDENCE</t>
        </is>
      </c>
      <c r="I234" s="2" t="inlineStr"/>
      <c r="J234" s="2" t="inlineStr">
        <is>
          <t>Fahrkorbdach nur nach Freischalten der Anlage betreten</t>
        </is>
      </c>
      <c r="K234" s="2" t="inlineStr">
        <is>
          <t>Notbremsschalter nach DIN EN 81-20, 5.4.8 nachrüsten</t>
        </is>
      </c>
      <c r="L234" s="2" t="inlineStr"/>
      <c r="M234" s="3" t="n"/>
      <c r="N234" s="3" t="n"/>
    </row>
    <row r="235">
      <c r="A235" s="4" t="inlineStr">
        <is>
          <t>MF-F06</t>
        </is>
      </c>
      <c r="B235" s="4" t="inlineStr">
        <is>
          <t>Fehlender oder unwirksamer Not-Halt auf dem Fahrkorbdach</t>
        </is>
      </c>
      <c r="C235" s="4" t="inlineStr">
        <is>
          <t>Sicherheitskomponenten</t>
        </is>
      </c>
      <c r="D235" s="4" t="inlineStr">
        <is>
          <t>MF-F06-R2</t>
        </is>
      </c>
      <c r="E235" s="4" t="n">
        <v>100</v>
      </c>
      <c r="F235" s="4" t="inlineStr">
        <is>
          <t>9.9b Not-Halt wirksam (Funktion geprüft)? = Nein</t>
        </is>
      </c>
      <c r="G235" s="4" t="inlineStr">
        <is>
          <t>Hoch</t>
        </is>
      </c>
      <c r="H235" s="4" t="inlineStr">
        <is>
          <t>HIGH_CONFIDENCE</t>
        </is>
      </c>
      <c r="I235" s="4" t="inlineStr"/>
      <c r="J235" s="4" t="inlineStr">
        <is>
          <t>Anlage stilllegen</t>
        </is>
      </c>
      <c r="K235" s="4" t="inlineStr">
        <is>
          <t>Sicherheitskreis instand setzen und Wirkung prüfen</t>
        </is>
      </c>
      <c r="L235" s="4" t="inlineStr"/>
      <c r="M235" s="3" t="n"/>
      <c r="N235" s="3" t="n"/>
    </row>
    <row r="236">
      <c r="A236" s="2" t="inlineStr">
        <is>
          <t>MF-F06</t>
        </is>
      </c>
      <c r="B236" s="2" t="inlineStr">
        <is>
          <t>Fehlender oder unwirksamer Not-Halt auf dem Fahrkorbdach</t>
        </is>
      </c>
      <c r="C236" s="2" t="inlineStr">
        <is>
          <t>Sicherheitskomponenten</t>
        </is>
      </c>
      <c r="D236" s="2" t="inlineStr">
        <is>
          <t>MF-F06-R3</t>
        </is>
      </c>
      <c r="E236" s="2" t="n">
        <v>100</v>
      </c>
      <c r="F236" s="2" t="inlineStr">
        <is>
          <t>9.9a Not-Halt vom Zugang aus erreichbar? = Nein</t>
        </is>
      </c>
      <c r="G236" s="2" t="inlineStr">
        <is>
          <t>Mittel</t>
        </is>
      </c>
      <c r="H236" s="2" t="inlineStr">
        <is>
          <t>HIGH_CONFIDENCE</t>
        </is>
      </c>
      <c r="I236" s="2" t="inlineStr"/>
      <c r="J236" s="2" t="inlineStr">
        <is>
          <t>Position vor dem Betreten prüfen</t>
        </is>
      </c>
      <c r="K236" s="2" t="inlineStr">
        <is>
          <t>Schalter erreichbar versetzen</t>
        </is>
      </c>
      <c r="L236" s="2" t="inlineStr"/>
      <c r="M236" s="3" t="n"/>
      <c r="N236" s="3" t="n"/>
    </row>
    <row r="237">
      <c r="A237" s="4" t="inlineStr">
        <is>
          <t>MF-F06</t>
        </is>
      </c>
      <c r="B237" s="4" t="inlineStr">
        <is>
          <t>Fehlender oder unwirksamer Not-Halt auf dem Fahrkorbdach</t>
        </is>
      </c>
      <c r="C237" s="4" t="inlineStr">
        <is>
          <t>Sicherheitskomponenten</t>
        </is>
      </c>
      <c r="D237" s="4" t="inlineStr">
        <is>
          <t>MF-F06-R4</t>
        </is>
      </c>
      <c r="E237" s="4" t="n">
        <v>1</v>
      </c>
      <c r="F237" s="4" t="inlineStr">
        <is>
          <t>9.9 Notbremsschalter (Not-Halt) auf dem Fahrkorbdach vorhanden? beantwortet</t>
        </is>
      </c>
      <c r="G237" s="4" t="inlineStr">
        <is>
          <t>Kein Risiko</t>
        </is>
      </c>
      <c r="H237" s="4" t="inlineStr">
        <is>
          <t>HIGH_CONFIDENCE</t>
        </is>
      </c>
      <c r="I237" s="4" t="inlineStr"/>
      <c r="J237" s="4" t="inlineStr">
        <is>
          <t>Zustand erhalten; bei der wiederkehrenden Prüfung und der Betreiberkontrolle erneut prüfen</t>
        </is>
      </c>
      <c r="K237" s="4" t="inlineStr"/>
      <c r="L237" s="4" t="inlineStr">
        <is>
          <t>Kein Risiko: keine Mangelregel trifft zu, alle Pflichtfragen beantwortet.</t>
        </is>
      </c>
      <c r="M237" s="3" t="n"/>
      <c r="N237" s="3" t="n"/>
    </row>
    <row r="238">
      <c r="A238" s="2" t="inlineStr">
        <is>
          <t>MF-F07</t>
        </is>
      </c>
      <c r="B238" s="2" t="inlineStr">
        <is>
          <t>Nicht tragfähiges Fahrkorbdach oder unüberwachte Dachklappe</t>
        </is>
      </c>
      <c r="C238" s="2" t="inlineStr">
        <is>
          <t>Fahrkorbdach und Schachtkopf</t>
        </is>
      </c>
      <c r="D238" s="2" t="inlineStr">
        <is>
          <t>MF-F07-R1</t>
        </is>
      </c>
      <c r="E238" s="2" t="n">
        <v>100</v>
      </c>
      <c r="F238" s="2" t="inlineStr">
        <is>
          <t>9.10 Fahrkorbdach tragfähig (200 kg auf 0,30 m × 0,30 m)? = Nein</t>
        </is>
      </c>
      <c r="G238" s="2" t="inlineStr">
        <is>
          <t>Hoch</t>
        </is>
      </c>
      <c r="H238" s="2" t="inlineStr">
        <is>
          <t>HIGH_CONFIDENCE</t>
        </is>
      </c>
      <c r="I238" s="2" t="inlineStr"/>
      <c r="J238" s="2" t="inlineStr">
        <is>
          <t>Fahrkorbdach nicht betreten, lastverteilende Beläge verwenden</t>
        </is>
      </c>
      <c r="K238" s="2" t="inlineStr">
        <is>
          <t>Tragfähiges Fahrkorbdach herstellen und Warnschild anbringen</t>
        </is>
      </c>
      <c r="L238" s="2" t="inlineStr"/>
      <c r="M238" s="3" t="n"/>
      <c r="N238" s="3" t="n"/>
    </row>
    <row r="239">
      <c r="A239" s="4" t="inlineStr">
        <is>
          <t>MF-F07</t>
        </is>
      </c>
      <c r="B239" s="4" t="inlineStr">
        <is>
          <t>Nicht tragfähiges Fahrkorbdach oder unüberwachte Dachklappe</t>
        </is>
      </c>
      <c r="C239" s="4" t="inlineStr">
        <is>
          <t>Fahrkorbdach und Schachtkopf</t>
        </is>
      </c>
      <c r="D239" s="4" t="inlineStr">
        <is>
          <t>MF-F07-R2</t>
        </is>
      </c>
      <c r="E239" s="4" t="n">
        <v>100</v>
      </c>
      <c r="F239" s="4" t="inlineStr">
        <is>
          <t>9.11a Klappe elektrisch überwacht (Sicherheitskreis)? = Nein</t>
        </is>
      </c>
      <c r="G239" s="4" t="inlineStr">
        <is>
          <t>Mittel</t>
        </is>
      </c>
      <c r="H239" s="4" t="inlineStr">
        <is>
          <t>HIGH_CONFIDENCE</t>
        </is>
      </c>
      <c r="I239" s="4" t="inlineStr"/>
      <c r="J239" s="4" t="inlineStr">
        <is>
          <t>Klappe vor Fahrbetrieb sichern</t>
        </is>
      </c>
      <c r="K239" s="4" t="inlineStr">
        <is>
          <t>Elektrische Überwachung der Klappe nachrüsten</t>
        </is>
      </c>
      <c r="L239" s="4" t="inlineStr"/>
      <c r="M239" s="3" t="n"/>
      <c r="N239" s="3" t="n"/>
    </row>
    <row r="240">
      <c r="A240" s="2" t="inlineStr">
        <is>
          <t>MF-F07</t>
        </is>
      </c>
      <c r="B240" s="2" t="inlineStr">
        <is>
          <t>Nicht tragfähiges Fahrkorbdach oder unüberwachte Dachklappe</t>
        </is>
      </c>
      <c r="C240" s="2" t="inlineStr">
        <is>
          <t>Fahrkorbdach und Schachtkopf</t>
        </is>
      </c>
      <c r="D240" s="2" t="inlineStr">
        <is>
          <t>MF-F07-R3</t>
        </is>
      </c>
      <c r="E240" s="2" t="n">
        <v>1</v>
      </c>
      <c r="F240" s="2" t="inlineStr">
        <is>
          <t>9.10 Fahrkorbdach tragfähig (200 kg auf 0,30 m × 0,30 m)? beantwortet</t>
        </is>
      </c>
      <c r="G240" s="2" t="inlineStr">
        <is>
          <t>Kein Risiko</t>
        </is>
      </c>
      <c r="H240" s="2" t="inlineStr">
        <is>
          <t>HIGH_CONFIDENCE</t>
        </is>
      </c>
      <c r="I240" s="2" t="inlineStr"/>
      <c r="J240" s="2" t="inlineStr">
        <is>
          <t>Zustand erhalten; bei der wiederkehrenden Prüfung und der Betreiberkontrolle erneut prüfen</t>
        </is>
      </c>
      <c r="K240" s="2" t="inlineStr"/>
      <c r="L240" s="2" t="inlineStr">
        <is>
          <t>Kein Risiko: keine Mangelregel trifft zu, alle Pflichtfragen beantwortet.</t>
        </is>
      </c>
      <c r="M240" s="3" t="n"/>
      <c r="N240" s="3" t="n"/>
    </row>
    <row r="241">
      <c r="A241" s="4" t="inlineStr">
        <is>
          <t>MF-F08</t>
        </is>
      </c>
      <c r="B241" s="4" t="inlineStr">
        <is>
          <t>Fehlende Notbeleuchtung auf dem Fahrkorbdach</t>
        </is>
      </c>
      <c r="C241" s="4" t="inlineStr">
        <is>
          <t>Beleuchtung</t>
        </is>
      </c>
      <c r="D241" s="4" t="inlineStr">
        <is>
          <t>MF-F08-R1</t>
        </is>
      </c>
      <c r="E241" s="4" t="n">
        <v>100</v>
      </c>
      <c r="F241" s="4" t="inlineStr">
        <is>
          <t>9.12 Notbeleuchtung auf dem Fahrkorbdach (mind. 5 Lux, 1 h) vorhanden? = Nein</t>
        </is>
      </c>
      <c r="G241" s="4" t="inlineStr">
        <is>
          <t>Hoch</t>
        </is>
      </c>
      <c r="H241" s="4" t="inlineStr">
        <is>
          <t>INFERRED</t>
        </is>
      </c>
      <c r="I241" s="4" t="inlineStr"/>
      <c r="J241" s="4" t="inlineStr">
        <is>
          <t>Handleuchte für Arbeiten auf dem Fahrkorbdach mitführen</t>
        </is>
      </c>
      <c r="K241" s="4" t="inlineStr">
        <is>
          <t>Notbeleuchtung (mind. 5 Lux, 1 h) auf dem Fahrkorbdach nachrüsten</t>
        </is>
      </c>
      <c r="L241" s="4" t="inlineStr">
        <is>
          <t>Entschieden 2026-09-02: K-F04.</t>
        </is>
      </c>
      <c r="M241" s="3" t="n"/>
      <c r="N241" s="3" t="n"/>
    </row>
    <row r="242">
      <c r="A242" s="2" t="inlineStr">
        <is>
          <t>MF-F08</t>
        </is>
      </c>
      <c r="B242" s="2" t="inlineStr">
        <is>
          <t>Fehlende Notbeleuchtung auf dem Fahrkorbdach</t>
        </is>
      </c>
      <c r="C242" s="2" t="inlineStr">
        <is>
          <t>Beleuchtung</t>
        </is>
      </c>
      <c r="D242" s="2" t="inlineStr">
        <is>
          <t>MF-F08-R2</t>
        </is>
      </c>
      <c r="E242" s="2" t="n">
        <v>1</v>
      </c>
      <c r="F242" s="2" t="inlineStr">
        <is>
          <t>9.12 Notbeleuchtung auf dem Fahrkorbdach (mind. 5 Lux, 1 h) vorhanden? beantwortet</t>
        </is>
      </c>
      <c r="G242" s="2" t="inlineStr">
        <is>
          <t>Kein Risiko</t>
        </is>
      </c>
      <c r="H242" s="2" t="inlineStr">
        <is>
          <t>HIGH_CONFIDENCE</t>
        </is>
      </c>
      <c r="I242" s="2" t="inlineStr"/>
      <c r="J242" s="2" t="inlineStr">
        <is>
          <t>Zustand erhalten; bei der wiederkehrenden Prüfung und der Betreiberkontrolle erneut prüfen</t>
        </is>
      </c>
      <c r="K242" s="2" t="inlineStr"/>
      <c r="L242" s="2" t="inlineStr">
        <is>
          <t>Kein Risiko: keine Mangelregel trifft zu, alle Pflichtfragen beantwortet.</t>
        </is>
      </c>
      <c r="M242" s="3" t="n"/>
      <c r="N242" s="3" t="n"/>
    </row>
    <row r="243">
      <c r="A243" s="4" t="inlineStr">
        <is>
          <t>MF-F09</t>
        </is>
      </c>
      <c r="B243" s="4" t="inlineStr">
        <is>
          <t>Fehlender Notruf auf dem Fahrkorbdach</t>
        </is>
      </c>
      <c r="C243" s="4" t="inlineStr">
        <is>
          <t>Notruf und Personenbefreiung</t>
        </is>
      </c>
      <c r="D243" s="4" t="inlineStr">
        <is>
          <t>MF-F09-R1</t>
        </is>
      </c>
      <c r="E243" s="4" t="n">
        <v>100</v>
      </c>
      <c r="F243" s="4" t="inlineStr">
        <is>
          <t>9.13 Eindeutig erkennbarer Auslöser für den (Fern-)Notruf auf dem Fahrkorbdach vorhanden? = Nein</t>
        </is>
      </c>
      <c r="G243" s="4" t="inlineStr">
        <is>
          <t>Mittel</t>
        </is>
      </c>
      <c r="H243" s="4" t="inlineStr">
        <is>
          <t>HIGH_CONFIDENCE</t>
        </is>
      </c>
      <c r="I243" s="4" t="inlineStr"/>
      <c r="J243" s="4" t="inlineStr">
        <is>
          <t>Schachteinschluss verhindern durch alternative Maßnahme (z.B. Mobilfunk, Funk, 2. Person)</t>
        </is>
      </c>
      <c r="K243" s="4" t="inlineStr">
        <is>
          <t>Notrufsystem FK-Dach und Schachtgrube nachrüsten</t>
        </is>
      </c>
      <c r="L243" s="4" t="inlineStr"/>
      <c r="M243" s="3" t="n"/>
      <c r="N243" s="3" t="n"/>
    </row>
    <row r="244">
      <c r="A244" s="2" t="inlineStr">
        <is>
          <t>MF-F09</t>
        </is>
      </c>
      <c r="B244" s="2" t="inlineStr">
        <is>
          <t>Fehlender Notruf auf dem Fahrkorbdach</t>
        </is>
      </c>
      <c r="C244" s="2" t="inlineStr">
        <is>
          <t>Notruf und Personenbefreiung</t>
        </is>
      </c>
      <c r="D244" s="2" t="inlineStr">
        <is>
          <t>MF-F09-R2</t>
        </is>
      </c>
      <c r="E244" s="2" t="n">
        <v>1</v>
      </c>
      <c r="F244" s="2" t="inlineStr">
        <is>
          <t>9.13 Eindeutig erkennbarer Auslöser für den (Fern-)Notruf auf dem Fahrkorbdach vorhanden? beantwortet</t>
        </is>
      </c>
      <c r="G244" s="2" t="inlineStr">
        <is>
          <t>Kein Risiko</t>
        </is>
      </c>
      <c r="H244" s="2" t="inlineStr">
        <is>
          <t>HIGH_CONFIDENCE</t>
        </is>
      </c>
      <c r="I244" s="2" t="inlineStr"/>
      <c r="J244" s="2" t="inlineStr">
        <is>
          <t>Zustand erhalten; bei der wiederkehrenden Prüfung und der Betreiberkontrolle erneut prüfen</t>
        </is>
      </c>
      <c r="K244" s="2" t="inlineStr"/>
      <c r="L244" s="2" t="inlineStr">
        <is>
          <t>Kein Risiko: keine Mangelregel trifft zu, alle Pflichtfragen beantwortet.</t>
        </is>
      </c>
      <c r="M244" s="3" t="n"/>
      <c r="N244" s="3" t="n"/>
    </row>
    <row r="245">
      <c r="A245" s="4" t="inlineStr">
        <is>
          <t>MF-S01</t>
        </is>
      </c>
      <c r="B245" s="4" t="inlineStr">
        <is>
          <t>Unzureichende Schachtbeleuchtung</t>
        </is>
      </c>
      <c r="C245" s="4" t="inlineStr">
        <is>
          <t>Beleuchtung</t>
        </is>
      </c>
      <c r="D245" s="4" t="inlineStr">
        <is>
          <t>MF-S01-R1</t>
        </is>
      </c>
      <c r="E245" s="4" t="n">
        <v>100</v>
      </c>
      <c r="F245" s="4" t="inlineStr">
        <is>
          <t>10.1 Schachtbeleuchtung vorhanden? = Nein</t>
        </is>
      </c>
      <c r="G245" s="4" t="inlineStr">
        <is>
          <t>Hoch</t>
        </is>
      </c>
      <c r="H245" s="4" t="inlineStr">
        <is>
          <t>HIGH_CONFIDENCE</t>
        </is>
      </c>
      <c r="I245" s="4" t="inlineStr"/>
      <c r="J245" s="4" t="inlineStr">
        <is>
          <t>Handlampe benutzen</t>
        </is>
      </c>
      <c r="K245" s="4" t="inlineStr">
        <is>
          <t>Geeignete Leuchten nachrüsten</t>
        </is>
      </c>
      <c r="L245" s="4" t="inlineStr"/>
      <c r="M245" s="3" t="n"/>
      <c r="N245" s="3" t="n"/>
    </row>
    <row r="246">
      <c r="A246" s="2" t="inlineStr">
        <is>
          <t>MF-S01</t>
        </is>
      </c>
      <c r="B246" s="2" t="inlineStr">
        <is>
          <t>Unzureichende Schachtbeleuchtung</t>
        </is>
      </c>
      <c r="C246" s="2" t="inlineStr">
        <is>
          <t>Beleuchtung</t>
        </is>
      </c>
      <c r="D246" s="2" t="inlineStr">
        <is>
          <t>MF-S01-R2</t>
        </is>
      </c>
      <c r="E246" s="2" t="n">
        <v>100</v>
      </c>
      <c r="F246" s="2" t="inlineStr">
        <is>
          <t>10.1a Schachtbeleuchtung ausreichend (mind. 20 Lux, auch auf dem Fahrkorbdach)? = Nein</t>
        </is>
      </c>
      <c r="G246" s="2" t="inlineStr">
        <is>
          <t>Mittel</t>
        </is>
      </c>
      <c r="H246" s="2" t="inlineStr">
        <is>
          <t>HIGH_CONFIDENCE</t>
        </is>
      </c>
      <c r="I246" s="2" t="inlineStr"/>
      <c r="J246" s="2" t="inlineStr">
        <is>
          <t>Handlampe benutzen</t>
        </is>
      </c>
      <c r="K246" s="2" t="inlineStr">
        <is>
          <t>Geeignete Leuchten nachrüsten</t>
        </is>
      </c>
      <c r="L246" s="2" t="inlineStr"/>
      <c r="M246" s="3" t="n"/>
      <c r="N246" s="3" t="n"/>
    </row>
    <row r="247">
      <c r="A247" s="4" t="inlineStr">
        <is>
          <t>MF-S01</t>
        </is>
      </c>
      <c r="B247" s="4" t="inlineStr">
        <is>
          <t>Unzureichende Schachtbeleuchtung</t>
        </is>
      </c>
      <c r="C247" s="4" t="inlineStr">
        <is>
          <t>Beleuchtung</t>
        </is>
      </c>
      <c r="D247" s="4" t="inlineStr">
        <is>
          <t>MF-S01-R3</t>
        </is>
      </c>
      <c r="E247" s="4" t="n">
        <v>100</v>
      </c>
      <c r="F247" s="4" t="inlineStr">
        <is>
          <t>10.1b Leuchten im Schacht mit Splitterschutz und an geeigneter Stelle? = Nein</t>
        </is>
      </c>
      <c r="G247" s="4" t="inlineStr">
        <is>
          <t>Mittel</t>
        </is>
      </c>
      <c r="H247" s="4" t="inlineStr">
        <is>
          <t>HIGH_CONFIDENCE</t>
        </is>
      </c>
      <c r="I247" s="4" t="inlineStr"/>
      <c r="J247" s="4" t="inlineStr"/>
      <c r="K247" s="4" t="inlineStr">
        <is>
          <t>Splitterschutz nachrüsten</t>
        </is>
      </c>
      <c r="L247" s="4" t="inlineStr"/>
      <c r="M247" s="3" t="n"/>
      <c r="N247" s="3" t="n"/>
    </row>
    <row r="248">
      <c r="A248" s="2" t="inlineStr">
        <is>
          <t>MF-S01</t>
        </is>
      </c>
      <c r="B248" s="2" t="inlineStr">
        <is>
          <t>Unzureichende Schachtbeleuchtung</t>
        </is>
      </c>
      <c r="C248" s="2" t="inlineStr">
        <is>
          <t>Beleuchtung</t>
        </is>
      </c>
      <c r="D248" s="2" t="inlineStr">
        <is>
          <t>MF-S01-R4</t>
        </is>
      </c>
      <c r="E248" s="2" t="n">
        <v>1</v>
      </c>
      <c r="F248" s="2" t="inlineStr">
        <is>
          <t>10.1 Schachtbeleuchtung vorhanden? beantwortet</t>
        </is>
      </c>
      <c r="G248" s="2" t="inlineStr">
        <is>
          <t>Kein Risiko</t>
        </is>
      </c>
      <c r="H248" s="2" t="inlineStr">
        <is>
          <t>HIGH_CONFIDENCE</t>
        </is>
      </c>
      <c r="I248" s="2" t="inlineStr"/>
      <c r="J248" s="2" t="inlineStr">
        <is>
          <t>Zustand erhalten; bei der wiederkehrenden Prüfung und der Betreiberkontrolle erneut prüfen</t>
        </is>
      </c>
      <c r="K248" s="2" t="inlineStr"/>
      <c r="L248" s="2" t="inlineStr">
        <is>
          <t>Kein Risiko: keine Mangelregel trifft zu, alle Pflichtfragen beantwortet.</t>
        </is>
      </c>
      <c r="M248" s="3" t="n"/>
      <c r="N248" s="3" t="n"/>
    </row>
    <row r="249">
      <c r="A249" s="4" t="inlineStr">
        <is>
          <t>MF-S02</t>
        </is>
      </c>
      <c r="B249" s="4" t="inlineStr">
        <is>
          <t>Unzureichende Beleuchtung an den Schachtzugängen</t>
        </is>
      </c>
      <c r="C249" s="4" t="inlineStr">
        <is>
          <t>Beleuchtung</t>
        </is>
      </c>
      <c r="D249" s="4" t="inlineStr">
        <is>
          <t>MF-S02-R1</t>
        </is>
      </c>
      <c r="E249" s="4" t="n">
        <v>100</v>
      </c>
      <c r="F249" s="4" t="inlineStr">
        <is>
          <t>10.2 Beleuchtung an den Schachtzugängen (Haltestellen) mind. 75 Lux? = Nein</t>
        </is>
      </c>
      <c r="G249" s="4" t="inlineStr">
        <is>
          <t>Mittel</t>
        </is>
      </c>
      <c r="H249" s="4" t="inlineStr">
        <is>
          <t>INFERRED</t>
        </is>
      </c>
      <c r="I249" s="4" t="inlineStr"/>
      <c r="J249" s="4" t="inlineStr">
        <is>
          <t>Betreiber auf die Beleuchtung der Haltestellen hinweisen</t>
        </is>
      </c>
      <c r="K249" s="4" t="inlineStr">
        <is>
          <t>Beleuchtung an den Schachtzugängen auf mind. 75 Lux (Boden) herstellen</t>
        </is>
      </c>
      <c r="L249" s="4" t="inlineStr"/>
      <c r="M249" s="3" t="n"/>
      <c r="N249" s="3" t="n"/>
    </row>
    <row r="250">
      <c r="A250" s="2" t="inlineStr">
        <is>
          <t>MF-S02</t>
        </is>
      </c>
      <c r="B250" s="2" t="inlineStr">
        <is>
          <t>Unzureichende Beleuchtung an den Schachtzugängen</t>
        </is>
      </c>
      <c r="C250" s="2" t="inlineStr">
        <is>
          <t>Beleuchtung</t>
        </is>
      </c>
      <c r="D250" s="2" t="inlineStr">
        <is>
          <t>MF-S02-R2</t>
        </is>
      </c>
      <c r="E250" s="2" t="n">
        <v>1</v>
      </c>
      <c r="F250" s="2" t="inlineStr">
        <is>
          <t>10.2 Beleuchtung an den Schachtzugängen (Haltestellen) mind. 75 Lux? beantwortet</t>
        </is>
      </c>
      <c r="G250" s="2" t="inlineStr">
        <is>
          <t>Kein Risiko</t>
        </is>
      </c>
      <c r="H250" s="2" t="inlineStr">
        <is>
          <t>HIGH_CONFIDENCE</t>
        </is>
      </c>
      <c r="I250" s="2" t="inlineStr"/>
      <c r="J250" s="2" t="inlineStr">
        <is>
          <t>Zustand erhalten; bei der wiederkehrenden Prüfung und der Betreiberkontrolle erneut prüfen</t>
        </is>
      </c>
      <c r="K250" s="2" t="inlineStr"/>
      <c r="L250" s="2" t="inlineStr">
        <is>
          <t>Kein Risiko: keine Mangelregel trifft zu, alle Pflichtfragen beantwortet.</t>
        </is>
      </c>
      <c r="M250" s="3" t="n"/>
      <c r="N250" s="3" t="n"/>
    </row>
    <row r="251">
      <c r="A251" s="4" t="inlineStr">
        <is>
          <t>MF-S03</t>
        </is>
      </c>
      <c r="B251" s="4" t="inlineStr">
        <is>
          <t>Unzureichende Schachtumwehrung oder Schachtwände</t>
        </is>
      </c>
      <c r="C251" s="4" t="inlineStr">
        <is>
          <t>Schacht und Gegengewicht</t>
        </is>
      </c>
      <c r="D251" s="4" t="inlineStr">
        <is>
          <t>MF-S03-R1</t>
        </is>
      </c>
      <c r="E251" s="4" t="n">
        <v>100</v>
      </c>
      <c r="F251" s="4" t="inlineStr">
        <is>
          <t>10.4 Schachtwände ausreichend fest (100 kg auf 0,30 m × 0,30 m, keine Durchbrüche)? = Nein</t>
        </is>
      </c>
      <c r="G251" s="4" t="inlineStr">
        <is>
          <t>Hoch</t>
        </is>
      </c>
      <c r="H251" s="4" t="inlineStr">
        <is>
          <t>HIGH_CONFIDENCE</t>
        </is>
      </c>
      <c r="I251" s="4" t="inlineStr"/>
      <c r="J251" s="4" t="inlineStr">
        <is>
          <t>Gefahrbereich absperren</t>
        </is>
      </c>
      <c r="K251" s="4" t="inlineStr">
        <is>
          <t>Schachtwände nach DIN EN 81-20, 5.2.5 ertüchtigen</t>
        </is>
      </c>
      <c r="L251" s="4" t="inlineStr"/>
      <c r="M251" s="3" t="n"/>
      <c r="N251" s="3" t="n"/>
    </row>
    <row r="252">
      <c r="A252" s="2" t="inlineStr">
        <is>
          <t>MF-S03</t>
        </is>
      </c>
      <c r="B252" s="2" t="inlineStr">
        <is>
          <t>Unzureichende Schachtumwehrung oder Schachtwände</t>
        </is>
      </c>
      <c r="C252" s="2" t="inlineStr">
        <is>
          <t>Schacht und Gegengewicht</t>
        </is>
      </c>
      <c r="D252" s="2" t="inlineStr">
        <is>
          <t>MF-S03-R2</t>
        </is>
      </c>
      <c r="E252" s="2" t="n">
        <v>100</v>
      </c>
      <c r="F252" s="2" t="inlineStr">
        <is>
          <t>(10.3 Schacht vollständig umwehrt (Wände, Decke, Boden)? = Nein UND 10.3a Teilumwehrung nach EN 81-20 5.2.5.2.3 zulässig ausgeführt (Höhen, Abstände)? = Nein)</t>
        </is>
      </c>
      <c r="G252" s="2" t="inlineStr">
        <is>
          <t>Hoch</t>
        </is>
      </c>
      <c r="H252" s="2" t="inlineStr">
        <is>
          <t>INFERRED</t>
        </is>
      </c>
      <c r="I252" s="2" t="inlineStr"/>
      <c r="J252" s="2" t="inlineStr">
        <is>
          <t>Gefahrbereich absperren</t>
        </is>
      </c>
      <c r="K252" s="2" t="inlineStr">
        <is>
          <t>Schachtwände nach DIN EN 81-20, 5.2.5 ertüchtigen</t>
        </is>
      </c>
      <c r="L252" s="2" t="inlineStr"/>
      <c r="M252" s="3" t="n"/>
      <c r="N252" s="3" t="n"/>
    </row>
    <row r="253">
      <c r="A253" s="4" t="inlineStr">
        <is>
          <t>MF-S03</t>
        </is>
      </c>
      <c r="B253" s="4" t="inlineStr">
        <is>
          <t>Unzureichende Schachtumwehrung oder Schachtwände</t>
        </is>
      </c>
      <c r="C253" s="4" t="inlineStr">
        <is>
          <t>Schacht und Gegengewicht</t>
        </is>
      </c>
      <c r="D253" s="4" t="inlineStr">
        <is>
          <t>MF-S03-R3</t>
        </is>
      </c>
      <c r="E253" s="4" t="n">
        <v>100</v>
      </c>
      <c r="F253" s="4" t="inlineStr">
        <is>
          <t>(10.3 Schacht vollständig umwehrt (Wände, Decke, Boden)? = Nein UND 10.3a Teilumwehrung nach EN 81-20 5.2.5.2.3 zulässig ausgeführt (Höhen, Abstände)? = Ja)</t>
        </is>
      </c>
      <c r="G253" s="4" t="inlineStr">
        <is>
          <t>Kein Risiko</t>
        </is>
      </c>
      <c r="H253" s="4" t="inlineStr">
        <is>
          <t>HIGH_CONFIDENCE</t>
        </is>
      </c>
      <c r="I253" s="4" t="inlineStr"/>
      <c r="J253" s="4" t="inlineStr"/>
      <c r="K253" s="4" t="inlineStr"/>
      <c r="L253" s="4" t="inlineStr">
        <is>
          <t>Entscheidung 02.09.2026: zulässig ausgeführte Teilumwehrung = kein Risiko. Entschieden 2026-09-02: K-S05.</t>
        </is>
      </c>
      <c r="M253" s="3" t="n"/>
      <c r="N253" s="3" t="n"/>
    </row>
    <row r="254">
      <c r="A254" s="2" t="inlineStr">
        <is>
          <t>MF-S03</t>
        </is>
      </c>
      <c r="B254" s="2" t="inlineStr">
        <is>
          <t>Unzureichende Schachtumwehrung oder Schachtwände</t>
        </is>
      </c>
      <c r="C254" s="2" t="inlineStr">
        <is>
          <t>Schacht und Gegengewicht</t>
        </is>
      </c>
      <c r="D254" s="2" t="inlineStr">
        <is>
          <t>MF-S03-R4</t>
        </is>
      </c>
      <c r="E254" s="2" t="n">
        <v>100</v>
      </c>
      <c r="F254" s="2" t="inlineStr">
        <is>
          <t>10.5 Nachweis Verbundsicherheitsglas für die Schachtverglasung vorhanden? = Nein</t>
        </is>
      </c>
      <c r="G254" s="2" t="inlineStr">
        <is>
          <t>Mittel</t>
        </is>
      </c>
      <c r="H254" s="2" t="inlineStr">
        <is>
          <t>HIGH_CONFIDENCE</t>
        </is>
      </c>
      <c r="I254" s="2" t="inlineStr"/>
      <c r="J254" s="2" t="inlineStr">
        <is>
          <t>Nachweis beim Betreiber anfordern</t>
        </is>
      </c>
      <c r="K254" s="2" t="inlineStr">
        <is>
          <t>Statischen Nachweis erbringen oder Verglasung ersetzen</t>
        </is>
      </c>
      <c r="L254" s="2" t="inlineStr"/>
      <c r="M254" s="3" t="n"/>
      <c r="N254" s="3" t="n"/>
    </row>
    <row r="255">
      <c r="A255" s="4" t="inlineStr">
        <is>
          <t>MF-S03</t>
        </is>
      </c>
      <c r="B255" s="4" t="inlineStr">
        <is>
          <t>Unzureichende Schachtumwehrung oder Schachtwände</t>
        </is>
      </c>
      <c r="C255" s="4" t="inlineStr">
        <is>
          <t>Schacht und Gegengewicht</t>
        </is>
      </c>
      <c r="D255" s="4" t="inlineStr">
        <is>
          <t>MF-S03-R5</t>
        </is>
      </c>
      <c r="E255" s="4" t="n">
        <v>1</v>
      </c>
      <c r="F255" s="4" t="inlineStr">
        <is>
          <t>10.3 Schacht vollständig umwehrt (Wände, Decke, Boden)? beantwortet</t>
        </is>
      </c>
      <c r="G255" s="4" t="inlineStr">
        <is>
          <t>Kein Risiko</t>
        </is>
      </c>
      <c r="H255" s="4" t="inlineStr">
        <is>
          <t>HIGH_CONFIDENCE</t>
        </is>
      </c>
      <c r="I255" s="4" t="inlineStr"/>
      <c r="J255" s="4" t="inlineStr">
        <is>
          <t>Zustand erhalten; bei der wiederkehrenden Prüfung und der Betreiberkontrolle erneut prüfen</t>
        </is>
      </c>
      <c r="K255" s="4" t="inlineStr"/>
      <c r="L255" s="4" t="inlineStr">
        <is>
          <t>Kein Risiko: keine Mangelregel trifft zu, alle Pflichtfragen beantwortet.</t>
        </is>
      </c>
      <c r="M255" s="3" t="n"/>
      <c r="N255" s="3" t="n"/>
    </row>
    <row r="256">
      <c r="A256" s="2" t="inlineStr">
        <is>
          <t>MF-S04</t>
        </is>
      </c>
      <c r="B256" s="2" t="inlineStr">
        <is>
          <t>Führungsschienen nicht aus Stahl</t>
        </is>
      </c>
      <c r="C256" s="2" t="inlineStr">
        <is>
          <t>Schacht und Gegengewicht</t>
        </is>
      </c>
      <c r="D256" s="2" t="inlineStr">
        <is>
          <t>MF-S04-R1</t>
        </is>
      </c>
      <c r="E256" s="2" t="n">
        <v>100</v>
      </c>
      <c r="F256" s="2" t="inlineStr">
        <is>
          <t>10.6 Führungsschienen für Fahrkorb und Gegengewicht aus Stahl? = Nein</t>
        </is>
      </c>
      <c r="G256" s="2" t="inlineStr">
        <is>
          <t>Mittel</t>
        </is>
      </c>
      <c r="H256" s="2" t="inlineStr">
        <is>
          <t>INFERRED</t>
        </is>
      </c>
      <c r="I256" s="2" t="inlineStr"/>
      <c r="J256" s="2" t="inlineStr">
        <is>
          <t>Zustand der Führungsschienen bei jeder Wartung prüfen</t>
        </is>
      </c>
      <c r="K256" s="2" t="inlineStr">
        <is>
          <t>Bei Modernisierung Führungsschienen aus Stahl nach EN 81-20 5.7 vorsehen</t>
        </is>
      </c>
      <c r="L256" s="2" t="inlineStr"/>
      <c r="M256" s="3" t="n"/>
      <c r="N256" s="3" t="n"/>
    </row>
    <row r="257">
      <c r="A257" s="4" t="inlineStr">
        <is>
          <t>MF-S04</t>
        </is>
      </c>
      <c r="B257" s="4" t="inlineStr">
        <is>
          <t>Führungsschienen nicht aus Stahl</t>
        </is>
      </c>
      <c r="C257" s="4" t="inlineStr">
        <is>
          <t>Schacht und Gegengewicht</t>
        </is>
      </c>
      <c r="D257" s="4" t="inlineStr">
        <is>
          <t>MF-S04-R2</t>
        </is>
      </c>
      <c r="E257" s="4" t="n">
        <v>1</v>
      </c>
      <c r="F257" s="4" t="inlineStr">
        <is>
          <t>10.6 Führungsschienen für Fahrkorb und Gegengewicht aus Stahl? beantwortet</t>
        </is>
      </c>
      <c r="G257" s="4" t="inlineStr">
        <is>
          <t>Kein Risiko</t>
        </is>
      </c>
      <c r="H257" s="4" t="inlineStr">
        <is>
          <t>HIGH_CONFIDENCE</t>
        </is>
      </c>
      <c r="I257" s="4" t="inlineStr"/>
      <c r="J257" s="4" t="inlineStr">
        <is>
          <t>Zustand erhalten; bei der wiederkehrenden Prüfung und der Betreiberkontrolle erneut prüfen</t>
        </is>
      </c>
      <c r="K257" s="4" t="inlineStr"/>
      <c r="L257" s="4" t="inlineStr">
        <is>
          <t>Kein Risiko: keine Mangelregel trifft zu, alle Pflichtfragen beantwortet.</t>
        </is>
      </c>
      <c r="M257" s="3" t="n"/>
      <c r="N257" s="3" t="n"/>
    </row>
    <row r="258">
      <c r="A258" s="2" t="inlineStr">
        <is>
          <t>MF-S05</t>
        </is>
      </c>
      <c r="B258" s="2" t="inlineStr">
        <is>
          <t>Fehlende oder ungeprüfte Fangvorrichtung, Geschwindigkeitsbegrenzer oder Schlaffseilsicherung</t>
        </is>
      </c>
      <c r="C258" s="2" t="inlineStr">
        <is>
          <t>Sicherheitskomponenten</t>
        </is>
      </c>
      <c r="D258" s="2" t="inlineStr">
        <is>
          <t>MF-S05-R1</t>
        </is>
      </c>
      <c r="E258" s="2" t="n">
        <v>100</v>
      </c>
      <c r="F258" s="2" t="inlineStr">
        <is>
          <t>10.7 Fangvorrichtung am Fahrkorb vorhanden? = Nein</t>
        </is>
      </c>
      <c r="G258" s="2" t="inlineStr">
        <is>
          <t>Hoch</t>
        </is>
      </c>
      <c r="H258" s="2" t="inlineStr">
        <is>
          <t>HIGH_CONFIDENCE</t>
        </is>
      </c>
      <c r="I258" s="2" t="inlineStr"/>
      <c r="J258" s="2" t="inlineStr">
        <is>
          <t>Aufzug stilllegen</t>
        </is>
      </c>
      <c r="K258" s="2" t="inlineStr">
        <is>
          <t>Fangvorrichtung nach DIN EN 81-20, 5.6.2 nachrüsten</t>
        </is>
      </c>
      <c r="L258" s="2" t="inlineStr"/>
      <c r="M258" s="3" t="n"/>
      <c r="N258" s="3" t="n"/>
    </row>
    <row r="259">
      <c r="A259" s="4" t="inlineStr">
        <is>
          <t>MF-S05</t>
        </is>
      </c>
      <c r="B259" s="4" t="inlineStr">
        <is>
          <t>Fehlende oder ungeprüfte Fangvorrichtung, Geschwindigkeitsbegrenzer oder Schlaffseilsicherung</t>
        </is>
      </c>
      <c r="C259" s="4" t="inlineStr">
        <is>
          <t>Sicherheitskomponenten</t>
        </is>
      </c>
      <c r="D259" s="4" t="inlineStr">
        <is>
          <t>MF-S05-R2</t>
        </is>
      </c>
      <c r="E259" s="4" t="n">
        <v>100</v>
      </c>
      <c r="F259" s="4" t="inlineStr">
        <is>
          <t>10.8 Geschwindigkeitsbegrenzer vorhanden? = Nein</t>
        </is>
      </c>
      <c r="G259" s="4" t="inlineStr">
        <is>
          <t>Hoch</t>
        </is>
      </c>
      <c r="H259" s="4" t="inlineStr">
        <is>
          <t>HIGH_CONFIDENCE</t>
        </is>
      </c>
      <c r="I259" s="4" t="inlineStr"/>
      <c r="J259" s="4" t="inlineStr">
        <is>
          <t>Aufzug stilllegen</t>
        </is>
      </c>
      <c r="K259" s="4" t="inlineStr">
        <is>
          <t>Fangvorrichtung nach DIN EN 81-20, 5.6.2 nachrüsten</t>
        </is>
      </c>
      <c r="L259" s="4" t="inlineStr"/>
      <c r="M259" s="3" t="n"/>
      <c r="N259" s="3" t="n"/>
    </row>
    <row r="260">
      <c r="A260" s="2" t="inlineStr">
        <is>
          <t>MF-S05</t>
        </is>
      </c>
      <c r="B260" s="2" t="inlineStr">
        <is>
          <t>Fehlende oder ungeprüfte Fangvorrichtung, Geschwindigkeitsbegrenzer oder Schlaffseilsicherung</t>
        </is>
      </c>
      <c r="C260" s="2" t="inlineStr">
        <is>
          <t>Sicherheitskomponenten</t>
        </is>
      </c>
      <c r="D260" s="2" t="inlineStr">
        <is>
          <t>MF-S05-R3</t>
        </is>
      </c>
      <c r="E260" s="2" t="n">
        <v>100</v>
      </c>
      <c r="F260" s="2" t="inlineStr">
        <is>
          <t>10.11 Schlaffseil-/Schlaffkettensicherung vorhanden? = Nein</t>
        </is>
      </c>
      <c r="G260" s="2" t="inlineStr">
        <is>
          <t>Hoch</t>
        </is>
      </c>
      <c r="H260" s="2" t="inlineStr">
        <is>
          <t>HIGH_CONFIDENCE</t>
        </is>
      </c>
      <c r="I260" s="2" t="inlineStr"/>
      <c r="J260" s="2" t="inlineStr">
        <is>
          <t>Aufzug stilllegen</t>
        </is>
      </c>
      <c r="K260" s="2" t="inlineStr">
        <is>
          <t>Schlaffseileinrichtung nachrüsten</t>
        </is>
      </c>
      <c r="L260" s="2" t="inlineStr"/>
      <c r="M260" s="3" t="n"/>
      <c r="N260" s="3" t="n"/>
    </row>
    <row r="261">
      <c r="A261" s="4" t="inlineStr">
        <is>
          <t>MF-S05</t>
        </is>
      </c>
      <c r="B261" s="4" t="inlineStr">
        <is>
          <t>Fehlende oder ungeprüfte Fangvorrichtung, Geschwindigkeitsbegrenzer oder Schlaffseilsicherung</t>
        </is>
      </c>
      <c r="C261" s="4" t="inlineStr">
        <is>
          <t>Sicherheitskomponenten</t>
        </is>
      </c>
      <c r="D261" s="4" t="inlineStr">
        <is>
          <t>MF-S05-R4</t>
        </is>
      </c>
      <c r="E261" s="4" t="n">
        <v>100</v>
      </c>
      <c r="F261" s="4" t="inlineStr">
        <is>
          <t>10.9 Prüfung von Fangvorrichtung und Begrenzer dokumentiert? = Nein</t>
        </is>
      </c>
      <c r="G261" s="4" t="inlineStr">
        <is>
          <t>Mittel</t>
        </is>
      </c>
      <c r="H261" s="4" t="inlineStr">
        <is>
          <t>HIGH_CONFIDENCE</t>
        </is>
      </c>
      <c r="I261" s="4" t="inlineStr"/>
      <c r="J261" s="4" t="inlineStr">
        <is>
          <t>Prüfnachweis anfordern</t>
        </is>
      </c>
      <c r="K261" s="4" t="inlineStr">
        <is>
          <t>Prüfung durchführen lassen und dokumentieren</t>
        </is>
      </c>
      <c r="L261" s="4" t="inlineStr"/>
      <c r="M261" s="3" t="n"/>
      <c r="N261" s="3" t="n"/>
    </row>
    <row r="262">
      <c r="A262" s="2" t="inlineStr">
        <is>
          <t>MF-S05</t>
        </is>
      </c>
      <c r="B262" s="2" t="inlineStr">
        <is>
          <t>Fehlende oder ungeprüfte Fangvorrichtung, Geschwindigkeitsbegrenzer oder Schlaffseilsicherung</t>
        </is>
      </c>
      <c r="C262" s="2" t="inlineStr">
        <is>
          <t>Sicherheitskomponenten</t>
        </is>
      </c>
      <c r="D262" s="2" t="inlineStr">
        <is>
          <t>MF-S05-R5</t>
        </is>
      </c>
      <c r="E262" s="2" t="n">
        <v>100</v>
      </c>
      <c r="F262" s="2" t="inlineStr">
        <is>
          <t>10.10 Spanngewicht des Begrenzerseils mit Schlaffseilschalter? = Nein</t>
        </is>
      </c>
      <c r="G262" s="2" t="inlineStr">
        <is>
          <t>Mittel</t>
        </is>
      </c>
      <c r="H262" s="2" t="inlineStr">
        <is>
          <t>HIGH_CONFIDENCE</t>
        </is>
      </c>
      <c r="I262" s="2" t="inlineStr"/>
      <c r="J262" s="2" t="inlineStr">
        <is>
          <t>Spanngewicht bei Wartung sichtprüfen</t>
        </is>
      </c>
      <c r="K262" s="2" t="inlineStr">
        <is>
          <t>Schlaffseilschalter nachrüsten</t>
        </is>
      </c>
      <c r="L262" s="2" t="inlineStr"/>
      <c r="M262" s="3" t="n"/>
      <c r="N262" s="3" t="n"/>
    </row>
    <row r="263">
      <c r="A263" s="4" t="inlineStr">
        <is>
          <t>MF-S05</t>
        </is>
      </c>
      <c r="B263" s="4" t="inlineStr">
        <is>
          <t>Fehlende oder ungeprüfte Fangvorrichtung, Geschwindigkeitsbegrenzer oder Schlaffseilsicherung</t>
        </is>
      </c>
      <c r="C263" s="4" t="inlineStr">
        <is>
          <t>Sicherheitskomponenten</t>
        </is>
      </c>
      <c r="D263" s="4" t="inlineStr">
        <is>
          <t>MF-S05-R6</t>
        </is>
      </c>
      <c r="E263" s="4" t="n">
        <v>1</v>
      </c>
      <c r="F263" s="4" t="inlineStr">
        <is>
          <t>10.7 Fangvorrichtung am Fahrkorb vorhanden? beantwortet</t>
        </is>
      </c>
      <c r="G263" s="4" t="inlineStr">
        <is>
          <t>Kein Risiko</t>
        </is>
      </c>
      <c r="H263" s="4" t="inlineStr">
        <is>
          <t>HIGH_CONFIDENCE</t>
        </is>
      </c>
      <c r="I263" s="4" t="inlineStr"/>
      <c r="J263" s="4" t="inlineStr">
        <is>
          <t>Zustand erhalten; bei der wiederkehrenden Prüfung und der Betreiberkontrolle erneut prüfen</t>
        </is>
      </c>
      <c r="K263" s="4" t="inlineStr"/>
      <c r="L263" s="4" t="inlineStr">
        <is>
          <t>Kein Risiko: keine Mangelregel trifft zu, alle Pflichtfragen beantwortet.</t>
        </is>
      </c>
      <c r="M263" s="3" t="n"/>
      <c r="N263" s="3" t="n"/>
    </row>
    <row r="264">
      <c r="A264" s="2" t="inlineStr">
        <is>
          <t>MF-S06</t>
        </is>
      </c>
      <c r="B264" s="2" t="inlineStr">
        <is>
          <t>Aufzugsfremde Einrichtungen im Schacht</t>
        </is>
      </c>
      <c r="C264" s="2" t="inlineStr">
        <is>
          <t>Schacht und Gegengewicht</t>
        </is>
      </c>
      <c r="D264" s="2" t="inlineStr">
        <is>
          <t>MF-S06-R1</t>
        </is>
      </c>
      <c r="E264" s="2" t="n">
        <v>300</v>
      </c>
      <c r="F264" s="2" t="inlineStr">
        <is>
          <t>10.12b Behindern aufzugsfremde Einrichtungen Arbeiten oder Rettungswege im Schacht? = Ja</t>
        </is>
      </c>
      <c r="G264" s="2" t="inlineStr">
        <is>
          <t>Hoch</t>
        </is>
      </c>
      <c r="H264" s="2" t="inlineStr">
        <is>
          <t>HIGH_CONFIDENCE</t>
        </is>
      </c>
      <c r="I264" s="2" t="inlineStr"/>
      <c r="J264" s="2" t="inlineStr">
        <is>
          <t>Bereich absperren, Arbeiten nur nach gesonderter Festlegung</t>
        </is>
      </c>
      <c r="K264" s="2" t="inlineStr">
        <is>
          <t>Aufzugsfremde Einrichtungen nach DIN EN 81-20, 5.2.1.2 entfernen</t>
        </is>
      </c>
      <c r="L264" s="2" t="inlineStr"/>
      <c r="M264" s="3" t="n"/>
      <c r="N264" s="3" t="n"/>
    </row>
    <row r="265">
      <c r="A265" s="4" t="inlineStr">
        <is>
          <t>MF-S06</t>
        </is>
      </c>
      <c r="B265" s="4" t="inlineStr">
        <is>
          <t>Aufzugsfremde Einrichtungen im Schacht</t>
        </is>
      </c>
      <c r="C265" s="4" t="inlineStr">
        <is>
          <t>Schacht und Gegengewicht</t>
        </is>
      </c>
      <c r="D265" s="4" t="inlineStr">
        <is>
          <t>MF-S06-R2</t>
        </is>
      </c>
      <c r="E265" s="4" t="n">
        <v>200</v>
      </c>
      <c r="F265" s="4" t="inlineStr">
        <is>
          <t>(10.12 Schacht frei von aufzugsfremden Einrichtungen? = Nein UND 10.12a Aufzugsfremde Leitungen fachgerecht verlegt und gekennzeichnet? = Nein)</t>
        </is>
      </c>
      <c r="G265" s="4" t="inlineStr">
        <is>
          <t>Hoch</t>
        </is>
      </c>
      <c r="H265" s="4" t="inlineStr">
        <is>
          <t>INFERRED</t>
        </is>
      </c>
      <c r="I265" s="4" t="inlineStr"/>
      <c r="J265" s="4" t="inlineStr">
        <is>
          <t>Bereich absperren, Arbeiten nur nach gesonderter Festlegung</t>
        </is>
      </c>
      <c r="K265" s="4" t="inlineStr">
        <is>
          <t>Aufzugsfremde Einrichtungen nach DIN EN 81-20, 5.2.1.2 entfernen</t>
        </is>
      </c>
      <c r="L265" s="4" t="inlineStr"/>
      <c r="M265" s="3" t="n"/>
      <c r="N265" s="3" t="n"/>
    </row>
    <row r="266">
      <c r="A266" s="2" t="inlineStr">
        <is>
          <t>MF-S06</t>
        </is>
      </c>
      <c r="B266" s="2" t="inlineStr">
        <is>
          <t>Aufzugsfremde Einrichtungen im Schacht</t>
        </is>
      </c>
      <c r="C266" s="2" t="inlineStr">
        <is>
          <t>Schacht und Gegengewicht</t>
        </is>
      </c>
      <c r="D266" s="2" t="inlineStr">
        <is>
          <t>MF-S06-R3</t>
        </is>
      </c>
      <c r="E266" s="2" t="n">
        <v>100</v>
      </c>
      <c r="F266" s="2" t="inlineStr">
        <is>
          <t>10.12 Schacht frei von aufzugsfremden Einrichtungen? = Nein</t>
        </is>
      </c>
      <c r="G266" s="2" t="inlineStr">
        <is>
          <t>Mittel</t>
        </is>
      </c>
      <c r="H266" s="2" t="inlineStr">
        <is>
          <t>HIGH_CONFIDENCE</t>
        </is>
      </c>
      <c r="I266" s="2" t="inlineStr"/>
      <c r="J266" s="2" t="inlineStr">
        <is>
          <t>Leitungen bei Arbeiten beachten</t>
        </is>
      </c>
      <c r="K266" s="2" t="inlineStr">
        <is>
          <t>Rückbau bei der nächsten Modernisierung vorsehen</t>
        </is>
      </c>
      <c r="L266" s="2" t="inlineStr">
        <is>
          <t>Entschieden 2026-09-02: K-S03.</t>
        </is>
      </c>
      <c r="M266" s="3" t="n"/>
      <c r="N266" s="3" t="n"/>
    </row>
    <row r="267">
      <c r="A267" s="4" t="inlineStr">
        <is>
          <t>MF-S06</t>
        </is>
      </c>
      <c r="B267" s="4" t="inlineStr">
        <is>
          <t>Aufzugsfremde Einrichtungen im Schacht</t>
        </is>
      </c>
      <c r="C267" s="4" t="inlineStr">
        <is>
          <t>Schacht und Gegengewicht</t>
        </is>
      </c>
      <c r="D267" s="4" t="inlineStr">
        <is>
          <t>MF-S06-R4</t>
        </is>
      </c>
      <c r="E267" s="4" t="n">
        <v>1</v>
      </c>
      <c r="F267" s="4" t="inlineStr">
        <is>
          <t>10.12 Schacht frei von aufzugsfremden Einrichtungen? beantwortet</t>
        </is>
      </c>
      <c r="G267" s="4" t="inlineStr">
        <is>
          <t>Kein Risiko</t>
        </is>
      </c>
      <c r="H267" s="4" t="inlineStr">
        <is>
          <t>HIGH_CONFIDENCE</t>
        </is>
      </c>
      <c r="I267" s="4" t="inlineStr"/>
      <c r="J267" s="4" t="inlineStr">
        <is>
          <t>Zustand erhalten; bei der wiederkehrenden Prüfung und der Betreiberkontrolle erneut prüfen</t>
        </is>
      </c>
      <c r="K267" s="4" t="inlineStr"/>
      <c r="L267" s="4" t="inlineStr">
        <is>
          <t>Kein Risiko: keine Mangelregel trifft zu, alle Pflichtfragen beantwortet.</t>
        </is>
      </c>
      <c r="M267" s="3" t="n"/>
      <c r="N267" s="3" t="n"/>
    </row>
    <row r="268">
      <c r="A268" s="2" t="inlineStr">
        <is>
          <t>MF-S07</t>
        </is>
      </c>
      <c r="B268" s="2" t="inlineStr">
        <is>
          <t>Zugänge zum Schacht und zugehörige Schalteinrichtungen nicht frei und sicher begehbar</t>
        </is>
      </c>
      <c r="C268" s="2" t="inlineStr">
        <is>
          <t>Zugang und Verkehrswege</t>
        </is>
      </c>
      <c r="D268" s="2" t="inlineStr">
        <is>
          <t>MF-S07-R1</t>
        </is>
      </c>
      <c r="E268" s="2" t="n">
        <v>100</v>
      </c>
      <c r="F268" s="2" t="inlineStr">
        <is>
          <t>10.13 Zugänge zum Schacht (Schachttüren, Inspektionstüren) und die zugehörigen Schalteinrichtungen frei und sicher begehbar? = Nein</t>
        </is>
      </c>
      <c r="G268" s="2" t="inlineStr">
        <is>
          <t>Hoch</t>
        </is>
      </c>
      <c r="H268" s="2" t="inlineStr">
        <is>
          <t>INFERRED</t>
        </is>
      </c>
      <c r="I268" s="2" t="inlineStr"/>
      <c r="J268" s="2" t="inlineStr">
        <is>
          <t>Zugänge freiräumen, Hindernisse entfernen, Betreiber informieren</t>
        </is>
      </c>
      <c r="K268" s="2" t="inlineStr">
        <is>
          <t>Freihaltung der Schachtzugänge und Schalteinrichtungen in der Betriebsanweisung festlegen und bei Betreiberkontrollen prüfen</t>
        </is>
      </c>
      <c r="L268" s="2" t="inlineStr">
        <is>
          <t>Blaupause Schindler M107 (f021 = Nein -&gt; Hoch, DIRECT).</t>
        </is>
      </c>
      <c r="M268" s="3" t="n"/>
      <c r="N268" s="3" t="n"/>
    </row>
    <row r="269">
      <c r="A269" s="4" t="inlineStr">
        <is>
          <t>MF-S07</t>
        </is>
      </c>
      <c r="B269" s="4" t="inlineStr">
        <is>
          <t>Zugänge zum Schacht und zugehörige Schalteinrichtungen nicht frei und sicher begehbar</t>
        </is>
      </c>
      <c r="C269" s="4" t="inlineStr">
        <is>
          <t>Zugang und Verkehrswege</t>
        </is>
      </c>
      <c r="D269" s="4" t="inlineStr">
        <is>
          <t>MF-S07-R2</t>
        </is>
      </c>
      <c r="E269" s="4" t="n">
        <v>1</v>
      </c>
      <c r="F269" s="4" t="inlineStr">
        <is>
          <t>10.13 Zugänge zum Schacht (Schachttüren, Inspektionstüren) und die zugehörigen Schalteinrichtungen frei und sicher begehbar? beantwortet</t>
        </is>
      </c>
      <c r="G269" s="4" t="inlineStr">
        <is>
          <t>Kein Risiko</t>
        </is>
      </c>
      <c r="H269" s="4" t="inlineStr">
        <is>
          <t>HIGH_CONFIDENCE</t>
        </is>
      </c>
      <c r="I269" s="4" t="inlineStr"/>
      <c r="J269" s="4" t="inlineStr">
        <is>
          <t>Zustand erhalten; bei der wiederkehrenden Prüfung und der Betreiberkontrolle erneut prüfen</t>
        </is>
      </c>
      <c r="K269" s="4" t="inlineStr"/>
      <c r="L269" s="4" t="inlineStr">
        <is>
          <t>Kein Risiko: keine Mangelregel trifft zu, alle Pflichtfragen beantwortet.</t>
        </is>
      </c>
      <c r="M269" s="3" t="n"/>
      <c r="N269" s="3" t="n"/>
    </row>
    <row r="270">
      <c r="A270" s="2" t="inlineStr">
        <is>
          <t>MF-G01</t>
        </is>
      </c>
      <c r="B270" s="2" t="inlineStr">
        <is>
          <t>Unzureichende Beleuchtung in der Schachtgrube</t>
        </is>
      </c>
      <c r="C270" s="2" t="inlineStr">
        <is>
          <t>Beleuchtung</t>
        </is>
      </c>
      <c r="D270" s="2" t="inlineStr">
        <is>
          <t>MF-G01-R1</t>
        </is>
      </c>
      <c r="E270" s="2" t="n">
        <v>100</v>
      </c>
      <c r="F270" s="2" t="inlineStr">
        <is>
          <t>11.2 Beleuchtung in der Schachtgrube vorhanden? = Nein</t>
        </is>
      </c>
      <c r="G270" s="2" t="inlineStr">
        <is>
          <t>Hoch</t>
        </is>
      </c>
      <c r="H270" s="2" t="inlineStr">
        <is>
          <t>HIGH_CONFIDENCE</t>
        </is>
      </c>
      <c r="I270" s="2" t="inlineStr"/>
      <c r="J270" s="2" t="inlineStr">
        <is>
          <t>Handlampe benutzen</t>
        </is>
      </c>
      <c r="K270" s="2" t="inlineStr">
        <is>
          <t>Geeignete Leuchten nachrüsten</t>
        </is>
      </c>
      <c r="L270" s="2" t="inlineStr"/>
      <c r="M270" s="3" t="n"/>
      <c r="N270" s="3" t="n"/>
    </row>
    <row r="271">
      <c r="A271" s="4" t="inlineStr">
        <is>
          <t>MF-G01</t>
        </is>
      </c>
      <c r="B271" s="4" t="inlineStr">
        <is>
          <t>Unzureichende Beleuchtung in der Schachtgrube</t>
        </is>
      </c>
      <c r="C271" s="4" t="inlineStr">
        <is>
          <t>Beleuchtung</t>
        </is>
      </c>
      <c r="D271" s="4" t="inlineStr">
        <is>
          <t>MF-G01-R2</t>
        </is>
      </c>
      <c r="E271" s="4" t="n">
        <v>100</v>
      </c>
      <c r="F271" s="4" t="inlineStr">
        <is>
          <t>11.2a Grubenbeleuchtung ausreichend (mind. 50 Lux), Leuchten geeignet angeordnet? = Nein</t>
        </is>
      </c>
      <c r="G271" s="4" t="inlineStr">
        <is>
          <t>Mittel</t>
        </is>
      </c>
      <c r="H271" s="4" t="inlineStr">
        <is>
          <t>HIGH_CONFIDENCE</t>
        </is>
      </c>
      <c r="I271" s="4" t="inlineStr"/>
      <c r="J271" s="4" t="inlineStr">
        <is>
          <t>Handlampe benutzen</t>
        </is>
      </c>
      <c r="K271" s="4" t="inlineStr">
        <is>
          <t>Leuchten versetzen</t>
        </is>
      </c>
      <c r="L271" s="4" t="inlineStr"/>
      <c r="M271" s="3" t="n"/>
      <c r="N271" s="3" t="n"/>
    </row>
    <row r="272">
      <c r="A272" s="2" t="inlineStr">
        <is>
          <t>MF-G01</t>
        </is>
      </c>
      <c r="B272" s="2" t="inlineStr">
        <is>
          <t>Unzureichende Beleuchtung in der Schachtgrube</t>
        </is>
      </c>
      <c r="C272" s="2" t="inlineStr">
        <is>
          <t>Beleuchtung</t>
        </is>
      </c>
      <c r="D272" s="2" t="inlineStr">
        <is>
          <t>MF-G01-R3</t>
        </is>
      </c>
      <c r="E272" s="2" t="n">
        <v>1</v>
      </c>
      <c r="F272" s="2" t="inlineStr">
        <is>
          <t>11.2 Beleuchtung in der Schachtgrube vorhanden? beantwortet</t>
        </is>
      </c>
      <c r="G272" s="2" t="inlineStr">
        <is>
          <t>Kein Risiko</t>
        </is>
      </c>
      <c r="H272" s="2" t="inlineStr">
        <is>
          <t>HIGH_CONFIDENCE</t>
        </is>
      </c>
      <c r="I272" s="2" t="inlineStr"/>
      <c r="J272" s="2" t="inlineStr">
        <is>
          <t>Zustand erhalten; bei der wiederkehrenden Prüfung und der Betreiberkontrolle erneut prüfen</t>
        </is>
      </c>
      <c r="K272" s="2" t="inlineStr"/>
      <c r="L272" s="2" t="inlineStr">
        <is>
          <t>Kein Risiko: keine Mangelregel trifft zu, alle Pflichtfragen beantwortet.</t>
        </is>
      </c>
      <c r="M272" s="3" t="n"/>
      <c r="N272" s="3" t="n"/>
    </row>
    <row r="273">
      <c r="A273" s="4" t="inlineStr">
        <is>
          <t>MF-G02</t>
        </is>
      </c>
      <c r="B273" s="4" t="inlineStr">
        <is>
          <t>Unzureichender Schutzraum in der Schachtgrube</t>
        </is>
      </c>
      <c r="C273" s="4" t="inlineStr">
        <is>
          <t>Schachtgrube</t>
        </is>
      </c>
      <c r="D273" s="4" t="inlineStr">
        <is>
          <t>MF-G02-R1</t>
        </is>
      </c>
      <c r="E273" s="4" t="n">
        <v>100</v>
      </c>
      <c r="F273" s="4" t="inlineStr">
        <is>
          <t>11.3 Schutzraum in der Schachtgrube = „Schutzraum nicht gegeben"</t>
        </is>
      </c>
      <c r="G273" s="4" t="inlineStr">
        <is>
          <t>Hoch</t>
        </is>
      </c>
      <c r="H273" s="4" t="inlineStr">
        <is>
          <t>HIGH_CONFIDENCE</t>
        </is>
      </c>
      <c r="I273" s="4" t="inlineStr"/>
      <c r="J273" s="4" t="inlineStr">
        <is>
          <t>Schachtgrube nicht betreten, Anlage stilllegen</t>
        </is>
      </c>
      <c r="K273" s="4" t="inlineStr">
        <is>
          <t>Fahrbegrenzung nachrüsten oder Schutzraum herstellen</t>
        </is>
      </c>
      <c r="L273" s="4" t="inlineStr"/>
      <c r="M273" s="3" t="n"/>
      <c r="N273" s="3" t="n"/>
    </row>
    <row r="274">
      <c r="A274" s="2" t="inlineStr">
        <is>
          <t>MF-G02</t>
        </is>
      </c>
      <c r="B274" s="2" t="inlineStr">
        <is>
          <t>Unzureichender Schutzraum in der Schachtgrube</t>
        </is>
      </c>
      <c r="C274" s="2" t="inlineStr">
        <is>
          <t>Schachtgrube</t>
        </is>
      </c>
      <c r="D274" s="2" t="inlineStr">
        <is>
          <t>MF-G02-R2</t>
        </is>
      </c>
      <c r="E274" s="2" t="n">
        <v>100</v>
      </c>
      <c r="F274" s="2" t="inlineStr">
        <is>
          <t>11.3 Schutzraum in der Schachtgrube = „Schutzraum nach TRA 200 / EN 81-1/-2 (kleiner als EN 81-20)"</t>
        </is>
      </c>
      <c r="G274" s="2" t="inlineStr">
        <is>
          <t>Niedrig</t>
        </is>
      </c>
      <c r="H274" s="2" t="inlineStr">
        <is>
          <t>INFERRED</t>
        </is>
      </c>
      <c r="I274" s="2" t="inlineStr"/>
      <c r="J274" s="2" t="inlineStr">
        <is>
          <t>Zustand dokumentieren, Beschäftigte über den reduzierten Schutzraum unterweisen</t>
        </is>
      </c>
      <c r="K274" s="2" t="inlineStr">
        <is>
          <t>Bei Modernisierung Schutzräume nach EN 81-20 herstellen oder Schutzeinrichtung für temporären Schutzraum vorsehen</t>
        </is>
      </c>
      <c r="L274" s="2" t="inlineStr">
        <is>
          <t>TRBS 3121 Anh. 1 Nr. 5: Risiko niedrig bei Schutzräumen nach TRA 200 oder EN 81-1/-2. Entschieden 2026-09-02: K-F05.</t>
        </is>
      </c>
      <c r="M274" s="3" t="n"/>
      <c r="N274" s="3" t="n"/>
    </row>
    <row r="275">
      <c r="A275" s="4" t="inlineStr">
        <is>
          <t>MF-G02</t>
        </is>
      </c>
      <c r="B275" s="4" t="inlineStr">
        <is>
          <t>Unzureichender Schutzraum in der Schachtgrube</t>
        </is>
      </c>
      <c r="C275" s="4" t="inlineStr">
        <is>
          <t>Schachtgrube</t>
        </is>
      </c>
      <c r="D275" s="4" t="inlineStr">
        <is>
          <t>MF-G02-R3</t>
        </is>
      </c>
      <c r="E275" s="4" t="n">
        <v>100</v>
      </c>
      <c r="F275" s="4" t="inlineStr">
        <is>
          <t>11.3 Schutzraum in der Schachtgrube = „Reduzierte Grube mit wirksamer Zusatzeinrichtung und Kennzeichnung"</t>
        </is>
      </c>
      <c r="G275" s="4" t="inlineStr">
        <is>
          <t>Kein Risiko</t>
        </is>
      </c>
      <c r="H275" s="4" t="inlineStr">
        <is>
          <t>HIGH_CONFIDENCE</t>
        </is>
      </c>
      <c r="I275" s="4" t="inlineStr"/>
      <c r="J275" s="4" t="inlineStr"/>
      <c r="K275" s="4" t="inlineStr"/>
      <c r="L275" s="4" t="inlineStr">
        <is>
          <t>Entscheidung 02.09.2026: reduzierte Grube mit wirksamer Zusatzeinrichtung = kein Risiko. Entschieden 2026-09-02: K-F03.</t>
        </is>
      </c>
      <c r="M275" s="3" t="n"/>
      <c r="N275" s="3" t="n"/>
    </row>
    <row r="276">
      <c r="A276" s="2" t="inlineStr">
        <is>
          <t>MF-G02</t>
        </is>
      </c>
      <c r="B276" s="2" t="inlineStr">
        <is>
          <t>Unzureichender Schutzraum in der Schachtgrube</t>
        </is>
      </c>
      <c r="C276" s="2" t="inlineStr">
        <is>
          <t>Schachtgrube</t>
        </is>
      </c>
      <c r="D276" s="2" t="inlineStr">
        <is>
          <t>MF-G02-R4</t>
        </is>
      </c>
      <c r="E276" s="2" t="n">
        <v>1</v>
      </c>
      <c r="F276" s="2" t="inlineStr">
        <is>
          <t>11.3 Schutzraum in der Schachtgrube beantwortet</t>
        </is>
      </c>
      <c r="G276" s="2" t="inlineStr">
        <is>
          <t>Kein Risiko</t>
        </is>
      </c>
      <c r="H276" s="2" t="inlineStr">
        <is>
          <t>HIGH_CONFIDENCE</t>
        </is>
      </c>
      <c r="I276" s="2" t="inlineStr"/>
      <c r="J276" s="2" t="inlineStr">
        <is>
          <t>Zustand erhalten; bei der wiederkehrenden Prüfung und der Betreiberkontrolle erneut prüfen</t>
        </is>
      </c>
      <c r="K276" s="2" t="inlineStr"/>
      <c r="L276" s="2" t="inlineStr">
        <is>
          <t>Kein Risiko: keine Mangelregel trifft zu, alle Pflichtfragen beantwortet.</t>
        </is>
      </c>
      <c r="M276" s="3" t="n"/>
      <c r="N276" s="3" t="n"/>
    </row>
    <row r="277">
      <c r="A277" s="4" t="inlineStr">
        <is>
          <t>MF-G03</t>
        </is>
      </c>
      <c r="B277" s="4" t="inlineStr">
        <is>
          <t>Fehlender Not-Halt oder fehlende Inspektionssteuerung in der Schachtgrube</t>
        </is>
      </c>
      <c r="C277" s="4" t="inlineStr">
        <is>
          <t>Sicherheitskomponenten</t>
        </is>
      </c>
      <c r="D277" s="4" t="inlineStr">
        <is>
          <t>MF-G03-R1</t>
        </is>
      </c>
      <c r="E277" s="4" t="n">
        <v>100</v>
      </c>
      <c r="F277" s="4" t="inlineStr">
        <is>
          <t>11.4 Notbremsschalter in der Schachtgrube vorhanden? = Nein</t>
        </is>
      </c>
      <c r="G277" s="4" t="inlineStr">
        <is>
          <t>Hoch</t>
        </is>
      </c>
      <c r="H277" s="4" t="inlineStr">
        <is>
          <t>HIGH_CONFIDENCE</t>
        </is>
      </c>
      <c r="I277" s="4" t="inlineStr"/>
      <c r="J277" s="4" t="inlineStr">
        <is>
          <t>Grube nur nach Freischalten und Sichern der Anlage betreten</t>
        </is>
      </c>
      <c r="K277" s="4" t="inlineStr">
        <is>
          <t>Notbremsschalter nachrüsten</t>
        </is>
      </c>
      <c r="L277" s="4" t="inlineStr"/>
      <c r="M277" s="3" t="n"/>
      <c r="N277" s="3" t="n"/>
    </row>
    <row r="278">
      <c r="A278" s="2" t="inlineStr">
        <is>
          <t>MF-G03</t>
        </is>
      </c>
      <c r="B278" s="2" t="inlineStr">
        <is>
          <t>Fehlender Not-Halt oder fehlende Inspektionssteuerung in der Schachtgrube</t>
        </is>
      </c>
      <c r="C278" s="2" t="inlineStr">
        <is>
          <t>Sicherheitskomponenten</t>
        </is>
      </c>
      <c r="D278" s="2" t="inlineStr">
        <is>
          <t>MF-G03-R2</t>
        </is>
      </c>
      <c r="E278" s="2" t="n">
        <v>100</v>
      </c>
      <c r="F278" s="2" t="inlineStr">
        <is>
          <t>11.5 Inspektionssteuerung in der Schachtgrube vorhanden? = Nein</t>
        </is>
      </c>
      <c r="G278" s="2" t="inlineStr">
        <is>
          <t>Mittel</t>
        </is>
      </c>
      <c r="H278" s="2" t="inlineStr">
        <is>
          <t>HIGH_CONFIDENCE</t>
        </is>
      </c>
      <c r="I278" s="2" t="inlineStr"/>
      <c r="J278" s="2" t="inlineStr">
        <is>
          <t>Keine Alleinarbeit in der Schachtgrube</t>
        </is>
      </c>
      <c r="K278" s="2" t="inlineStr">
        <is>
          <t>Inspektionssteuerung nach DIN EN 81-20, 5.12.1.5 nachrüsten</t>
        </is>
      </c>
      <c r="L278" s="2" t="inlineStr">
        <is>
          <t>Entschieden 2026-09-02: K-S01.</t>
        </is>
      </c>
      <c r="M278" s="3" t="n"/>
      <c r="N278" s="3" t="n"/>
    </row>
    <row r="279">
      <c r="A279" s="4" t="inlineStr">
        <is>
          <t>MF-G03</t>
        </is>
      </c>
      <c r="B279" s="4" t="inlineStr">
        <is>
          <t>Fehlender Not-Halt oder fehlende Inspektionssteuerung in der Schachtgrube</t>
        </is>
      </c>
      <c r="C279" s="4" t="inlineStr">
        <is>
          <t>Sicherheitskomponenten</t>
        </is>
      </c>
      <c r="D279" s="4" t="inlineStr">
        <is>
          <t>MF-G03-R3</t>
        </is>
      </c>
      <c r="E279" s="4" t="n">
        <v>100</v>
      </c>
      <c r="F279" s="4" t="inlineStr">
        <is>
          <t>11.4a Notbremsschalter von der Schachttür aus erreichbar? = Nein</t>
        </is>
      </c>
      <c r="G279" s="4" t="inlineStr">
        <is>
          <t>Mittel</t>
        </is>
      </c>
      <c r="H279" s="4" t="inlineStr">
        <is>
          <t>HIGH_CONFIDENCE</t>
        </is>
      </c>
      <c r="I279" s="4" t="inlineStr"/>
      <c r="J279" s="4" t="inlineStr">
        <is>
          <t>Vor dem Abstieg die Anlage stilllegen</t>
        </is>
      </c>
      <c r="K279" s="4" t="inlineStr">
        <is>
          <t>Zusätzlichen, von außen erreichbaren Notbremsschalter nachrüsten</t>
        </is>
      </c>
      <c r="L279" s="4" t="inlineStr"/>
      <c r="M279" s="3" t="n"/>
      <c r="N279" s="3" t="n"/>
    </row>
    <row r="280">
      <c r="A280" s="2" t="inlineStr">
        <is>
          <t>MF-G03</t>
        </is>
      </c>
      <c r="B280" s="2" t="inlineStr">
        <is>
          <t>Fehlender Not-Halt oder fehlende Inspektionssteuerung in der Schachtgrube</t>
        </is>
      </c>
      <c r="C280" s="2" t="inlineStr">
        <is>
          <t>Sicherheitskomponenten</t>
        </is>
      </c>
      <c r="D280" s="2" t="inlineStr">
        <is>
          <t>MF-G03-R4</t>
        </is>
      </c>
      <c r="E280" s="2" t="n">
        <v>100</v>
      </c>
      <c r="F280" s="2" t="inlineStr">
        <is>
          <t>11.4b Bei Grubentiefe über 1,60 m: zweiter Notbremsschalter am Grubenboden vorhanden? = Nein</t>
        </is>
      </c>
      <c r="G280" s="2" t="inlineStr">
        <is>
          <t>Mittel</t>
        </is>
      </c>
      <c r="H280" s="2" t="inlineStr">
        <is>
          <t>HIGH_CONFIDENCE</t>
        </is>
      </c>
      <c r="I280" s="2" t="inlineStr"/>
      <c r="J280" s="2" t="inlineStr">
        <is>
          <t>Abstieg nur nach Stilllegen der Anlage</t>
        </is>
      </c>
      <c r="K280" s="2" t="inlineStr">
        <is>
          <t>Zweiten Notbremsschalter nach DIN EN 81-20, 5.4.8 nachrüsten</t>
        </is>
      </c>
      <c r="L280" s="2" t="inlineStr"/>
      <c r="M280" s="3" t="n"/>
      <c r="N280" s="3" t="n"/>
    </row>
    <row r="281">
      <c r="A281" s="4" t="inlineStr">
        <is>
          <t>MF-G03</t>
        </is>
      </c>
      <c r="B281" s="4" t="inlineStr">
        <is>
          <t>Fehlender Not-Halt oder fehlende Inspektionssteuerung in der Schachtgrube</t>
        </is>
      </c>
      <c r="C281" s="4" t="inlineStr">
        <is>
          <t>Sicherheitskomponenten</t>
        </is>
      </c>
      <c r="D281" s="4" t="inlineStr">
        <is>
          <t>MF-G03-R5</t>
        </is>
      </c>
      <c r="E281" s="4" t="n">
        <v>1</v>
      </c>
      <c r="F281" s="4" t="inlineStr">
        <is>
          <t>11.4 Notbremsschalter in der Schachtgrube vorhanden? beantwortet</t>
        </is>
      </c>
      <c r="G281" s="4" t="inlineStr">
        <is>
          <t>Kein Risiko</t>
        </is>
      </c>
      <c r="H281" s="4" t="inlineStr">
        <is>
          <t>HIGH_CONFIDENCE</t>
        </is>
      </c>
      <c r="I281" s="4" t="inlineStr"/>
      <c r="J281" s="4" t="inlineStr">
        <is>
          <t>Zustand erhalten; bei der wiederkehrenden Prüfung und der Betreiberkontrolle erneut prüfen</t>
        </is>
      </c>
      <c r="K281" s="4" t="inlineStr"/>
      <c r="L281" s="4" t="inlineStr">
        <is>
          <t>Kein Risiko: keine Mangelregel trifft zu, alle Pflichtfragen beantwortet.</t>
        </is>
      </c>
      <c r="M281" s="3" t="n"/>
      <c r="N281" s="3" t="n"/>
    </row>
    <row r="282">
      <c r="A282" s="2" t="inlineStr">
        <is>
          <t>MF-G04</t>
        </is>
      </c>
      <c r="B282" s="2" t="inlineStr">
        <is>
          <t>Unsicherer Zugang zur Schachtgrube (Leiter, Grubenzugangstür)</t>
        </is>
      </c>
      <c r="C282" s="2" t="inlineStr">
        <is>
          <t>Zugang und Verkehrswege</t>
        </is>
      </c>
      <c r="D282" s="2" t="inlineStr">
        <is>
          <t>MF-G04-R1</t>
        </is>
      </c>
      <c r="E282" s="2" t="n">
        <v>100</v>
      </c>
      <c r="F282" s="2" t="inlineStr">
        <is>
          <t>11.6 Grubenleiter = „Keine Grubenleiter"</t>
        </is>
      </c>
      <c r="G282" s="2" t="inlineStr">
        <is>
          <t>Hoch</t>
        </is>
      </c>
      <c r="H282" s="2" t="inlineStr">
        <is>
          <t>HIGH_CONFIDENCE</t>
        </is>
      </c>
      <c r="I282" s="2" t="inlineStr"/>
      <c r="J282" s="2" t="inlineStr">
        <is>
          <t>Ohne Leiter kein Einstieg! Eigene Leiter verwenden</t>
        </is>
      </c>
      <c r="K282" s="2" t="inlineStr">
        <is>
          <t>Schachtgrubenleiter nachrüsten</t>
        </is>
      </c>
      <c r="L282" s="2" t="inlineStr"/>
      <c r="M282" s="3" t="n"/>
      <c r="N282" s="3" t="n"/>
    </row>
    <row r="283">
      <c r="A283" s="4" t="inlineStr">
        <is>
          <t>MF-G04</t>
        </is>
      </c>
      <c r="B283" s="4" t="inlineStr">
        <is>
          <t>Unsicherer Zugang zur Schachtgrube (Leiter, Grubenzugangstür)</t>
        </is>
      </c>
      <c r="C283" s="4" t="inlineStr">
        <is>
          <t>Zugang und Verkehrswege</t>
        </is>
      </c>
      <c r="D283" s="4" t="inlineStr">
        <is>
          <t>MF-G04-R2</t>
        </is>
      </c>
      <c r="E283" s="4" t="n">
        <v>100</v>
      </c>
      <c r="F283" s="4" t="inlineStr">
        <is>
          <t>11.7a Elektrische Sicherheitseinrichtung an der Grubenzugangstür? = Nein</t>
        </is>
      </c>
      <c r="G283" s="4" t="inlineStr">
        <is>
          <t>Hoch</t>
        </is>
      </c>
      <c r="H283" s="4" t="inlineStr">
        <is>
          <t>INFERRED</t>
        </is>
      </c>
      <c r="I283" s="4" t="inlineStr"/>
      <c r="J283" s="4" t="inlineStr">
        <is>
          <t>Grubenzugangstür verschlossen halten, Zutritt nur mit Freischaltung der Anlage</t>
        </is>
      </c>
      <c r="K283" s="4" t="inlineStr">
        <is>
          <t>Elektrische Sicherheitseinrichtung (Türkontakt im Sicherheitskreis) an der Grubenzugangstür nachrüsten</t>
        </is>
      </c>
      <c r="L283" s="4" t="inlineStr">
        <is>
          <t>Blaupause Schindler M008 (f069 = Ja, f070 = Nein -&gt; Hoch, DIRECT).</t>
        </is>
      </c>
      <c r="M283" s="3" t="n"/>
      <c r="N283" s="3" t="n"/>
    </row>
    <row r="284">
      <c r="A284" s="2" t="inlineStr">
        <is>
          <t>MF-G04</t>
        </is>
      </c>
      <c r="B284" s="2" t="inlineStr">
        <is>
          <t>Unsicherer Zugang zur Schachtgrube (Leiter, Grubenzugangstür)</t>
        </is>
      </c>
      <c r="C284" s="2" t="inlineStr">
        <is>
          <t>Zugang und Verkehrswege</t>
        </is>
      </c>
      <c r="D284" s="2" t="inlineStr">
        <is>
          <t>MF-G04-R3</t>
        </is>
      </c>
      <c r="E284" s="2" t="n">
        <v>100</v>
      </c>
      <c r="F284" s="2" t="inlineStr">
        <is>
          <t>11.6 Grubenleiter = „Grubenleiter vorhanden, aber schwer erreichbar"</t>
        </is>
      </c>
      <c r="G284" s="2" t="inlineStr">
        <is>
          <t>Mittel</t>
        </is>
      </c>
      <c r="H284" s="2" t="inlineStr">
        <is>
          <t>HIGH_CONFIDENCE</t>
        </is>
      </c>
      <c r="I284" s="2" t="inlineStr"/>
      <c r="J284" s="2" t="inlineStr">
        <is>
          <t>Besondere Vorsicht beim Begehen</t>
        </is>
      </c>
      <c r="K284" s="2" t="inlineStr">
        <is>
          <t>Umbau Schachtgrubenleiter</t>
        </is>
      </c>
      <c r="L284" s="2" t="inlineStr"/>
      <c r="M284" s="3" t="n"/>
      <c r="N284" s="3" t="n"/>
    </row>
    <row r="285">
      <c r="A285" s="4" t="inlineStr">
        <is>
          <t>MF-G04</t>
        </is>
      </c>
      <c r="B285" s="4" t="inlineStr">
        <is>
          <t>Unsicherer Zugang zur Schachtgrube (Leiter, Grubenzugangstür)</t>
        </is>
      </c>
      <c r="C285" s="4" t="inlineStr">
        <is>
          <t>Zugang und Verkehrswege</t>
        </is>
      </c>
      <c r="D285" s="4" t="inlineStr">
        <is>
          <t>MF-G04-R4</t>
        </is>
      </c>
      <c r="E285" s="4" t="n">
        <v>100</v>
      </c>
      <c r="F285" s="4" t="inlineStr">
        <is>
          <t>11.6 Grubenleiter = „Leiter beim Kunden deponiert"</t>
        </is>
      </c>
      <c r="G285" s="4" t="inlineStr">
        <is>
          <t>Mittel</t>
        </is>
      </c>
      <c r="H285" s="4" t="inlineStr">
        <is>
          <t>HIGH_CONFIDENCE</t>
        </is>
      </c>
      <c r="I285" s="4" t="inlineStr"/>
      <c r="J285" s="4" t="inlineStr">
        <is>
          <t>Auf Eignung , Unversehrtheit, Vollständigkeit achten</t>
        </is>
      </c>
      <c r="K285" s="4" t="inlineStr">
        <is>
          <t>Schachtgrubenleiter nachrüsten</t>
        </is>
      </c>
      <c r="L285" s="4" t="inlineStr"/>
      <c r="M285" s="3" t="n"/>
      <c r="N285" s="3" t="n"/>
    </row>
    <row r="286">
      <c r="A286" s="2" t="inlineStr">
        <is>
          <t>MF-G04</t>
        </is>
      </c>
      <c r="B286" s="2" t="inlineStr">
        <is>
          <t>Unsicherer Zugang zur Schachtgrube (Leiter, Grubenzugangstür)</t>
        </is>
      </c>
      <c r="C286" s="2" t="inlineStr">
        <is>
          <t>Zugang und Verkehrswege</t>
        </is>
      </c>
      <c r="D286" s="2" t="inlineStr">
        <is>
          <t>MF-G04-R5</t>
        </is>
      </c>
      <c r="E286" s="2" t="n">
        <v>100</v>
      </c>
      <c r="F286" s="2" t="inlineStr">
        <is>
          <t>11.6 Grubenleiter = „Leiter wird im Kundendienstfahrzeug mitgeführt"</t>
        </is>
      </c>
      <c r="G286" s="2" t="inlineStr">
        <is>
          <t>Hoch</t>
        </is>
      </c>
      <c r="H286" s="2" t="inlineStr">
        <is>
          <t>HIGH_CONFIDENCE</t>
        </is>
      </c>
      <c r="I286" s="2" t="inlineStr"/>
      <c r="J286" s="2" t="inlineStr">
        <is>
          <t>Leiter aus dem Fahrzeug holen</t>
        </is>
      </c>
      <c r="K286" s="2" t="inlineStr">
        <is>
          <t>Schachtgrubenleiter nachrüsten</t>
        </is>
      </c>
      <c r="L286" s="2" t="inlineStr">
        <is>
          <t>Entschieden 2026-09-02: K-S02.</t>
        </is>
      </c>
      <c r="M286" s="3" t="n"/>
      <c r="N286" s="3" t="n"/>
    </row>
    <row r="287">
      <c r="A287" s="4" t="inlineStr">
        <is>
          <t>MF-G04</t>
        </is>
      </c>
      <c r="B287" s="4" t="inlineStr">
        <is>
          <t>Unsicherer Zugang zur Schachtgrube (Leiter, Grubenzugangstür)</t>
        </is>
      </c>
      <c r="C287" s="4" t="inlineStr">
        <is>
          <t>Zugang und Verkehrswege</t>
        </is>
      </c>
      <c r="D287" s="4" t="inlineStr">
        <is>
          <t>MF-G04-R6</t>
        </is>
      </c>
      <c r="E287" s="4" t="n">
        <v>1</v>
      </c>
      <c r="F287" s="4" t="inlineStr">
        <is>
          <t>11.6 Grubenleiter beantwortet</t>
        </is>
      </c>
      <c r="G287" s="4" t="inlineStr">
        <is>
          <t>Kein Risiko</t>
        </is>
      </c>
      <c r="H287" s="4" t="inlineStr">
        <is>
          <t>HIGH_CONFIDENCE</t>
        </is>
      </c>
      <c r="I287" s="4" t="inlineStr"/>
      <c r="J287" s="4" t="inlineStr">
        <is>
          <t>Zustand erhalten; bei der wiederkehrenden Prüfung und der Betreiberkontrolle erneut prüfen</t>
        </is>
      </c>
      <c r="K287" s="4" t="inlineStr"/>
      <c r="L287" s="4" t="inlineStr">
        <is>
          <t>Kein Risiko: keine Mangelregel trifft zu, alle Pflichtfragen beantwortet.</t>
        </is>
      </c>
      <c r="M287" s="3" t="n"/>
      <c r="N287" s="3" t="n"/>
    </row>
    <row r="288">
      <c r="A288" s="2" t="inlineStr">
        <is>
          <t>MF-G05</t>
        </is>
      </c>
      <c r="B288" s="2" t="inlineStr">
        <is>
          <t>Keine Selbstbefreiung aus der Schachtgrube und kein Notruf in der Grube</t>
        </is>
      </c>
      <c r="C288" s="2" t="inlineStr">
        <is>
          <t>Notruf und Personenbefreiung</t>
        </is>
      </c>
      <c r="D288" s="2" t="inlineStr">
        <is>
          <t>MF-G05-R1</t>
        </is>
      </c>
      <c r="E288" s="2" t="n">
        <v>300</v>
      </c>
      <c r="F288" s="2" t="inlineStr">
        <is>
          <t>(11.8 Selbstbefreiung aus der Grube über die Schachttür möglich (Verschluss innerhalb 1,80 m Höhe / 0,80 m horizontal)? = Nein UND 11.9 Notrufeinrichtung in der Schachtgrube vorhanden? = Nein)</t>
        </is>
      </c>
      <c r="G288" s="2" t="inlineStr">
        <is>
          <t>Hoch</t>
        </is>
      </c>
      <c r="H288" s="2" t="inlineStr">
        <is>
          <t>HIGH_CONFIDENCE</t>
        </is>
      </c>
      <c r="I288" s="2" t="inlineStr"/>
      <c r="J288" s="2" t="inlineStr">
        <is>
          <t>Grube nur zu zweit betreten, an- und abmelden, Mobilfunkempfang prüfen</t>
        </is>
      </c>
      <c r="K288" s="2" t="inlineStr">
        <is>
          <t>Notrufeinrichtung in der Schachtgrube nachrüsten oder Selbstbefreiung ermöglichen</t>
        </is>
      </c>
      <c r="L288" s="2" t="inlineStr"/>
      <c r="M288" s="3" t="n"/>
      <c r="N288" s="3" t="n"/>
    </row>
    <row r="289">
      <c r="A289" s="4" t="inlineStr">
        <is>
          <t>MF-G05</t>
        </is>
      </c>
      <c r="B289" s="4" t="inlineStr">
        <is>
          <t>Keine Selbstbefreiung aus der Schachtgrube und kein Notruf in der Grube</t>
        </is>
      </c>
      <c r="C289" s="4" t="inlineStr">
        <is>
          <t>Notruf und Personenbefreiung</t>
        </is>
      </c>
      <c r="D289" s="4" t="inlineStr">
        <is>
          <t>MF-G05-R2</t>
        </is>
      </c>
      <c r="E289" s="4" t="n">
        <v>200</v>
      </c>
      <c r="F289" s="4" t="inlineStr">
        <is>
          <t>11.8 Selbstbefreiung aus der Grube über die Schachttür möglich (Verschluss innerhalb 1,80 m Höhe / 0,80 m horizontal)? = Nein</t>
        </is>
      </c>
      <c r="G289" s="4" t="inlineStr">
        <is>
          <t>Mittel</t>
        </is>
      </c>
      <c r="H289" s="4" t="inlineStr">
        <is>
          <t>HIGH_CONFIDENCE</t>
        </is>
      </c>
      <c r="I289" s="4" t="inlineStr"/>
      <c r="J289" s="4" t="inlineStr">
        <is>
          <t>Vor dem Abstieg an- und abmelden</t>
        </is>
      </c>
      <c r="K289" s="4" t="inlineStr">
        <is>
          <t>Zugang zur Schachttür verbessern</t>
        </is>
      </c>
      <c r="L289" s="4" t="inlineStr"/>
      <c r="M289" s="3" t="n"/>
      <c r="N289" s="3" t="n"/>
    </row>
    <row r="290">
      <c r="A290" s="2" t="inlineStr">
        <is>
          <t>MF-G05</t>
        </is>
      </c>
      <c r="B290" s="2" t="inlineStr">
        <is>
          <t>Keine Selbstbefreiung aus der Schachtgrube und kein Notruf in der Grube</t>
        </is>
      </c>
      <c r="C290" s="2" t="inlineStr">
        <is>
          <t>Notruf und Personenbefreiung</t>
        </is>
      </c>
      <c r="D290" s="2" t="inlineStr">
        <is>
          <t>MF-G05-R3</t>
        </is>
      </c>
      <c r="E290" s="2" t="n">
        <v>100</v>
      </c>
      <c r="F290" s="2" t="inlineStr">
        <is>
          <t>11.9 Notrufeinrichtung in der Schachtgrube vorhanden? = Nein</t>
        </is>
      </c>
      <c r="G290" s="2" t="inlineStr">
        <is>
          <t>Mittel</t>
        </is>
      </c>
      <c r="H290" s="2" t="inlineStr">
        <is>
          <t>HIGH_CONFIDENCE</t>
        </is>
      </c>
      <c r="I290" s="2" t="inlineStr"/>
      <c r="J290" s="2" t="inlineStr">
        <is>
          <t>Schachteinschluss verhindern durch alternative Maßnahme (z.B. Mobilfunk, Funk, 2. Person)</t>
        </is>
      </c>
      <c r="K290" s="2" t="inlineStr">
        <is>
          <t>Notrufsystem FK-Dach und Schachtgrube nachrüsten</t>
        </is>
      </c>
      <c r="L290" s="2" t="inlineStr"/>
      <c r="M290" s="3" t="n"/>
      <c r="N290" s="3" t="n"/>
    </row>
    <row r="291">
      <c r="A291" s="4" t="inlineStr">
        <is>
          <t>MF-G05</t>
        </is>
      </c>
      <c r="B291" s="4" t="inlineStr">
        <is>
          <t>Keine Selbstbefreiung aus der Schachtgrube und kein Notruf in der Grube</t>
        </is>
      </c>
      <c r="C291" s="4" t="inlineStr">
        <is>
          <t>Notruf und Personenbefreiung</t>
        </is>
      </c>
      <c r="D291" s="4" t="inlineStr">
        <is>
          <t>MF-G05-R4</t>
        </is>
      </c>
      <c r="E291" s="4" t="n">
        <v>1</v>
      </c>
      <c r="F291" s="4" t="inlineStr">
        <is>
          <t>11.8 Selbstbefreiung aus der Grube über die Schachttür möglich (Verschluss innerhalb 1,80 m Höhe / 0,80 m horizontal)? beantwortet</t>
        </is>
      </c>
      <c r="G291" s="4" t="inlineStr">
        <is>
          <t>Kein Risiko</t>
        </is>
      </c>
      <c r="H291" s="4" t="inlineStr">
        <is>
          <t>HIGH_CONFIDENCE</t>
        </is>
      </c>
      <c r="I291" s="4" t="inlineStr"/>
      <c r="J291" s="4" t="inlineStr">
        <is>
          <t>Zustand erhalten; bei der wiederkehrenden Prüfung und der Betreiberkontrolle erneut prüfen</t>
        </is>
      </c>
      <c r="K291" s="4" t="inlineStr"/>
      <c r="L291" s="4" t="inlineStr">
        <is>
          <t>Kein Risiko: keine Mangelregel trifft zu, alle Pflichtfragen beantwortet.</t>
        </is>
      </c>
      <c r="M291" s="3" t="n"/>
      <c r="N291" s="3" t="n"/>
    </row>
    <row r="292">
      <c r="A292" s="2" t="inlineStr">
        <is>
          <t>MF-G06</t>
        </is>
      </c>
      <c r="B292" s="2" t="inlineStr">
        <is>
          <t>Fehlende, beschädigte oder ungeeignete Puffer</t>
        </is>
      </c>
      <c r="C292" s="2" t="inlineStr">
        <is>
          <t>Schachtgrube</t>
        </is>
      </c>
      <c r="D292" s="2" t="inlineStr">
        <is>
          <t>MF-G06-R1</t>
        </is>
      </c>
      <c r="E292" s="2" t="n">
        <v>100</v>
      </c>
      <c r="F292" s="2" t="inlineStr">
        <is>
          <t>11.10 Puffer für Fahrkorb und Gegengewicht vorhanden? = Nein</t>
        </is>
      </c>
      <c r="G292" s="2" t="inlineStr">
        <is>
          <t>Hoch</t>
        </is>
      </c>
      <c r="H292" s="2" t="inlineStr">
        <is>
          <t>HIGH_CONFIDENCE</t>
        </is>
      </c>
      <c r="I292" s="2" t="inlineStr"/>
      <c r="J292" s="2" t="inlineStr">
        <is>
          <t>Aufzug stilllegen</t>
        </is>
      </c>
      <c r="K292" s="2" t="inlineStr">
        <is>
          <t>Puffer nach DIN EN 81-20, 5.8.1 ersetzen</t>
        </is>
      </c>
      <c r="L292" s="2" t="inlineStr"/>
      <c r="M292" s="3" t="n"/>
      <c r="N292" s="3" t="n"/>
    </row>
    <row r="293">
      <c r="A293" s="4" t="inlineStr">
        <is>
          <t>MF-G06</t>
        </is>
      </c>
      <c r="B293" s="4" t="inlineStr">
        <is>
          <t>Fehlende, beschädigte oder ungeeignete Puffer</t>
        </is>
      </c>
      <c r="C293" s="4" t="inlineStr">
        <is>
          <t>Schachtgrube</t>
        </is>
      </c>
      <c r="D293" s="4" t="inlineStr">
        <is>
          <t>MF-G06-R2</t>
        </is>
      </c>
      <c r="E293" s="4" t="n">
        <v>100</v>
      </c>
      <c r="F293" s="4" t="inlineStr">
        <is>
          <t>11.10a Puffer unbeschädigt und nicht verschlissen? = Nein</t>
        </is>
      </c>
      <c r="G293" s="4" t="inlineStr">
        <is>
          <t>Hoch</t>
        </is>
      </c>
      <c r="H293" s="4" t="inlineStr">
        <is>
          <t>HIGH_CONFIDENCE</t>
        </is>
      </c>
      <c r="I293" s="4" t="inlineStr"/>
      <c r="J293" s="4" t="inlineStr">
        <is>
          <t>Aufzug stilllegen</t>
        </is>
      </c>
      <c r="K293" s="4" t="inlineStr">
        <is>
          <t>Puffer nach DIN EN 81-20, 5.8.1 ersetzen</t>
        </is>
      </c>
      <c r="L293" s="4" t="inlineStr"/>
      <c r="M293" s="3" t="n"/>
      <c r="N293" s="3" t="n"/>
    </row>
    <row r="294">
      <c r="A294" s="2" t="inlineStr">
        <is>
          <t>MF-G06</t>
        </is>
      </c>
      <c r="B294" s="2" t="inlineStr">
        <is>
          <t>Fehlende, beschädigte oder ungeeignete Puffer</t>
        </is>
      </c>
      <c r="C294" s="2" t="inlineStr">
        <is>
          <t>Schachtgrube</t>
        </is>
      </c>
      <c r="D294" s="2" t="inlineStr">
        <is>
          <t>MF-G06-R3</t>
        </is>
      </c>
      <c r="E294" s="2" t="n">
        <v>100</v>
      </c>
      <c r="F294" s="2" t="inlineStr">
        <is>
          <t>(11.10b Bauart der Puffer = „Energiespeichernd (Feder / Polyurethan)" UND 3.1a Nenngeschwindigkeit [m/s] &gt; 1.0)</t>
        </is>
      </c>
      <c r="G294" s="2" t="inlineStr">
        <is>
          <t>Hoch</t>
        </is>
      </c>
      <c r="H294" s="2" t="inlineStr">
        <is>
          <t>HIGH_CONFIDENCE</t>
        </is>
      </c>
      <c r="I294" s="2" t="inlineStr"/>
      <c r="J294" s="2" t="inlineStr">
        <is>
          <t>Puffertyp und Nenngeschwindigkeit durch die ZÜS bewerten lassen</t>
        </is>
      </c>
      <c r="K294" s="2" t="inlineStr">
        <is>
          <t>Energieverzehrende Puffer nachrüsten</t>
        </is>
      </c>
      <c r="L294" s="2" t="inlineStr">
        <is>
          <t>Entschieden 2026-09-02: K-S04.</t>
        </is>
      </c>
      <c r="M294" s="3" t="n"/>
      <c r="N294" s="3" t="n"/>
    </row>
    <row r="295">
      <c r="A295" s="4" t="inlineStr">
        <is>
          <t>MF-G06</t>
        </is>
      </c>
      <c r="B295" s="4" t="inlineStr">
        <is>
          <t>Fehlende, beschädigte oder ungeeignete Puffer</t>
        </is>
      </c>
      <c r="C295" s="4" t="inlineStr">
        <is>
          <t>Schachtgrube</t>
        </is>
      </c>
      <c r="D295" s="4" t="inlineStr">
        <is>
          <t>MF-G06-R4</t>
        </is>
      </c>
      <c r="E295" s="4" t="n">
        <v>100</v>
      </c>
      <c r="F295" s="4" t="inlineStr">
        <is>
          <t>11.10c Ölstand hydraulischer Puffer prüfbar und Kennzeichnung vorhanden? = Nein</t>
        </is>
      </c>
      <c r="G295" s="4" t="inlineStr">
        <is>
          <t>Mittel</t>
        </is>
      </c>
      <c r="H295" s="4" t="inlineStr">
        <is>
          <t>HIGH_CONFIDENCE</t>
        </is>
      </c>
      <c r="I295" s="4" t="inlineStr"/>
      <c r="J295" s="4" t="inlineStr">
        <is>
          <t>Zustand sichtprüfen</t>
        </is>
      </c>
      <c r="K295" s="4" t="inlineStr">
        <is>
          <t>Prüfmöglichkeit und Kennzeichnung herstellen</t>
        </is>
      </c>
      <c r="L295" s="4" t="inlineStr"/>
      <c r="M295" s="3" t="n"/>
      <c r="N295" s="3" t="n"/>
    </row>
    <row r="296">
      <c r="A296" s="2" t="inlineStr">
        <is>
          <t>MF-G06</t>
        </is>
      </c>
      <c r="B296" s="2" t="inlineStr">
        <is>
          <t>Fehlende, beschädigte oder ungeeignete Puffer</t>
        </is>
      </c>
      <c r="C296" s="2" t="inlineStr">
        <is>
          <t>Schachtgrube</t>
        </is>
      </c>
      <c r="D296" s="2" t="inlineStr">
        <is>
          <t>MF-G06-R5</t>
        </is>
      </c>
      <c r="E296" s="2" t="n">
        <v>1</v>
      </c>
      <c r="F296" s="2" t="inlineStr">
        <is>
          <t>11.10 Puffer für Fahrkorb und Gegengewicht vorhanden? beantwortet</t>
        </is>
      </c>
      <c r="G296" s="2" t="inlineStr">
        <is>
          <t>Kein Risiko</t>
        </is>
      </c>
      <c r="H296" s="2" t="inlineStr">
        <is>
          <t>HIGH_CONFIDENCE</t>
        </is>
      </c>
      <c r="I296" s="2" t="inlineStr"/>
      <c r="J296" s="2" t="inlineStr">
        <is>
          <t>Zustand erhalten; bei der wiederkehrenden Prüfung und der Betreiberkontrolle erneut prüfen</t>
        </is>
      </c>
      <c r="K296" s="2" t="inlineStr"/>
      <c r="L296" s="2" t="inlineStr">
        <is>
          <t>Kein Risiko: keine Mangelregel trifft zu, alle Pflichtfragen beantwortet.</t>
        </is>
      </c>
      <c r="M296" s="3" t="n"/>
      <c r="N296" s="3" t="n"/>
    </row>
    <row r="297">
      <c r="A297" s="4" t="inlineStr">
        <is>
          <t>MF-G07</t>
        </is>
      </c>
      <c r="B297" s="4" t="inlineStr">
        <is>
          <t>Fehlende oder unzulängliche Abtrennung und Sicherung des Gegengewichts</t>
        </is>
      </c>
      <c r="C297" s="4" t="inlineStr">
        <is>
          <t>Schacht und Gegengewicht</t>
        </is>
      </c>
      <c r="D297" s="4" t="inlineStr">
        <is>
          <t>MF-G07-R1</t>
        </is>
      </c>
      <c r="E297" s="4" t="n">
        <v>100</v>
      </c>
      <c r="F297" s="4" t="inlineStr">
        <is>
          <t>11.11 Abtrennung der Gegengewichtsfahrbahn in der Grube = „Keine Abtrennung"</t>
        </is>
      </c>
      <c r="G297" s="4" t="inlineStr">
        <is>
          <t>Hoch</t>
        </is>
      </c>
      <c r="H297" s="4" t="inlineStr">
        <is>
          <t>HIGH_CONFIDENCE</t>
        </is>
      </c>
      <c r="I297" s="4" t="inlineStr"/>
      <c r="J297" s="4" t="inlineStr">
        <is>
          <t>Grube nicht betreten oder Anlage vorher stilllegen</t>
        </is>
      </c>
      <c r="K297" s="4" t="inlineStr">
        <is>
          <t>Abtrennung bis 2,50 m über dem Niveau der untersten Haltestelle herstellen</t>
        </is>
      </c>
      <c r="L297" s="4" t="inlineStr"/>
      <c r="M297" s="3" t="n"/>
      <c r="N297" s="3" t="n"/>
    </row>
    <row r="298">
      <c r="A298" s="2" t="inlineStr">
        <is>
          <t>MF-G07</t>
        </is>
      </c>
      <c r="B298" s="2" t="inlineStr">
        <is>
          <t>Fehlende oder unzulängliche Abtrennung und Sicherung des Gegengewichts</t>
        </is>
      </c>
      <c r="C298" s="2" t="inlineStr">
        <is>
          <t>Schacht und Gegengewicht</t>
        </is>
      </c>
      <c r="D298" s="2" t="inlineStr">
        <is>
          <t>MF-G07-R2</t>
        </is>
      </c>
      <c r="E298" s="2" t="n">
        <v>100</v>
      </c>
      <c r="F298" s="2" t="inlineStr">
        <is>
          <t>11.12 Gegengewichtsfüllung gegen Herausfallen gesichert (Rahmen)? = Nein</t>
        </is>
      </c>
      <c r="G298" s="2" t="inlineStr">
        <is>
          <t>Hoch</t>
        </is>
      </c>
      <c r="H298" s="2" t="inlineStr">
        <is>
          <t>HIGH_CONFIDENCE</t>
        </is>
      </c>
      <c r="I298" s="2" t="inlineStr"/>
      <c r="J298" s="2" t="inlineStr">
        <is>
          <t>Bereich unter dem Gegengewicht sperren</t>
        </is>
      </c>
      <c r="K298" s="2" t="inlineStr">
        <is>
          <t>Füllung sichern oder geschlossenen Rahmen nachrüsten</t>
        </is>
      </c>
      <c r="L298" s="2" t="inlineStr"/>
      <c r="M298" s="3" t="n"/>
      <c r="N298" s="3" t="n"/>
    </row>
    <row r="299">
      <c r="A299" s="4" t="inlineStr">
        <is>
          <t>MF-G07</t>
        </is>
      </c>
      <c r="B299" s="4" t="inlineStr">
        <is>
          <t>Fehlende oder unzulängliche Abtrennung und Sicherung des Gegengewichts</t>
        </is>
      </c>
      <c r="C299" s="4" t="inlineStr">
        <is>
          <t>Schacht und Gegengewicht</t>
        </is>
      </c>
      <c r="D299" s="4" t="inlineStr">
        <is>
          <t>MF-G07-R3</t>
        </is>
      </c>
      <c r="E299" s="4" t="n">
        <v>100</v>
      </c>
      <c r="F299" s="4" t="inlineStr">
        <is>
          <t>11.13 Fangvorrichtung am Gegengewicht (oder durchgehendes Fundament) bei betretbarem Raum unter der Grube? = Nein</t>
        </is>
      </c>
      <c r="G299" s="4" t="inlineStr">
        <is>
          <t>Hoch</t>
        </is>
      </c>
      <c r="H299" s="4" t="inlineStr">
        <is>
          <t>HIGH_CONFIDENCE</t>
        </is>
      </c>
      <c r="I299" s="4" t="inlineStr"/>
      <c r="J299" s="4" t="inlineStr">
        <is>
          <t>Raum unterhalb des Schachtes sperren</t>
        </is>
      </c>
      <c r="K299" s="4" t="inlineStr">
        <is>
          <t>Fangvorrichtung am Gegengewicht nachrüsten oder Raum dauerhaft unzugänglich machen</t>
        </is>
      </c>
      <c r="L299" s="4" t="inlineStr"/>
      <c r="M299" s="3" t="n"/>
      <c r="N299" s="3" t="n"/>
    </row>
    <row r="300">
      <c r="A300" s="2" t="inlineStr">
        <is>
          <t>MF-G07</t>
        </is>
      </c>
      <c r="B300" s="2" t="inlineStr">
        <is>
          <t>Fehlende oder unzulängliche Abtrennung und Sicherung des Gegengewichts</t>
        </is>
      </c>
      <c r="C300" s="2" t="inlineStr">
        <is>
          <t>Schacht und Gegengewicht</t>
        </is>
      </c>
      <c r="D300" s="2" t="inlineStr">
        <is>
          <t>MF-G07-R4</t>
        </is>
      </c>
      <c r="E300" s="2" t="n">
        <v>100</v>
      </c>
      <c r="F300" s="2" t="inlineStr">
        <is>
          <t>11.11 Abtrennung der Gegengewichtsfahrbahn in der Grube = „Vorhanden, aber zu niedrig oder grobmaschig"</t>
        </is>
      </c>
      <c r="G300" s="2" t="inlineStr">
        <is>
          <t>Mittel</t>
        </is>
      </c>
      <c r="H300" s="2" t="inlineStr">
        <is>
          <t>HIGH_CONFIDENCE</t>
        </is>
      </c>
      <c r="I300" s="2" t="inlineStr"/>
      <c r="J300" s="2" t="inlineStr">
        <is>
          <t>Sichere Position einnehmen, besondere Vorsicht</t>
        </is>
      </c>
      <c r="K300" s="2" t="inlineStr">
        <is>
          <t>Abtrennung nach DIN EN 81-20, 5.2.5.5.2 ertüchtigen</t>
        </is>
      </c>
      <c r="L300" s="2" t="inlineStr"/>
      <c r="M300" s="3" t="n"/>
      <c r="N300" s="3" t="n"/>
    </row>
    <row r="301">
      <c r="A301" s="4" t="inlineStr">
        <is>
          <t>MF-G07</t>
        </is>
      </c>
      <c r="B301" s="4" t="inlineStr">
        <is>
          <t>Fehlende oder unzulängliche Abtrennung und Sicherung des Gegengewichts</t>
        </is>
      </c>
      <c r="C301" s="4" t="inlineStr">
        <is>
          <t>Schacht und Gegengewicht</t>
        </is>
      </c>
      <c r="D301" s="4" t="inlineStr">
        <is>
          <t>MF-G07-R5</t>
        </is>
      </c>
      <c r="E301" s="4" t="n">
        <v>1</v>
      </c>
      <c r="F301" s="4" t="inlineStr">
        <is>
          <t>11.11 Abtrennung der Gegengewichtsfahrbahn in der Grube beantwortet</t>
        </is>
      </c>
      <c r="G301" s="4" t="inlineStr">
        <is>
          <t>Kein Risiko</t>
        </is>
      </c>
      <c r="H301" s="4" t="inlineStr">
        <is>
          <t>HIGH_CONFIDENCE</t>
        </is>
      </c>
      <c r="I301" s="4" t="inlineStr"/>
      <c r="J301" s="4" t="inlineStr">
        <is>
          <t>Zustand erhalten; bei der wiederkehrenden Prüfung und der Betreiberkontrolle erneut prüfen</t>
        </is>
      </c>
      <c r="K301" s="4" t="inlineStr"/>
      <c r="L301" s="4" t="inlineStr">
        <is>
          <t>Kein Risiko: keine Mangelregel trifft zu, alle Pflichtfragen beantwortet.</t>
        </is>
      </c>
      <c r="M301" s="3" t="n"/>
      <c r="N301" s="3" t="n"/>
    </row>
    <row r="302">
      <c r="A302" s="2" t="inlineStr">
        <is>
          <t>MF-G08</t>
        </is>
      </c>
      <c r="B302" s="2" t="inlineStr">
        <is>
          <t>Fehlende Abtrennung zum Nachbaraufzug in der Schachtgrube</t>
        </is>
      </c>
      <c r="C302" s="2" t="inlineStr">
        <is>
          <t>Schacht und Gegengewicht</t>
        </is>
      </c>
      <c r="D302" s="2" t="inlineStr">
        <is>
          <t>MF-G08-R1</t>
        </is>
      </c>
      <c r="E302" s="2" t="n">
        <v>100</v>
      </c>
      <c r="F302" s="2" t="inlineStr">
        <is>
          <t>11.14 Abtrennung zum Nachbaraufzug in der Schachtgrube vorhanden? = Nein</t>
        </is>
      </c>
      <c r="G302" s="2" t="inlineStr">
        <is>
          <t>Hoch</t>
        </is>
      </c>
      <c r="H302" s="2" t="inlineStr">
        <is>
          <t>HIGH_CONFIDENCE</t>
        </is>
      </c>
      <c r="I302" s="2" t="inlineStr"/>
      <c r="J302" s="2" t="inlineStr">
        <is>
          <t>Aufzug abschalten vor Begehen der Schachtgrube</t>
        </is>
      </c>
      <c r="K302" s="2" t="inlineStr">
        <is>
          <t>Trenngitter nachrüsten</t>
        </is>
      </c>
      <c r="L302" s="2" t="inlineStr"/>
      <c r="M302" s="3" t="n"/>
      <c r="N302" s="3" t="n"/>
    </row>
    <row r="303">
      <c r="A303" s="4" t="inlineStr">
        <is>
          <t>MF-G08</t>
        </is>
      </c>
      <c r="B303" s="4" t="inlineStr">
        <is>
          <t>Fehlende Abtrennung zum Nachbaraufzug in der Schachtgrube</t>
        </is>
      </c>
      <c r="C303" s="4" t="inlineStr">
        <is>
          <t>Schacht und Gegengewicht</t>
        </is>
      </c>
      <c r="D303" s="4" t="inlineStr">
        <is>
          <t>MF-G08-R2</t>
        </is>
      </c>
      <c r="E303" s="4" t="n">
        <v>1</v>
      </c>
      <c r="F303" s="4" t="inlineStr">
        <is>
          <t>11.14 Abtrennung zum Nachbaraufzug in der Schachtgrube vorhanden? beantwortet</t>
        </is>
      </c>
      <c r="G303" s="4" t="inlineStr">
        <is>
          <t>Kein Risiko</t>
        </is>
      </c>
      <c r="H303" s="4" t="inlineStr">
        <is>
          <t>HIGH_CONFIDENCE</t>
        </is>
      </c>
      <c r="I303" s="4" t="inlineStr"/>
      <c r="J303" s="4" t="inlineStr">
        <is>
          <t>Zustand erhalten; bei der wiederkehrenden Prüfung und der Betreiberkontrolle erneut prüfen</t>
        </is>
      </c>
      <c r="K303" s="4" t="inlineStr"/>
      <c r="L303" s="4" t="inlineStr">
        <is>
          <t>Kein Risiko: keine Mangelregel trifft zu, alle Pflichtfragen beantwortet.</t>
        </is>
      </c>
      <c r="M303" s="3" t="n"/>
      <c r="N303" s="3" t="n"/>
    </row>
    <row r="304">
      <c r="A304" s="2" t="inlineStr">
        <is>
          <t>MF-U01</t>
        </is>
      </c>
      <c r="B304" s="2" t="inlineStr">
        <is>
          <t>Asbesthaltige oder andere schädliche Baustoffe im Bereich der Anlage</t>
        </is>
      </c>
      <c r="C304" s="2" t="inlineStr">
        <is>
          <t>Umfeld und Gefahrstoffe</t>
        </is>
      </c>
      <c r="D304" s="2" t="inlineStr">
        <is>
          <t>MF-U01-R1</t>
        </is>
      </c>
      <c r="E304" s="2" t="n">
        <v>100</v>
      </c>
      <c r="F304" s="2" t="inlineStr">
        <is>
          <t>5.60 Asbesthaltige oder andere schädliche Baustoffe im Zugangsbereich zum Triebwerksraum (Bremsbeläge, Dichtungen, Brandschutzplatten, Isolierungen)? = Ja</t>
        </is>
      </c>
      <c r="G304" s="2" t="inlineStr">
        <is>
          <t>Hoch</t>
        </is>
      </c>
      <c r="H304" s="2" t="inlineStr">
        <is>
          <t>INFERRED</t>
        </is>
      </c>
      <c r="I304" s="2" t="inlineStr"/>
      <c r="J304" s="2" t="inlineStr">
        <is>
          <t>Gefahrenbereich sofort sichern; bei unmittelbarer Personengefahr Aufzug/Bereich außer Betrieb nehmen.</t>
        </is>
      </c>
      <c r="K304" s="2" t="inlineStr">
        <is>
          <t>Schnittstelle mit Gebäude-/Fachgewerk fachgerecht herstellen bzw. Mangel beseitigen; Zuständigkeit und Prüfnachweis dokumentieren.</t>
        </is>
      </c>
      <c r="L304" s="2" t="inlineStr">
        <is>
          <t>Entschieden 2026-09-02: K-U01.</t>
        </is>
      </c>
      <c r="M304" s="3" t="n"/>
      <c r="N304" s="3" t="n"/>
    </row>
    <row r="305">
      <c r="A305" s="4" t="inlineStr">
        <is>
          <t>MF-U01</t>
        </is>
      </c>
      <c r="B305" s="4" t="inlineStr">
        <is>
          <t>Asbesthaltige oder andere schädliche Baustoffe im Bereich der Anlage</t>
        </is>
      </c>
      <c r="C305" s="4" t="inlineStr">
        <is>
          <t>Umfeld und Gefahrstoffe</t>
        </is>
      </c>
      <c r="D305" s="4" t="inlineStr">
        <is>
          <t>MF-U01-R2</t>
        </is>
      </c>
      <c r="E305" s="4" t="n">
        <v>100</v>
      </c>
      <c r="F305" s="4" t="inlineStr">
        <is>
          <t>5.61 Asbesthaltige oder andere schädliche Baustoffe im Triebwerks-/Maschinenraum (Bremsbeläge, Dichtungen, Brandschutzplatten, Isolierungen)? = Ja</t>
        </is>
      </c>
      <c r="G305" s="4" t="inlineStr">
        <is>
          <t>Hoch</t>
        </is>
      </c>
      <c r="H305" s="4" t="inlineStr">
        <is>
          <t>INFERRED</t>
        </is>
      </c>
      <c r="I305" s="4" t="inlineStr"/>
      <c r="J305" s="4" t="inlineStr">
        <is>
          <t>Gefahrenbereich sofort sichern; bei unmittelbarer Personengefahr Aufzug/Bereich außer Betrieb nehmen.</t>
        </is>
      </c>
      <c r="K305" s="4" t="inlineStr">
        <is>
          <t>Schnittstelle mit Gebäude-/Fachgewerk fachgerecht herstellen bzw. Mangel beseitigen; Zuständigkeit und Prüfnachweis dokumentieren.</t>
        </is>
      </c>
      <c r="L305" s="4" t="inlineStr">
        <is>
          <t>Entschieden 2026-09-02: K-U01.</t>
        </is>
      </c>
      <c r="M305" s="3" t="n"/>
      <c r="N305" s="3" t="n"/>
    </row>
    <row r="306">
      <c r="A306" s="2" t="inlineStr">
        <is>
          <t>MF-U01</t>
        </is>
      </c>
      <c r="B306" s="2" t="inlineStr">
        <is>
          <t>Asbesthaltige oder andere schädliche Baustoffe im Bereich der Anlage</t>
        </is>
      </c>
      <c r="C306" s="2" t="inlineStr">
        <is>
          <t>Umfeld und Gefahrstoffe</t>
        </is>
      </c>
      <c r="D306" s="2" t="inlineStr">
        <is>
          <t>MF-U01-R3</t>
        </is>
      </c>
      <c r="E306" s="2" t="n">
        <v>100</v>
      </c>
      <c r="F306" s="2" t="inlineStr">
        <is>
          <t>10.20 Asbesthaltige oder andere schädliche Baustoffe im Schacht / am Fahrkorb (Bremsbeläge, Dichtungen, Brandschutzplatten, Isolierungen)? = Ja</t>
        </is>
      </c>
      <c r="G306" s="2" t="inlineStr">
        <is>
          <t>Hoch</t>
        </is>
      </c>
      <c r="H306" s="2" t="inlineStr">
        <is>
          <t>INFERRED</t>
        </is>
      </c>
      <c r="I306" s="2" t="inlineStr"/>
      <c r="J306" s="2" t="inlineStr">
        <is>
          <t>Gefahrenbereich sofort sichern; bei unmittelbarer Personengefahr Aufzug/Bereich außer Betrieb nehmen.</t>
        </is>
      </c>
      <c r="K306" s="2" t="inlineStr">
        <is>
          <t>Schnittstelle mit Gebäude-/Fachgewerk fachgerecht herstellen bzw. Mangel beseitigen; Zuständigkeit und Prüfnachweis dokumentieren.</t>
        </is>
      </c>
      <c r="L306" s="2" t="inlineStr">
        <is>
          <t>Entschieden 2026-09-02: K-U01.</t>
        </is>
      </c>
      <c r="M306" s="3" t="n"/>
      <c r="N306" s="3" t="n"/>
    </row>
    <row r="307">
      <c r="A307" s="4" t="inlineStr">
        <is>
          <t>MF-U01</t>
        </is>
      </c>
      <c r="B307" s="4" t="inlineStr">
        <is>
          <t>Asbesthaltige oder andere schädliche Baustoffe im Bereich der Anlage</t>
        </is>
      </c>
      <c r="C307" s="4" t="inlineStr">
        <is>
          <t>Umfeld und Gefahrstoffe</t>
        </is>
      </c>
      <c r="D307" s="4" t="inlineStr">
        <is>
          <t>MF-U01-R4</t>
        </is>
      </c>
      <c r="E307" s="4" t="n">
        <v>100</v>
      </c>
      <c r="F307" s="4" t="inlineStr">
        <is>
          <t>11.20 Asbesthaltige oder andere schädliche Baustoffe in der Schachtgrube (Bremsbeläge, Dichtungen, Brandschutzplatten, Isolierungen)? = Ja</t>
        </is>
      </c>
      <c r="G307" s="4" t="inlineStr">
        <is>
          <t>Hoch</t>
        </is>
      </c>
      <c r="H307" s="4" t="inlineStr">
        <is>
          <t>INFERRED</t>
        </is>
      </c>
      <c r="I307" s="4" t="inlineStr"/>
      <c r="J307" s="4" t="inlineStr">
        <is>
          <t>Gefahrenbereich sofort sichern; bei unmittelbarer Personengefahr Aufzug/Bereich außer Betrieb nehmen.</t>
        </is>
      </c>
      <c r="K307" s="4" t="inlineStr">
        <is>
          <t>Schnittstelle mit Gebäude-/Fachgewerk fachgerecht herstellen bzw. Mangel beseitigen; Zuständigkeit und Prüfnachweis dokumentieren.</t>
        </is>
      </c>
      <c r="L307" s="4" t="inlineStr">
        <is>
          <t>Entschieden 2026-09-02: K-U01.</t>
        </is>
      </c>
      <c r="M307" s="3" t="n"/>
      <c r="N307" s="3" t="n"/>
    </row>
    <row r="308">
      <c r="A308" s="2" t="inlineStr">
        <is>
          <t>MF-U01</t>
        </is>
      </c>
      <c r="B308" s="2" t="inlineStr">
        <is>
          <t>Asbesthaltige oder andere schädliche Baustoffe im Bereich der Anlage</t>
        </is>
      </c>
      <c r="C308" s="2" t="inlineStr">
        <is>
          <t>Umfeld und Gefahrstoffe</t>
        </is>
      </c>
      <c r="D308" s="2" t="inlineStr">
        <is>
          <t>MF-U01-R5</t>
        </is>
      </c>
      <c r="E308" s="2" t="n">
        <v>100</v>
      </c>
      <c r="F308" s="2" t="inlineStr">
        <is>
          <t>15.11 Ist die Asbest-/Schadstoffsituation der Anlage unbekannt (Baujahr vor 1995, keine Unterlagen, keine Beprobung)? = Ja</t>
        </is>
      </c>
      <c r="G308" s="2" t="inlineStr">
        <is>
          <t>Hoch</t>
        </is>
      </c>
      <c r="H308" s="2" t="inlineStr">
        <is>
          <t>HIGH_CONFIDENCE</t>
        </is>
      </c>
      <c r="I308" s="2" t="inlineStr"/>
      <c r="J308" s="2" t="inlineStr">
        <is>
          <t>Gefahrenbereich sofort sichern; bei unmittelbarer Personengefahr Aufzug/Bereich außer Betrieb nehmen.</t>
        </is>
      </c>
      <c r="K308" s="2" t="inlineStr">
        <is>
          <t>Schnittstelle mit Gebäude-/Fachgewerk fachgerecht herstellen bzw. Mangel beseitigen; Zuständigkeit und Prüfnachweis dokumentieren.</t>
        </is>
      </c>
      <c r="L308" s="2" t="inlineStr"/>
      <c r="M308" s="3" t="n"/>
      <c r="N308" s="3" t="n"/>
    </row>
    <row r="309">
      <c r="A309" s="4" t="inlineStr">
        <is>
          <t>MF-U01</t>
        </is>
      </c>
      <c r="B309" s="4" t="inlineStr">
        <is>
          <t>Asbesthaltige oder andere schädliche Baustoffe im Bereich der Anlage</t>
        </is>
      </c>
      <c r="C309" s="4" t="inlineStr">
        <is>
          <t>Umfeld und Gefahrstoffe</t>
        </is>
      </c>
      <c r="D309" s="4" t="inlineStr">
        <is>
          <t>MF-U01-R6</t>
        </is>
      </c>
      <c r="E309" s="4" t="n">
        <v>1</v>
      </c>
      <c r="F309" s="4" t="inlineStr">
        <is>
          <t>5.60 Asbesthaltige oder andere schädliche Baustoffe im Zugangsbereich zum Triebwerksraum (Bremsbeläge, Dichtungen, Brandschutzplatten, Isolierungen)? beantwortet</t>
        </is>
      </c>
      <c r="G309" s="4" t="inlineStr">
        <is>
          <t>Kein Risiko</t>
        </is>
      </c>
      <c r="H309" s="4" t="inlineStr">
        <is>
          <t>HIGH_CONFIDENCE</t>
        </is>
      </c>
      <c r="I309" s="4" t="inlineStr"/>
      <c r="J309" s="4" t="inlineStr">
        <is>
          <t>Zustand erhalten; bei der wiederkehrenden Prüfung und der Betreiberkontrolle erneut prüfen</t>
        </is>
      </c>
      <c r="K309" s="4" t="inlineStr"/>
      <c r="L309" s="4" t="inlineStr">
        <is>
          <t>Kein Risiko: keine Mangelregel trifft zu, alle Pflichtfragen beantwortet.</t>
        </is>
      </c>
      <c r="M309" s="3" t="n"/>
      <c r="N309" s="3" t="n"/>
    </row>
    <row r="310">
      <c r="A310" s="2" t="inlineStr">
        <is>
          <t>MF-U02</t>
        </is>
      </c>
      <c r="B310" s="2" t="inlineStr">
        <is>
          <t>Erhebliche Verschmutzungen im Bereich der Anlage</t>
        </is>
      </c>
      <c r="C310" s="2" t="inlineStr">
        <is>
          <t>Umfeld und Gefahrstoffe</t>
        </is>
      </c>
      <c r="D310" s="2" t="inlineStr">
        <is>
          <t>MF-U02-R1</t>
        </is>
      </c>
      <c r="E310" s="2" t="n">
        <v>100</v>
      </c>
      <c r="F310" s="2" t="inlineStr">
        <is>
          <t>5.62 Erhebliche Verschmutzungen (Taubenkot, Unrat, Schimmel, Ablagerungen) im Zugangsbereich zum Triebwerksraum? = Ja</t>
        </is>
      </c>
      <c r="G310" s="2" t="inlineStr">
        <is>
          <t>Mittel</t>
        </is>
      </c>
      <c r="H310" s="2" t="inlineStr">
        <is>
          <t>INFERRED</t>
        </is>
      </c>
      <c r="I310" s="2" t="inlineStr"/>
      <c r="J310" s="2" t="inlineStr">
        <is>
          <t>Auffälligkeit bewerten und bei konkreter Gefährdung interimistisch sichern.</t>
        </is>
      </c>
      <c r="K310" s="2" t="inlineStr">
        <is>
          <t>Schnittstelle mit Gebäude-/Fachgewerk fachgerecht herstellen bzw. Mangel beseitigen; Zuständigkeit und Prüfnachweis dokumentieren.</t>
        </is>
      </c>
      <c r="L310" s="2" t="inlineStr">
        <is>
          <t>Entschieden 2026-09-02: K-U01.</t>
        </is>
      </c>
      <c r="M310" s="3" t="n"/>
      <c r="N310" s="3" t="n"/>
    </row>
    <row r="311">
      <c r="A311" s="4" t="inlineStr">
        <is>
          <t>MF-U02</t>
        </is>
      </c>
      <c r="B311" s="4" t="inlineStr">
        <is>
          <t>Erhebliche Verschmutzungen im Bereich der Anlage</t>
        </is>
      </c>
      <c r="C311" s="4" t="inlineStr">
        <is>
          <t>Umfeld und Gefahrstoffe</t>
        </is>
      </c>
      <c r="D311" s="4" t="inlineStr">
        <is>
          <t>MF-U02-R2</t>
        </is>
      </c>
      <c r="E311" s="4" t="n">
        <v>100</v>
      </c>
      <c r="F311" s="4" t="inlineStr">
        <is>
          <t>5.63 Erhebliche Verschmutzungen (Taubenkot, Unrat, Schimmel, Ablagerungen) im Triebwerks-/Maschinenraum? = Ja</t>
        </is>
      </c>
      <c r="G311" s="4" t="inlineStr">
        <is>
          <t>Mittel</t>
        </is>
      </c>
      <c r="H311" s="4" t="inlineStr">
        <is>
          <t>INFERRED</t>
        </is>
      </c>
      <c r="I311" s="4" t="inlineStr"/>
      <c r="J311" s="4" t="inlineStr">
        <is>
          <t>Auffälligkeit bewerten und bei konkreter Gefährdung interimistisch sichern.</t>
        </is>
      </c>
      <c r="K311" s="4" t="inlineStr">
        <is>
          <t>Schnittstelle mit Gebäude-/Fachgewerk fachgerecht herstellen bzw. Mangel beseitigen; Zuständigkeit und Prüfnachweis dokumentieren.</t>
        </is>
      </c>
      <c r="L311" s="4" t="inlineStr">
        <is>
          <t>Entschieden 2026-09-02: K-U01.</t>
        </is>
      </c>
      <c r="M311" s="3" t="n"/>
      <c r="N311" s="3" t="n"/>
    </row>
    <row r="312">
      <c r="A312" s="2" t="inlineStr">
        <is>
          <t>MF-U02</t>
        </is>
      </c>
      <c r="B312" s="2" t="inlineStr">
        <is>
          <t>Erhebliche Verschmutzungen im Bereich der Anlage</t>
        </is>
      </c>
      <c r="C312" s="2" t="inlineStr">
        <is>
          <t>Umfeld und Gefahrstoffe</t>
        </is>
      </c>
      <c r="D312" s="2" t="inlineStr">
        <is>
          <t>MF-U02-R3</t>
        </is>
      </c>
      <c r="E312" s="2" t="n">
        <v>100</v>
      </c>
      <c r="F312" s="2" t="inlineStr">
        <is>
          <t>10.21 Erhebliche Verschmutzungen (Taubenkot, Unrat, Schimmel, Ablagerungen) im Schacht / am Fahrkorb? = Ja</t>
        </is>
      </c>
      <c r="G312" s="2" t="inlineStr">
        <is>
          <t>Mittel</t>
        </is>
      </c>
      <c r="H312" s="2" t="inlineStr">
        <is>
          <t>INFERRED</t>
        </is>
      </c>
      <c r="I312" s="2" t="inlineStr"/>
      <c r="J312" s="2" t="inlineStr">
        <is>
          <t>Auffälligkeit bewerten und bei konkreter Gefährdung interimistisch sichern.</t>
        </is>
      </c>
      <c r="K312" s="2" t="inlineStr">
        <is>
          <t>Schnittstelle mit Gebäude-/Fachgewerk fachgerecht herstellen bzw. Mangel beseitigen; Zuständigkeit und Prüfnachweis dokumentieren.</t>
        </is>
      </c>
      <c r="L312" s="2" t="inlineStr">
        <is>
          <t>Entschieden 2026-09-02: K-U01.</t>
        </is>
      </c>
      <c r="M312" s="3" t="n"/>
      <c r="N312" s="3" t="n"/>
    </row>
    <row r="313">
      <c r="A313" s="4" t="inlineStr">
        <is>
          <t>MF-U02</t>
        </is>
      </c>
      <c r="B313" s="4" t="inlineStr">
        <is>
          <t>Erhebliche Verschmutzungen im Bereich der Anlage</t>
        </is>
      </c>
      <c r="C313" s="4" t="inlineStr">
        <is>
          <t>Umfeld und Gefahrstoffe</t>
        </is>
      </c>
      <c r="D313" s="4" t="inlineStr">
        <is>
          <t>MF-U02-R4</t>
        </is>
      </c>
      <c r="E313" s="4" t="n">
        <v>100</v>
      </c>
      <c r="F313" s="4" t="inlineStr">
        <is>
          <t>11.21 Erhebliche Verschmutzungen (Taubenkot, Unrat, Schimmel, Ablagerungen) in der Schachtgrube? = Ja</t>
        </is>
      </c>
      <c r="G313" s="4" t="inlineStr">
        <is>
          <t>Mittel</t>
        </is>
      </c>
      <c r="H313" s="4" t="inlineStr">
        <is>
          <t>INFERRED</t>
        </is>
      </c>
      <c r="I313" s="4" t="inlineStr"/>
      <c r="J313" s="4" t="inlineStr">
        <is>
          <t>Auffälligkeit bewerten und bei konkreter Gefährdung interimistisch sichern.</t>
        </is>
      </c>
      <c r="K313" s="4" t="inlineStr">
        <is>
          <t>Schnittstelle mit Gebäude-/Fachgewerk fachgerecht herstellen bzw. Mangel beseitigen; Zuständigkeit und Prüfnachweis dokumentieren.</t>
        </is>
      </c>
      <c r="L313" s="4" t="inlineStr">
        <is>
          <t>Entschieden 2026-09-02: K-U01.</t>
        </is>
      </c>
      <c r="M313" s="3" t="n"/>
      <c r="N313" s="3" t="n"/>
    </row>
    <row r="314">
      <c r="A314" s="2" t="inlineStr">
        <is>
          <t>MF-U02</t>
        </is>
      </c>
      <c r="B314" s="2" t="inlineStr">
        <is>
          <t>Erhebliche Verschmutzungen im Bereich der Anlage</t>
        </is>
      </c>
      <c r="C314" s="2" t="inlineStr">
        <is>
          <t>Umfeld und Gefahrstoffe</t>
        </is>
      </c>
      <c r="D314" s="2" t="inlineStr">
        <is>
          <t>MF-U02-R5</t>
        </is>
      </c>
      <c r="E314" s="2" t="n">
        <v>1</v>
      </c>
      <c r="F314" s="2" t="inlineStr">
        <is>
          <t>5.62 Erhebliche Verschmutzungen (Taubenkot, Unrat, Schimmel, Ablagerungen) im Zugangsbereich zum Triebwerksraum? beantwortet</t>
        </is>
      </c>
      <c r="G314" s="2" t="inlineStr">
        <is>
          <t>Kein Risiko</t>
        </is>
      </c>
      <c r="H314" s="2" t="inlineStr">
        <is>
          <t>HIGH_CONFIDENCE</t>
        </is>
      </c>
      <c r="I314" s="2" t="inlineStr"/>
      <c r="J314" s="2" t="inlineStr">
        <is>
          <t>Zustand erhalten; bei der wiederkehrenden Prüfung und der Betreiberkontrolle erneut prüfen</t>
        </is>
      </c>
      <c r="K314" s="2" t="inlineStr"/>
      <c r="L314" s="2" t="inlineStr">
        <is>
          <t>Kein Risiko: keine Mangelregel trifft zu, alle Pflichtfragen beantwortet.</t>
        </is>
      </c>
      <c r="M314" s="3" t="n"/>
      <c r="N314" s="3" t="n"/>
    </row>
    <row r="315">
      <c r="A315" s="4" t="inlineStr">
        <is>
          <t>MF-U03</t>
        </is>
      </c>
      <c r="B315" s="4" t="inlineStr">
        <is>
          <t>Lagerung brennbarer oder leicht entzündlicher Stoffe im Bereich der Anlage</t>
        </is>
      </c>
      <c r="C315" s="4" t="inlineStr">
        <is>
          <t>Umfeld und Gefahrstoffe</t>
        </is>
      </c>
      <c r="D315" s="4" t="inlineStr">
        <is>
          <t>MF-U03-R1</t>
        </is>
      </c>
      <c r="E315" s="4" t="n">
        <v>100</v>
      </c>
      <c r="F315" s="4" t="inlineStr">
        <is>
          <t>5.64 Lagerung brennbarer oder leicht entzündlicher Stoffe im Zugangsbereich zum Triebwerksraum? = Ja</t>
        </is>
      </c>
      <c r="G315" s="4" t="inlineStr">
        <is>
          <t>Mittel</t>
        </is>
      </c>
      <c r="H315" s="4" t="inlineStr">
        <is>
          <t>INFERRED</t>
        </is>
      </c>
      <c r="I315" s="4" t="inlineStr"/>
      <c r="J315" s="4" t="inlineStr">
        <is>
          <t>Auffälligkeit bewerten und bei konkreter Gefährdung interimistisch sichern.</t>
        </is>
      </c>
      <c r="K315" s="4" t="inlineStr">
        <is>
          <t>Schnittstelle mit Gebäude-/Fachgewerk fachgerecht herstellen bzw. Mangel beseitigen; Zuständigkeit und Prüfnachweis dokumentieren.</t>
        </is>
      </c>
      <c r="L315" s="4" t="inlineStr">
        <is>
          <t>Entschieden 2026-09-02: K-U01.</t>
        </is>
      </c>
      <c r="M315" s="3" t="n"/>
      <c r="N315" s="3" t="n"/>
    </row>
    <row r="316">
      <c r="A316" s="2" t="inlineStr">
        <is>
          <t>MF-U03</t>
        </is>
      </c>
      <c r="B316" s="2" t="inlineStr">
        <is>
          <t>Lagerung brennbarer oder leicht entzündlicher Stoffe im Bereich der Anlage</t>
        </is>
      </c>
      <c r="C316" s="2" t="inlineStr">
        <is>
          <t>Umfeld und Gefahrstoffe</t>
        </is>
      </c>
      <c r="D316" s="2" t="inlineStr">
        <is>
          <t>MF-U03-R2</t>
        </is>
      </c>
      <c r="E316" s="2" t="n">
        <v>100</v>
      </c>
      <c r="F316" s="2" t="inlineStr">
        <is>
          <t>5.65 Lagerung brennbarer oder leicht entzündlicher Stoffe im Triebwerks-/Maschinenraum? = Ja</t>
        </is>
      </c>
      <c r="G316" s="2" t="inlineStr">
        <is>
          <t>Mittel</t>
        </is>
      </c>
      <c r="H316" s="2" t="inlineStr">
        <is>
          <t>INFERRED</t>
        </is>
      </c>
      <c r="I316" s="2" t="inlineStr"/>
      <c r="J316" s="2" t="inlineStr">
        <is>
          <t>Auffälligkeit bewerten und bei konkreter Gefährdung interimistisch sichern.</t>
        </is>
      </c>
      <c r="K316" s="2" t="inlineStr">
        <is>
          <t>Schnittstelle mit Gebäude-/Fachgewerk fachgerecht herstellen bzw. Mangel beseitigen; Zuständigkeit und Prüfnachweis dokumentieren.</t>
        </is>
      </c>
      <c r="L316" s="2" t="inlineStr">
        <is>
          <t>Entschieden 2026-09-02: K-U01.</t>
        </is>
      </c>
      <c r="M316" s="3" t="n"/>
      <c r="N316" s="3" t="n"/>
    </row>
    <row r="317">
      <c r="A317" s="4" t="inlineStr">
        <is>
          <t>MF-U03</t>
        </is>
      </c>
      <c r="B317" s="4" t="inlineStr">
        <is>
          <t>Lagerung brennbarer oder leicht entzündlicher Stoffe im Bereich der Anlage</t>
        </is>
      </c>
      <c r="C317" s="4" t="inlineStr">
        <is>
          <t>Umfeld und Gefahrstoffe</t>
        </is>
      </c>
      <c r="D317" s="4" t="inlineStr">
        <is>
          <t>MF-U03-R3</t>
        </is>
      </c>
      <c r="E317" s="4" t="n">
        <v>100</v>
      </c>
      <c r="F317" s="4" t="inlineStr">
        <is>
          <t>10.22 Lagerung brennbarer oder leicht entzündlicher Stoffe im Schacht / am Fahrkorb? = Ja</t>
        </is>
      </c>
      <c r="G317" s="4" t="inlineStr">
        <is>
          <t>Mittel</t>
        </is>
      </c>
      <c r="H317" s="4" t="inlineStr">
        <is>
          <t>INFERRED</t>
        </is>
      </c>
      <c r="I317" s="4" t="inlineStr"/>
      <c r="J317" s="4" t="inlineStr">
        <is>
          <t>Auffälligkeit bewerten und bei konkreter Gefährdung interimistisch sichern.</t>
        </is>
      </c>
      <c r="K317" s="4" t="inlineStr">
        <is>
          <t>Schnittstelle mit Gebäude-/Fachgewerk fachgerecht herstellen bzw. Mangel beseitigen; Zuständigkeit und Prüfnachweis dokumentieren.</t>
        </is>
      </c>
      <c r="L317" s="4" t="inlineStr">
        <is>
          <t>Entschieden 2026-09-02: K-U01.</t>
        </is>
      </c>
      <c r="M317" s="3" t="n"/>
      <c r="N317" s="3" t="n"/>
    </row>
    <row r="318">
      <c r="A318" s="2" t="inlineStr">
        <is>
          <t>MF-U03</t>
        </is>
      </c>
      <c r="B318" s="2" t="inlineStr">
        <is>
          <t>Lagerung brennbarer oder leicht entzündlicher Stoffe im Bereich der Anlage</t>
        </is>
      </c>
      <c r="C318" s="2" t="inlineStr">
        <is>
          <t>Umfeld und Gefahrstoffe</t>
        </is>
      </c>
      <c r="D318" s="2" t="inlineStr">
        <is>
          <t>MF-U03-R4</t>
        </is>
      </c>
      <c r="E318" s="2" t="n">
        <v>100</v>
      </c>
      <c r="F318" s="2" t="inlineStr">
        <is>
          <t>11.22 Lagerung brennbarer oder leicht entzündlicher Stoffe in der Schachtgrube? = Ja</t>
        </is>
      </c>
      <c r="G318" s="2" t="inlineStr">
        <is>
          <t>Mittel</t>
        </is>
      </c>
      <c r="H318" s="2" t="inlineStr">
        <is>
          <t>INFERRED</t>
        </is>
      </c>
      <c r="I318" s="2" t="inlineStr"/>
      <c r="J318" s="2" t="inlineStr">
        <is>
          <t>Auffälligkeit bewerten und bei konkreter Gefährdung interimistisch sichern.</t>
        </is>
      </c>
      <c r="K318" s="2" t="inlineStr">
        <is>
          <t>Schnittstelle mit Gebäude-/Fachgewerk fachgerecht herstellen bzw. Mangel beseitigen; Zuständigkeit und Prüfnachweis dokumentieren.</t>
        </is>
      </c>
      <c r="L318" s="2" t="inlineStr">
        <is>
          <t>Entschieden 2026-09-02: K-U01.</t>
        </is>
      </c>
      <c r="M318" s="3" t="n"/>
      <c r="N318" s="3" t="n"/>
    </row>
    <row r="319">
      <c r="A319" s="4" t="inlineStr">
        <is>
          <t>MF-U03</t>
        </is>
      </c>
      <c r="B319" s="4" t="inlineStr">
        <is>
          <t>Lagerung brennbarer oder leicht entzündlicher Stoffe im Bereich der Anlage</t>
        </is>
      </c>
      <c r="C319" s="4" t="inlineStr">
        <is>
          <t>Umfeld und Gefahrstoffe</t>
        </is>
      </c>
      <c r="D319" s="4" t="inlineStr">
        <is>
          <t>MF-U03-R5</t>
        </is>
      </c>
      <c r="E319" s="4" t="n">
        <v>1</v>
      </c>
      <c r="F319" s="4" t="inlineStr">
        <is>
          <t>5.64 Lagerung brennbarer oder leicht entzündlicher Stoffe im Zugangsbereich zum Triebwerksraum? beantwortet</t>
        </is>
      </c>
      <c r="G319" s="4" t="inlineStr">
        <is>
          <t>Kein Risiko</t>
        </is>
      </c>
      <c r="H319" s="4" t="inlineStr">
        <is>
          <t>HIGH_CONFIDENCE</t>
        </is>
      </c>
      <c r="I319" s="4" t="inlineStr"/>
      <c r="J319" s="4" t="inlineStr">
        <is>
          <t>Zustand erhalten; bei der wiederkehrenden Prüfung und der Betreiberkontrolle erneut prüfen</t>
        </is>
      </c>
      <c r="K319" s="4" t="inlineStr"/>
      <c r="L319" s="4" t="inlineStr">
        <is>
          <t>Kein Risiko: keine Mangelregel trifft zu, alle Pflichtfragen beantwortet.</t>
        </is>
      </c>
      <c r="M319" s="3" t="n"/>
      <c r="N319" s="3" t="n"/>
    </row>
    <row r="320">
      <c r="A320" s="2" t="inlineStr">
        <is>
          <t>MF-U04</t>
        </is>
      </c>
      <c r="B320" s="2" t="inlineStr">
        <is>
          <t>Chemische oder biologische Gefahrstoffe in unmittelbarer Nähe der Anlage gelagert</t>
        </is>
      </c>
      <c r="C320" s="2" t="inlineStr">
        <is>
          <t>Umfeld und Gefahrstoffe</t>
        </is>
      </c>
      <c r="D320" s="2" t="inlineStr">
        <is>
          <t>MF-U04-R1</t>
        </is>
      </c>
      <c r="E320" s="2" t="n">
        <v>100</v>
      </c>
      <c r="F320" s="2" t="inlineStr">
        <is>
          <t>15.28 Chemische Gefahrstoffe in unmittelbarer Nähe der Anlage gelagert? = Ja</t>
        </is>
      </c>
      <c r="G320" s="2" t="inlineStr">
        <is>
          <t>Mittel</t>
        </is>
      </c>
      <c r="H320" s="2" t="inlineStr">
        <is>
          <t>INFERRED</t>
        </is>
      </c>
      <c r="I320" s="2" t="inlineStr"/>
      <c r="J320" s="2" t="inlineStr">
        <is>
          <t>Lagerung mit dem Betreiber klären, Sicherheitsdatenblätter einsehen</t>
        </is>
      </c>
      <c r="K320" s="2" t="inlineStr">
        <is>
          <t>Gefahrstofflagerung aus dem Aufzugsbereich verlegen oder in die Betriebsanweisung aufnehmen</t>
        </is>
      </c>
      <c r="L320" s="2" t="inlineStr">
        <is>
          <t>Entschieden 2026-09-02: K-U02.</t>
        </is>
      </c>
      <c r="M320" s="3" t="n"/>
      <c r="N320" s="3" t="n"/>
    </row>
    <row r="321">
      <c r="A321" s="4" t="inlineStr">
        <is>
          <t>MF-U04</t>
        </is>
      </c>
      <c r="B321" s="4" t="inlineStr">
        <is>
          <t>Chemische oder biologische Gefahrstoffe in unmittelbarer Nähe der Anlage gelagert</t>
        </is>
      </c>
      <c r="C321" s="4" t="inlineStr">
        <is>
          <t>Umfeld und Gefahrstoffe</t>
        </is>
      </c>
      <c r="D321" s="4" t="inlineStr">
        <is>
          <t>MF-U04-R2</t>
        </is>
      </c>
      <c r="E321" s="4" t="n">
        <v>100</v>
      </c>
      <c r="F321" s="4" t="inlineStr">
        <is>
          <t>15.29 Biologische Arbeitsstoffe (Labor, Klinik, Entsorgung) in unmittelbarer Nähe der Anlage? = Ja</t>
        </is>
      </c>
      <c r="G321" s="4" t="inlineStr">
        <is>
          <t>Mittel</t>
        </is>
      </c>
      <c r="H321" s="4" t="inlineStr">
        <is>
          <t>INFERRED</t>
        </is>
      </c>
      <c r="I321" s="4" t="inlineStr"/>
      <c r="J321" s="4" t="inlineStr">
        <is>
          <t>Hygiene-/Schutzmaßnahmen für Wartungspersonal mit dem Betreiber abstimmen</t>
        </is>
      </c>
      <c r="K321" s="4" t="inlineStr">
        <is>
          <t>Umgang mit biologischen Arbeitsstoffen im Aufzugsbereich in der Betriebsanweisung regeln</t>
        </is>
      </c>
      <c r="L321" s="4" t="inlineStr">
        <is>
          <t>Entschieden 2026-09-02: K-U02.</t>
        </is>
      </c>
      <c r="M321" s="3" t="n"/>
      <c r="N321" s="3" t="n"/>
    </row>
    <row r="322">
      <c r="A322" s="2" t="inlineStr">
        <is>
          <t>MF-U04</t>
        </is>
      </c>
      <c r="B322" s="2" t="inlineStr">
        <is>
          <t>Chemische oder biologische Gefahrstoffe in unmittelbarer Nähe der Anlage gelagert</t>
        </is>
      </c>
      <c r="C322" s="2" t="inlineStr">
        <is>
          <t>Umfeld und Gefahrstoffe</t>
        </is>
      </c>
      <c r="D322" s="2" t="inlineStr">
        <is>
          <t>MF-U04-R3</t>
        </is>
      </c>
      <c r="E322" s="2" t="n">
        <v>1</v>
      </c>
      <c r="F322" s="2" t="inlineStr">
        <is>
          <t>15.28 Chemische Gefahrstoffe in unmittelbarer Nähe der Anlage gelagert? beantwortet</t>
        </is>
      </c>
      <c r="G322" s="2" t="inlineStr">
        <is>
          <t>Kein Risiko</t>
        </is>
      </c>
      <c r="H322" s="2" t="inlineStr">
        <is>
          <t>HIGH_CONFIDENCE</t>
        </is>
      </c>
      <c r="I322" s="2" t="inlineStr"/>
      <c r="J322" s="2" t="inlineStr">
        <is>
          <t>Zustand erhalten; bei der wiederkehrenden Prüfung und der Betreiberkontrolle erneut prüfen</t>
        </is>
      </c>
      <c r="K322" s="2" t="inlineStr"/>
      <c r="L322" s="2" t="inlineStr">
        <is>
          <t>Kein Risiko: keine Mangelregel trifft zu, alle Pflichtfragen beantwortet.</t>
        </is>
      </c>
      <c r="M322" s="3" t="n"/>
      <c r="N322" s="3" t="n"/>
    </row>
    <row r="323">
      <c r="A323" s="4" t="inlineStr">
        <is>
          <t>MF-U05</t>
        </is>
      </c>
      <c r="B323" s="4" t="inlineStr">
        <is>
          <t>Transport von Gefahrstoffen mit der Aufzugsanlage</t>
        </is>
      </c>
      <c r="C323" s="4" t="inlineStr">
        <is>
          <t>Umfeld und Gefahrstoffe</t>
        </is>
      </c>
      <c r="D323" s="4" t="inlineStr">
        <is>
          <t>MF-U05-R1</t>
        </is>
      </c>
      <c r="E323" s="4" t="n">
        <v>100</v>
      </c>
      <c r="F323" s="4" t="inlineStr">
        <is>
          <t>15.32 Transport chemischer Gefahrstoffe mit dem Aufzug? = Ja</t>
        </is>
      </c>
      <c r="G323" s="4" t="inlineStr">
        <is>
          <t>Mittel</t>
        </is>
      </c>
      <c r="H323" s="4" t="inlineStr">
        <is>
          <t>INFERRED</t>
        </is>
      </c>
      <c r="I323" s="4" t="inlineStr"/>
      <c r="J323" s="4" t="inlineStr">
        <is>
          <t>Transportregeln (Behälter, Begleitung, Nutzung durch Dritte) mit dem Betreiber festlegen</t>
        </is>
      </c>
      <c r="K323" s="4" t="inlineStr">
        <is>
          <t>Lüftung des Fahrkorbs und Verhalten bei Freisetzung in der Betriebsanweisung regeln</t>
        </is>
      </c>
      <c r="L323" s="4" t="inlineStr"/>
      <c r="M323" s="3" t="n"/>
      <c r="N323" s="3" t="n"/>
    </row>
    <row r="324">
      <c r="A324" s="2" t="inlineStr">
        <is>
          <t>MF-U05</t>
        </is>
      </c>
      <c r="B324" s="2" t="inlineStr">
        <is>
          <t>Transport von Gefahrstoffen mit der Aufzugsanlage</t>
        </is>
      </c>
      <c r="C324" s="2" t="inlineStr">
        <is>
          <t>Umfeld und Gefahrstoffe</t>
        </is>
      </c>
      <c r="D324" s="2" t="inlineStr">
        <is>
          <t>MF-U05-R2</t>
        </is>
      </c>
      <c r="E324" s="2" t="n">
        <v>100</v>
      </c>
      <c r="F324" s="2" t="inlineStr">
        <is>
          <t>15.33 Transport biologischer Arbeitsstoffe / infektiöser Stoffe mit dem Aufzug? = Ja</t>
        </is>
      </c>
      <c r="G324" s="2" t="inlineStr">
        <is>
          <t>Mittel</t>
        </is>
      </c>
      <c r="H324" s="2" t="inlineStr">
        <is>
          <t>INFERRED</t>
        </is>
      </c>
      <c r="I324" s="2" t="inlineStr"/>
      <c r="J324" s="2" t="inlineStr">
        <is>
          <t>Transport nur in dichten, gekennzeichneten Behältern; Fahrkorb nach Kontamination reinigen</t>
        </is>
      </c>
      <c r="K324" s="2" t="inlineStr">
        <is>
          <t>Reinigungs- und Desinfektionsplan für den Fahrkorb festlegen</t>
        </is>
      </c>
      <c r="L324" s="2" t="inlineStr"/>
      <c r="M324" s="3" t="n"/>
      <c r="N324" s="3" t="n"/>
    </row>
    <row r="325">
      <c r="A325" s="4" t="inlineStr">
        <is>
          <t>MF-U05</t>
        </is>
      </c>
      <c r="B325" s="4" t="inlineStr">
        <is>
          <t>Transport von Gefahrstoffen mit der Aufzugsanlage</t>
        </is>
      </c>
      <c r="C325" s="4" t="inlineStr">
        <is>
          <t>Umfeld und Gefahrstoffe</t>
        </is>
      </c>
      <c r="D325" s="4" t="inlineStr">
        <is>
          <t>MF-U05-R3</t>
        </is>
      </c>
      <c r="E325" s="4" t="n">
        <v>100</v>
      </c>
      <c r="F325" s="4" t="inlineStr">
        <is>
          <t>15.34 Transport brennbarer oder leicht entzündlicher Stoffe mit dem Aufzug? = Ja</t>
        </is>
      </c>
      <c r="G325" s="4" t="inlineStr">
        <is>
          <t>Mittel</t>
        </is>
      </c>
      <c r="H325" s="4" t="inlineStr">
        <is>
          <t>INFERRED</t>
        </is>
      </c>
      <c r="I325" s="4" t="inlineStr"/>
      <c r="J325" s="4" t="inlineStr">
        <is>
          <t>Transportmengen begrenzen, Zündquellen im Fahrkorb ausschließen</t>
        </is>
      </c>
      <c r="K325" s="4" t="inlineStr">
        <is>
          <t>Explosionsschutz-/Brandschutzbewertung für den Transport dokumentieren</t>
        </is>
      </c>
      <c r="L325" s="4" t="inlineStr"/>
      <c r="M325" s="3" t="n"/>
      <c r="N325" s="3" t="n"/>
    </row>
    <row r="326">
      <c r="A326" s="2" t="inlineStr">
        <is>
          <t>MF-U05</t>
        </is>
      </c>
      <c r="B326" s="2" t="inlineStr">
        <is>
          <t>Transport von Gefahrstoffen mit der Aufzugsanlage</t>
        </is>
      </c>
      <c r="C326" s="2" t="inlineStr">
        <is>
          <t>Umfeld und Gefahrstoffe</t>
        </is>
      </c>
      <c r="D326" s="2" t="inlineStr">
        <is>
          <t>MF-U05-R4</t>
        </is>
      </c>
      <c r="E326" s="2" t="n">
        <v>100</v>
      </c>
      <c r="F326" s="2" t="inlineStr">
        <is>
          <t>15.35 Transport radioaktiver Stoffe mit dem Aufzug? = Ja</t>
        </is>
      </c>
      <c r="G326" s="2" t="inlineStr">
        <is>
          <t>Mittel</t>
        </is>
      </c>
      <c r="H326" s="2" t="inlineStr">
        <is>
          <t>INFERRED</t>
        </is>
      </c>
      <c r="I326" s="2" t="inlineStr"/>
      <c r="J326" s="2" t="inlineStr">
        <is>
          <t>Strahlenschutzbeauftragten einbinden, Transport nur nach Strahlenschutzanweisung</t>
        </is>
      </c>
      <c r="K326" s="2" t="inlineStr">
        <is>
          <t>Regelung des Transports radioaktiver Stoffe in der Betriebsanweisung</t>
        </is>
      </c>
      <c r="L326" s="2" t="inlineStr"/>
      <c r="M326" s="3" t="n"/>
      <c r="N326" s="3" t="n"/>
    </row>
    <row r="327">
      <c r="A327" s="4" t="inlineStr">
        <is>
          <t>MF-U05</t>
        </is>
      </c>
      <c r="B327" s="4" t="inlineStr">
        <is>
          <t>Transport von Gefahrstoffen mit der Aufzugsanlage</t>
        </is>
      </c>
      <c r="C327" s="4" t="inlineStr">
        <is>
          <t>Umfeld und Gefahrstoffe</t>
        </is>
      </c>
      <c r="D327" s="4" t="inlineStr">
        <is>
          <t>MF-U05-R5</t>
        </is>
      </c>
      <c r="E327" s="4" t="n">
        <v>1</v>
      </c>
      <c r="F327" s="4" t="inlineStr">
        <is>
          <t>15.32 Transport chemischer Gefahrstoffe mit dem Aufzug? beantwortet</t>
        </is>
      </c>
      <c r="G327" s="4" t="inlineStr">
        <is>
          <t>Kein Risiko</t>
        </is>
      </c>
      <c r="H327" s="4" t="inlineStr">
        <is>
          <t>HIGH_CONFIDENCE</t>
        </is>
      </c>
      <c r="I327" s="4" t="inlineStr"/>
      <c r="J327" s="4" t="inlineStr">
        <is>
          <t>Zustand erhalten; bei der wiederkehrenden Prüfung und der Betreiberkontrolle erneut prüfen</t>
        </is>
      </c>
      <c r="K327" s="4" t="inlineStr"/>
      <c r="L327" s="4" t="inlineStr">
        <is>
          <t>Kein Risiko: keine Mangelregel trifft zu, alle Pflichtfragen beantwortet.</t>
        </is>
      </c>
      <c r="M327" s="3" t="n"/>
      <c r="N327" s="3" t="n"/>
    </row>
    <row r="328">
      <c r="A328" s="2" t="inlineStr">
        <is>
          <t>MF-U06</t>
        </is>
      </c>
      <c r="B328" s="2" t="inlineStr">
        <is>
          <t>Explosionsfähiges Gemisch kann durch die Aufzugsanlage gezündet werden</t>
        </is>
      </c>
      <c r="C328" s="2" t="inlineStr">
        <is>
          <t>Umfeld und Gefahrstoffe</t>
        </is>
      </c>
      <c r="D328" s="2" t="inlineStr">
        <is>
          <t>MF-U06-R1</t>
        </is>
      </c>
      <c r="E328" s="2" t="n">
        <v>200</v>
      </c>
      <c r="F328" s="2" t="inlineStr">
        <is>
          <t>(15.25 Kann sich im Bereich der Anlage ein explosionsfähiges Gemisch bilden (Gase, Dämpfe, Stäube)? = Ja UND 15.25a Explosionsschutz für die Aufzugsanlage bewertet und dokumentiert (Explosionsschutzdokument)? = Ja)</t>
        </is>
      </c>
      <c r="G328" s="2" t="inlineStr">
        <is>
          <t>Mittel</t>
        </is>
      </c>
      <c r="H328" s="2" t="inlineStr">
        <is>
          <t>INFERRED</t>
        </is>
      </c>
      <c r="I328" s="2" t="inlineStr"/>
      <c r="J328" s="2" t="inlineStr">
        <is>
          <t>Festgelegte Ex-Schutzmaßnahmen einhalten, Zündquellen an der Anlage prüfen</t>
        </is>
      </c>
      <c r="K328" s="2" t="inlineStr">
        <is>
          <t>Explosionsschutzdokument bei Änderungen an Anlage oder Nutzung fortschreiben</t>
        </is>
      </c>
      <c r="L328" s="2" t="inlineStr">
        <is>
          <t>Entschieden 2026-09-02: K-U03.</t>
        </is>
      </c>
      <c r="M328" s="3" t="n"/>
      <c r="N328" s="3" t="n"/>
    </row>
    <row r="329">
      <c r="A329" s="4" t="inlineStr">
        <is>
          <t>MF-U06</t>
        </is>
      </c>
      <c r="B329" s="4" t="inlineStr">
        <is>
          <t>Explosionsfähiges Gemisch kann durch die Aufzugsanlage gezündet werden</t>
        </is>
      </c>
      <c r="C329" s="4" t="inlineStr">
        <is>
          <t>Umfeld und Gefahrstoffe</t>
        </is>
      </c>
      <c r="D329" s="4" t="inlineStr">
        <is>
          <t>MF-U06-R2</t>
        </is>
      </c>
      <c r="E329" s="4" t="n">
        <v>100</v>
      </c>
      <c r="F329" s="4" t="inlineStr">
        <is>
          <t>15.25 Kann sich im Bereich der Anlage ein explosionsfähiges Gemisch bilden (Gase, Dämpfe, Stäube)? = Ja</t>
        </is>
      </c>
      <c r="G329" s="4" t="inlineStr">
        <is>
          <t>Hoch</t>
        </is>
      </c>
      <c r="H329" s="4" t="inlineStr">
        <is>
          <t>HIGH_CONFIDENCE</t>
        </is>
      </c>
      <c r="I329" s="4" t="inlineStr"/>
      <c r="J329" s="4" t="inlineStr">
        <is>
          <t>Gefahrenbereich sofort sichern; bei unmittelbarer Personengefahr Aufzug/Bereich außer Betrieb nehmen.</t>
        </is>
      </c>
      <c r="K329" s="4" t="inlineStr">
        <is>
          <t>Schnittstelle mit Gebäude-/Fachgewerk fachgerecht herstellen bzw. Mangel beseitigen; Zuständigkeit und Prüfnachweis dokumentieren.</t>
        </is>
      </c>
      <c r="L329" s="4" t="inlineStr">
        <is>
          <t>Entschieden 2026-09-02: K-U03.</t>
        </is>
      </c>
      <c r="M329" s="3" t="n"/>
      <c r="N329" s="3" t="n"/>
    </row>
    <row r="330">
      <c r="A330" s="2" t="inlineStr">
        <is>
          <t>MF-U06</t>
        </is>
      </c>
      <c r="B330" s="2" t="inlineStr">
        <is>
          <t>Explosionsfähiges Gemisch kann durch die Aufzugsanlage gezündet werden</t>
        </is>
      </c>
      <c r="C330" s="2" t="inlineStr">
        <is>
          <t>Umfeld und Gefahrstoffe</t>
        </is>
      </c>
      <c r="D330" s="2" t="inlineStr">
        <is>
          <t>MF-U06-R3</t>
        </is>
      </c>
      <c r="E330" s="2" t="n">
        <v>1</v>
      </c>
      <c r="F330" s="2" t="inlineStr">
        <is>
          <t>15.25 Kann sich im Bereich der Anlage ein explosionsfähiges Gemisch bilden (Gase, Dämpfe, Stäube)? beantwortet</t>
        </is>
      </c>
      <c r="G330" s="2" t="inlineStr">
        <is>
          <t>Kein Risiko</t>
        </is>
      </c>
      <c r="H330" s="2" t="inlineStr">
        <is>
          <t>HIGH_CONFIDENCE</t>
        </is>
      </c>
      <c r="I330" s="2" t="inlineStr"/>
      <c r="J330" s="2" t="inlineStr">
        <is>
          <t>Zustand erhalten; bei der wiederkehrenden Prüfung und der Betreiberkontrolle erneut prüfen</t>
        </is>
      </c>
      <c r="K330" s="2" t="inlineStr"/>
      <c r="L330" s="2" t="inlineStr">
        <is>
          <t>Kein Risiko: keine Mangelregel trifft zu, alle Pflichtfragen beantwortet.</t>
        </is>
      </c>
      <c r="M330" s="3" t="n"/>
      <c r="N330" s="3" t="n"/>
    </row>
    <row r="331">
      <c r="A331" s="4" t="inlineStr">
        <is>
          <t>MF-U07</t>
        </is>
      </c>
      <c r="B331" s="4" t="inlineStr">
        <is>
          <t>Umgebungsbedingungen: Temperatur, Feuchtigkeit, Wasser, Korrosion</t>
        </is>
      </c>
      <c r="C331" s="4" t="inlineStr">
        <is>
          <t>Umfeld und Gefahrstoffe</t>
        </is>
      </c>
      <c r="D331" s="4" t="inlineStr">
        <is>
          <t>MF-U07-R1</t>
        </is>
      </c>
      <c r="E331" s="4" t="n">
        <v>100</v>
      </c>
      <c r="F331" s="4" t="inlineStr">
        <is>
          <t>11.15 Wasser oder Feuchtigkeit in der Schachtgrube? = Ja</t>
        </is>
      </c>
      <c r="G331" s="4" t="inlineStr">
        <is>
          <t>Hoch</t>
        </is>
      </c>
      <c r="H331" s="4" t="inlineStr">
        <is>
          <t>HIGH_CONFIDENCE</t>
        </is>
      </c>
      <c r="I331" s="4" t="inlineStr"/>
      <c r="J331" s="4" t="inlineStr">
        <is>
          <t>Gefahrenbereich sofort sichern; bei unmittelbarer Personengefahr Aufzug/Bereich außer Betrieb nehmen.</t>
        </is>
      </c>
      <c r="K331" s="4" t="inlineStr">
        <is>
          <t>Schnittstelle mit Gebäude-/Fachgewerk fachgerecht herstellen bzw. Mangel beseitigen; Zuständigkeit und Prüfnachweis dokumentieren.</t>
        </is>
      </c>
      <c r="L331" s="4" t="inlineStr"/>
      <c r="M331" s="3" t="n"/>
      <c r="N331" s="3" t="n"/>
    </row>
    <row r="332">
      <c r="A332" s="2" t="inlineStr">
        <is>
          <t>MF-U07</t>
        </is>
      </c>
      <c r="B332" s="2" t="inlineStr">
        <is>
          <t>Umgebungsbedingungen: Temperatur, Feuchtigkeit, Wasser, Korrosion</t>
        </is>
      </c>
      <c r="C332" s="2" t="inlineStr">
        <is>
          <t>Umfeld und Gefahrstoffe</t>
        </is>
      </c>
      <c r="D332" s="2" t="inlineStr">
        <is>
          <t>MF-U07-R2</t>
        </is>
      </c>
      <c r="E332" s="2" t="n">
        <v>100</v>
      </c>
      <c r="F332" s="2" t="inlineStr">
        <is>
          <t>15.23a Feuchtigkeit oder Kondensat an sicherheitsrelevanten Bauteilen (Steuerung, Bremse, Türverriegelung)? = Ja</t>
        </is>
      </c>
      <c r="G332" s="2" t="inlineStr">
        <is>
          <t>Hoch</t>
        </is>
      </c>
      <c r="H332" s="2" t="inlineStr">
        <is>
          <t>HIGH_CONFIDENCE</t>
        </is>
      </c>
      <c r="I332" s="2" t="inlineStr"/>
      <c r="J332" s="2" t="inlineStr">
        <is>
          <t>Gefahrenbereich sofort sichern; bei unmittelbarer Personengefahr Aufzug/Bereich außer Betrieb nehmen.</t>
        </is>
      </c>
      <c r="K332" s="2" t="inlineStr">
        <is>
          <t>Schnittstelle mit Gebäude-/Fachgewerk fachgerecht herstellen bzw. Mangel beseitigen; Zuständigkeit und Prüfnachweis dokumentieren.</t>
        </is>
      </c>
      <c r="L332" s="2" t="inlineStr"/>
      <c r="M332" s="3" t="n"/>
      <c r="N332" s="3" t="n"/>
    </row>
    <row r="333">
      <c r="A333" s="4" t="inlineStr">
        <is>
          <t>MF-U07</t>
        </is>
      </c>
      <c r="B333" s="4" t="inlineStr">
        <is>
          <t>Umgebungsbedingungen: Temperatur, Feuchtigkeit, Wasser, Korrosion</t>
        </is>
      </c>
      <c r="C333" s="4" t="inlineStr">
        <is>
          <t>Umfeld und Gefahrstoffe</t>
        </is>
      </c>
      <c r="D333" s="4" t="inlineStr">
        <is>
          <t>MF-U07-R3</t>
        </is>
      </c>
      <c r="E333" s="4" t="n">
        <v>100</v>
      </c>
      <c r="F333" s="4" t="inlineStr">
        <is>
          <t>15.23b Massive Korrosion, Betonabplatzungen oder andere bauliche Schäden am Schacht oder Triebwerksraum? = Ja</t>
        </is>
      </c>
      <c r="G333" s="4" t="inlineStr">
        <is>
          <t>Hoch</t>
        </is>
      </c>
      <c r="H333" s="4" t="inlineStr">
        <is>
          <t>HIGH_CONFIDENCE</t>
        </is>
      </c>
      <c r="I333" s="4" t="inlineStr"/>
      <c r="J333" s="4" t="inlineStr">
        <is>
          <t>Gefahrenbereich sofort sichern; bei unmittelbarer Personengefahr Aufzug/Bereich außer Betrieb nehmen.</t>
        </is>
      </c>
      <c r="K333" s="4" t="inlineStr">
        <is>
          <t>Schnittstelle mit Gebäude-/Fachgewerk fachgerecht herstellen bzw. Mangel beseitigen; Zuständigkeit und Prüfnachweis dokumentieren.</t>
        </is>
      </c>
      <c r="L333" s="4" t="inlineStr"/>
      <c r="M333" s="3" t="n"/>
      <c r="N333" s="3" t="n"/>
    </row>
    <row r="334">
      <c r="A334" s="2" t="inlineStr">
        <is>
          <t>MF-U07</t>
        </is>
      </c>
      <c r="B334" s="2" t="inlineStr">
        <is>
          <t>Umgebungsbedingungen: Temperatur, Feuchtigkeit, Wasser, Korrosion</t>
        </is>
      </c>
      <c r="C334" s="2" t="inlineStr">
        <is>
          <t>Umfeld und Gefahrstoffe</t>
        </is>
      </c>
      <c r="D334" s="2" t="inlineStr">
        <is>
          <t>MF-U07-R4</t>
        </is>
      </c>
      <c r="E334" s="2" t="n">
        <v>100</v>
      </c>
      <c r="F334" s="2" t="inlineStr">
        <is>
          <t>15.23 Unzulässige Temperaturen im Triebwerksraum oder Schacht möglich (Überhitzung über 40 °C, Frost)? = Ja</t>
        </is>
      </c>
      <c r="G334" s="2" t="inlineStr">
        <is>
          <t>Mittel</t>
        </is>
      </c>
      <c r="H334" s="2" t="inlineStr">
        <is>
          <t>HIGH_CONFIDENCE</t>
        </is>
      </c>
      <c r="I334" s="2" t="inlineStr"/>
      <c r="J334" s="2" t="inlineStr">
        <is>
          <t>Auffälligkeit bewerten und bei konkreter Gefährdung interimistisch sichern.</t>
        </is>
      </c>
      <c r="K334" s="2" t="inlineStr">
        <is>
          <t>Schnittstelle mit Gebäude-/Fachgewerk fachgerecht herstellen bzw. Mangel beseitigen; Zuständigkeit und Prüfnachweis dokumentieren.</t>
        </is>
      </c>
      <c r="L334" s="2" t="inlineStr"/>
      <c r="M334" s="3" t="n"/>
      <c r="N334" s="3" t="n"/>
    </row>
    <row r="335">
      <c r="A335" s="4" t="inlineStr">
        <is>
          <t>MF-U07</t>
        </is>
      </c>
      <c r="B335" s="4" t="inlineStr">
        <is>
          <t>Umgebungsbedingungen: Temperatur, Feuchtigkeit, Wasser, Korrosion</t>
        </is>
      </c>
      <c r="C335" s="4" t="inlineStr">
        <is>
          <t>Umfeld und Gefahrstoffe</t>
        </is>
      </c>
      <c r="D335" s="4" t="inlineStr">
        <is>
          <t>MF-U07-R5</t>
        </is>
      </c>
      <c r="E335" s="4" t="n">
        <v>100</v>
      </c>
      <c r="F335" s="4" t="inlineStr">
        <is>
          <t>11.16 Öl oder wassergefährdende Stoffe in der Grube ohne Auffangmöglichkeit? = Ja</t>
        </is>
      </c>
      <c r="G335" s="4" t="inlineStr">
        <is>
          <t>Mittel</t>
        </is>
      </c>
      <c r="H335" s="4" t="inlineStr">
        <is>
          <t>HIGH_CONFIDENCE</t>
        </is>
      </c>
      <c r="I335" s="4" t="inlineStr"/>
      <c r="J335" s="4" t="inlineStr">
        <is>
          <t>Auffälligkeit bewerten und bei konkreter Gefährdung interimistisch sichern.</t>
        </is>
      </c>
      <c r="K335" s="4" t="inlineStr">
        <is>
          <t>Schnittstelle mit Gebäude-/Fachgewerk fachgerecht herstellen bzw. Mangel beseitigen; Zuständigkeit und Prüfnachweis dokumentieren.</t>
        </is>
      </c>
      <c r="L335" s="4" t="inlineStr"/>
      <c r="M335" s="3" t="n"/>
      <c r="N335" s="3" t="n"/>
    </row>
    <row r="336">
      <c r="A336" s="2" t="inlineStr">
        <is>
          <t>MF-U07</t>
        </is>
      </c>
      <c r="B336" s="2" t="inlineStr">
        <is>
          <t>Umgebungsbedingungen: Temperatur, Feuchtigkeit, Wasser, Korrosion</t>
        </is>
      </c>
      <c r="C336" s="2" t="inlineStr">
        <is>
          <t>Umfeld und Gefahrstoffe</t>
        </is>
      </c>
      <c r="D336" s="2" t="inlineStr">
        <is>
          <t>MF-U07-R6</t>
        </is>
      </c>
      <c r="E336" s="2" t="n">
        <v>1</v>
      </c>
      <c r="F336" s="2" t="inlineStr">
        <is>
          <t>15.23 Unzulässige Temperaturen im Triebwerksraum oder Schacht möglich (Überhitzung über 40 °C, Frost)? beantwortet</t>
        </is>
      </c>
      <c r="G336" s="2" t="inlineStr">
        <is>
          <t>Kein Risiko</t>
        </is>
      </c>
      <c r="H336" s="2" t="inlineStr">
        <is>
          <t>HIGH_CONFIDENCE</t>
        </is>
      </c>
      <c r="I336" s="2" t="inlineStr"/>
      <c r="J336" s="2" t="inlineStr">
        <is>
          <t>Zustand erhalten; bei der wiederkehrenden Prüfung und der Betreiberkontrolle erneut prüfen</t>
        </is>
      </c>
      <c r="K336" s="2" t="inlineStr"/>
      <c r="L336" s="2" t="inlineStr">
        <is>
          <t>Kein Risiko: keine Mangelregel trifft zu, alle Pflichtfragen beantwortet.</t>
        </is>
      </c>
      <c r="M336" s="3" t="n"/>
      <c r="N336" s="3" t="n"/>
    </row>
    <row r="337">
      <c r="A337" s="4" t="inlineStr">
        <is>
          <t>MF-U08</t>
        </is>
      </c>
      <c r="B337" s="4" t="inlineStr">
        <is>
          <t>Bauliche Änderungen ohne Bewertung, Statik und baulicher Zustand</t>
        </is>
      </c>
      <c r="C337" s="4" t="inlineStr">
        <is>
          <t>Brandschutz und Gebäudeschnittstelle</t>
        </is>
      </c>
      <c r="D337" s="4" t="inlineStr">
        <is>
          <t>MF-U08-R1</t>
        </is>
      </c>
      <c r="E337" s="4" t="n">
        <v>100</v>
      </c>
      <c r="F337" s="4" t="inlineStr">
        <is>
          <t>15.26 Bauliche Änderungen am Schacht / Triebwerksraum ohne statische und sicherheitstechnische Bewertung? = Ja</t>
        </is>
      </c>
      <c r="G337" s="4" t="inlineStr">
        <is>
          <t>Hoch</t>
        </is>
      </c>
      <c r="H337" s="4" t="inlineStr">
        <is>
          <t>HIGH_CONFIDENCE</t>
        </is>
      </c>
      <c r="I337" s="4" t="inlineStr"/>
      <c r="J337" s="4" t="inlineStr">
        <is>
          <t>Gefahrenbereich sofort sichern; bei unmittelbarer Personengefahr Aufzug/Bereich außer Betrieb nehmen.</t>
        </is>
      </c>
      <c r="K337" s="4" t="inlineStr">
        <is>
          <t>Schnittstelle mit Gebäude-/Fachgewerk fachgerecht herstellen bzw. Mangel beseitigen; Zuständigkeit und Prüfnachweis dokumentieren.</t>
        </is>
      </c>
      <c r="L337" s="4" t="inlineStr"/>
      <c r="M337" s="3" t="n"/>
      <c r="N337" s="3" t="n"/>
    </row>
    <row r="338">
      <c r="A338" s="2" t="inlineStr">
        <is>
          <t>MF-U08</t>
        </is>
      </c>
      <c r="B338" s="2" t="inlineStr">
        <is>
          <t>Bauliche Änderungen ohne Bewertung, Statik und baulicher Zustand</t>
        </is>
      </c>
      <c r="C338" s="2" t="inlineStr">
        <is>
          <t>Brandschutz und Gebäudeschnittstelle</t>
        </is>
      </c>
      <c r="D338" s="2" t="inlineStr">
        <is>
          <t>MF-U08-R2</t>
        </is>
      </c>
      <c r="E338" s="2" t="n">
        <v>100</v>
      </c>
      <c r="F338" s="2" t="inlineStr">
        <is>
          <t>15.26a Nachträgliche Verkleidungen oder Änderungen, die den Sicherheitszustand verschlechtern (Schutzräume, Lüftung, Zugänge)? = Ja</t>
        </is>
      </c>
      <c r="G338" s="2" t="inlineStr">
        <is>
          <t>Mittel</t>
        </is>
      </c>
      <c r="H338" s="2" t="inlineStr">
        <is>
          <t>HIGH_CONFIDENCE</t>
        </is>
      </c>
      <c r="I338" s="2" t="inlineStr"/>
      <c r="J338" s="2" t="inlineStr">
        <is>
          <t>Auffälligkeit bewerten und bei konkreter Gefährdung interimistisch sichern.</t>
        </is>
      </c>
      <c r="K338" s="2" t="inlineStr">
        <is>
          <t>Schnittstelle mit Gebäude-/Fachgewerk fachgerecht herstellen bzw. Mangel beseitigen; Zuständigkeit und Prüfnachweis dokumentieren.</t>
        </is>
      </c>
      <c r="L338" s="2" t="inlineStr"/>
      <c r="M338" s="3" t="n"/>
      <c r="N338" s="3" t="n"/>
    </row>
    <row r="339">
      <c r="A339" s="4" t="inlineStr">
        <is>
          <t>MF-U08</t>
        </is>
      </c>
      <c r="B339" s="4" t="inlineStr">
        <is>
          <t>Bauliche Änderungen ohne Bewertung, Statik und baulicher Zustand</t>
        </is>
      </c>
      <c r="C339" s="4" t="inlineStr">
        <is>
          <t>Brandschutz und Gebäudeschnittstelle</t>
        </is>
      </c>
      <c r="D339" s="4" t="inlineStr">
        <is>
          <t>MF-U08-R3</t>
        </is>
      </c>
      <c r="E339" s="4" t="n">
        <v>1</v>
      </c>
      <c r="F339" s="4" t="inlineStr">
        <is>
          <t>15.26 Bauliche Änderungen am Schacht / Triebwerksraum ohne statische und sicherheitstechnische Bewertung? beantwortet</t>
        </is>
      </c>
      <c r="G339" s="4" t="inlineStr">
        <is>
          <t>Kein Risiko</t>
        </is>
      </c>
      <c r="H339" s="4" t="inlineStr">
        <is>
          <t>HIGH_CONFIDENCE</t>
        </is>
      </c>
      <c r="I339" s="4" t="inlineStr"/>
      <c r="J339" s="4" t="inlineStr">
        <is>
          <t>Zustand erhalten; bei der wiederkehrenden Prüfung und der Betreiberkontrolle erneut prüfen</t>
        </is>
      </c>
      <c r="K339" s="4" t="inlineStr"/>
      <c r="L339" s="4" t="inlineStr">
        <is>
          <t>Kein Risiko: keine Mangelregel trifft zu, alle Pflichtfragen beantwortet.</t>
        </is>
      </c>
      <c r="M339" s="3" t="n"/>
      <c r="N339" s="3" t="n"/>
    </row>
    <row r="340">
      <c r="A340" s="2" t="inlineStr">
        <is>
          <t>MF-U09</t>
        </is>
      </c>
      <c r="B340" s="2" t="inlineStr">
        <is>
          <t>Brandmeldeanlage, Brandfall- und Evakuierungssteuerung nicht abgestimmt</t>
        </is>
      </c>
      <c r="C340" s="2" t="inlineStr">
        <is>
          <t>Brandschutz und Gebäudeschnittstelle</t>
        </is>
      </c>
      <c r="D340" s="2" t="inlineStr">
        <is>
          <t>MF-U09-R1</t>
        </is>
      </c>
      <c r="E340" s="2" t="n">
        <v>100</v>
      </c>
      <c r="F340" s="2" t="inlineStr">
        <is>
          <t>15.8a Schnittstelle Brandmeldeanlage – Aufzug bekannt und abgestimmt (Brandfallsteuerung, Rückholung, Evakuierung)? = Nein</t>
        </is>
      </c>
      <c r="G340" s="2" t="inlineStr">
        <is>
          <t>Mittel</t>
        </is>
      </c>
      <c r="H340" s="2" t="inlineStr">
        <is>
          <t>HIGH_CONFIDENCE</t>
        </is>
      </c>
      <c r="I340" s="2" t="inlineStr"/>
      <c r="J340" s="2" t="inlineStr">
        <is>
          <t>Auffälligkeit bewerten und bei konkreter Gefährdung interimistisch sichern.</t>
        </is>
      </c>
      <c r="K340" s="2" t="inlineStr">
        <is>
          <t>Schnittstelle mit Gebäude-/Fachgewerk fachgerecht herstellen bzw. Mangel beseitigen; Zuständigkeit und Prüfnachweis dokumentieren.</t>
        </is>
      </c>
      <c r="L340" s="2" t="inlineStr"/>
      <c r="M340" s="3" t="n"/>
      <c r="N340" s="3" t="n"/>
    </row>
    <row r="341">
      <c r="A341" s="4" t="inlineStr">
        <is>
          <t>MF-U09</t>
        </is>
      </c>
      <c r="B341" s="4" t="inlineStr">
        <is>
          <t>Brandmeldeanlage, Brandfall- und Evakuierungssteuerung nicht abgestimmt</t>
        </is>
      </c>
      <c r="C341" s="4" t="inlineStr">
        <is>
          <t>Brandschutz und Gebäudeschnittstelle</t>
        </is>
      </c>
      <c r="D341" s="4" t="inlineStr">
        <is>
          <t>MF-U09-R2</t>
        </is>
      </c>
      <c r="E341" s="4" t="n">
        <v>100</v>
      </c>
      <c r="F341" s="4" t="inlineStr">
        <is>
          <t>15.8b Funktion der Schnittstelle BMA – Aufzug geprüft (Nachweis)? = Nein</t>
        </is>
      </c>
      <c r="G341" s="4" t="inlineStr">
        <is>
          <t>Hoch</t>
        </is>
      </c>
      <c r="H341" s="4" t="inlineStr">
        <is>
          <t>HIGH_CONFIDENCE</t>
        </is>
      </c>
      <c r="I341" s="4" t="inlineStr"/>
      <c r="J341" s="4" t="inlineStr">
        <is>
          <t>Gefahrenbereich sofort sichern; bei unmittelbarer Personengefahr Aufzug/Bereich außer Betrieb nehmen.</t>
        </is>
      </c>
      <c r="K341" s="4" t="inlineStr">
        <is>
          <t>Schnittstelle mit Gebäude-/Fachgewerk fachgerecht herstellen bzw. Mangel beseitigen; Zuständigkeit und Prüfnachweis dokumentieren.</t>
        </is>
      </c>
      <c r="L341" s="4" t="inlineStr"/>
      <c r="M341" s="3" t="n"/>
      <c r="N341" s="3" t="n"/>
    </row>
    <row r="342">
      <c r="A342" s="2" t="inlineStr">
        <is>
          <t>MF-U09</t>
        </is>
      </c>
      <c r="B342" s="2" t="inlineStr">
        <is>
          <t>Brandmeldeanlage, Brandfall- und Evakuierungssteuerung nicht abgestimmt</t>
        </is>
      </c>
      <c r="C342" s="2" t="inlineStr">
        <is>
          <t>Brandschutz und Gebäudeschnittstelle</t>
        </is>
      </c>
      <c r="D342" s="2" t="inlineStr">
        <is>
          <t>MF-U09-R3</t>
        </is>
      </c>
      <c r="E342" s="2" t="n">
        <v>100</v>
      </c>
      <c r="F342" s="2" t="inlineStr">
        <is>
          <t>15.8c Evakuierungs-/Sonderfunktion des Aufzugs in dieser Gefährdungsbeurteilung berücksichtigt? = Nein</t>
        </is>
      </c>
      <c r="G342" s="2" t="inlineStr">
        <is>
          <t>Hoch</t>
        </is>
      </c>
      <c r="H342" s="2" t="inlineStr">
        <is>
          <t>HIGH_CONFIDENCE</t>
        </is>
      </c>
      <c r="I342" s="2" t="inlineStr"/>
      <c r="J342" s="2" t="inlineStr">
        <is>
          <t>Gefahrenbereich sofort sichern; bei unmittelbarer Personengefahr Aufzug/Bereich außer Betrieb nehmen.</t>
        </is>
      </c>
      <c r="K342" s="2" t="inlineStr">
        <is>
          <t>Schnittstelle mit Gebäude-/Fachgewerk fachgerecht herstellen bzw. Mangel beseitigen; Zuständigkeit und Prüfnachweis dokumentieren.</t>
        </is>
      </c>
      <c r="L342" s="2" t="inlineStr"/>
      <c r="M342" s="3" t="n"/>
      <c r="N342" s="3" t="n"/>
    </row>
    <row r="343">
      <c r="A343" s="4" t="inlineStr">
        <is>
          <t>MF-U09</t>
        </is>
      </c>
      <c r="B343" s="4" t="inlineStr">
        <is>
          <t>Brandmeldeanlage, Brandfall- und Evakuierungssteuerung nicht abgestimmt</t>
        </is>
      </c>
      <c r="C343" s="4" t="inlineStr">
        <is>
          <t>Brandschutz und Gebäudeschnittstelle</t>
        </is>
      </c>
      <c r="D343" s="4" t="inlineStr">
        <is>
          <t>MF-U09-R4</t>
        </is>
      </c>
      <c r="E343" s="4" t="n">
        <v>100</v>
      </c>
      <c r="F343" s="4" t="inlineStr">
        <is>
          <t>15.8d Behindert eine Brandschutzeinrichtung (Brandschutztür, Abschottung) den Aufzugsbetrieb oder die Personenrettung? = Ja</t>
        </is>
      </c>
      <c r="G343" s="4" t="inlineStr">
        <is>
          <t>Hoch</t>
        </is>
      </c>
      <c r="H343" s="4" t="inlineStr">
        <is>
          <t>HIGH_CONFIDENCE</t>
        </is>
      </c>
      <c r="I343" s="4" t="inlineStr"/>
      <c r="J343" s="4" t="inlineStr">
        <is>
          <t>Gefahrenbereich sofort sichern; bei unmittelbarer Personengefahr Aufzug/Bereich außer Betrieb nehmen.</t>
        </is>
      </c>
      <c r="K343" s="4" t="inlineStr">
        <is>
          <t>Schnittstelle mit Gebäude-/Fachgewerk fachgerecht herstellen bzw. Mangel beseitigen; Zuständigkeit und Prüfnachweis dokumentieren.</t>
        </is>
      </c>
      <c r="L343" s="4" t="inlineStr"/>
      <c r="M343" s="3" t="n"/>
      <c r="N343" s="3" t="n"/>
    </row>
    <row r="344">
      <c r="A344" s="2" t="inlineStr">
        <is>
          <t>MF-U09</t>
        </is>
      </c>
      <c r="B344" s="2" t="inlineStr">
        <is>
          <t>Brandmeldeanlage, Brandfall- und Evakuierungssteuerung nicht abgestimmt</t>
        </is>
      </c>
      <c r="C344" s="2" t="inlineStr">
        <is>
          <t>Brandschutz und Gebäudeschnittstelle</t>
        </is>
      </c>
      <c r="D344" s="2" t="inlineStr">
        <is>
          <t>MF-U09-R5</t>
        </is>
      </c>
      <c r="E344" s="2" t="n">
        <v>1</v>
      </c>
      <c r="F344" s="2" t="inlineStr">
        <is>
          <t>15.8a Schnittstelle Brandmeldeanlage – Aufzug bekannt und abgestimmt (Brandfallsteuerung, Rückholung, Evakuierung)? beantwortet</t>
        </is>
      </c>
      <c r="G344" s="2" t="inlineStr">
        <is>
          <t>Kein Risiko</t>
        </is>
      </c>
      <c r="H344" s="2" t="inlineStr">
        <is>
          <t>HIGH_CONFIDENCE</t>
        </is>
      </c>
      <c r="I344" s="2" t="inlineStr"/>
      <c r="J344" s="2" t="inlineStr">
        <is>
          <t>Zustand erhalten; bei der wiederkehrenden Prüfung und der Betreiberkontrolle erneut prüfen</t>
        </is>
      </c>
      <c r="K344" s="2" t="inlineStr"/>
      <c r="L344" s="2" t="inlineStr">
        <is>
          <t>Kein Risiko: keine Mangelregel trifft zu, alle Pflichtfragen beantwortet.</t>
        </is>
      </c>
      <c r="M344" s="3" t="n"/>
      <c r="N344" s="3" t="n"/>
    </row>
    <row r="345">
      <c r="A345" s="4" t="inlineStr">
        <is>
          <t>MF-U10</t>
        </is>
      </c>
      <c r="B345" s="4" t="inlineStr">
        <is>
          <t>Schachtentrauchung, Lüftung und RWA unklar oder verändert</t>
        </is>
      </c>
      <c r="C345" s="4" t="inlineStr">
        <is>
          <t>Brandschutz und Gebäudeschnittstelle</t>
        </is>
      </c>
      <c r="D345" s="4" t="inlineStr">
        <is>
          <t>MF-U10-R1</t>
        </is>
      </c>
      <c r="E345" s="4" t="n">
        <v>100</v>
      </c>
      <c r="F345" s="4" t="inlineStr">
        <is>
          <t>15.9a Zustand der Schachtentrauchung / RWA / Lüftungsöffnung = „Funktion unklar, blockiert oder defekt"</t>
        </is>
      </c>
      <c r="G345" s="4" t="inlineStr">
        <is>
          <t>Hoch</t>
        </is>
      </c>
      <c r="H345" s="4" t="inlineStr">
        <is>
          <t>HIGH_CONFIDENCE</t>
        </is>
      </c>
      <c r="I345" s="4" t="inlineStr"/>
      <c r="J345" s="4" t="inlineStr">
        <is>
          <t>Gefahrenbereich sofort sichern; bei unmittelbarer Personengefahr Aufzug/Bereich außer Betrieb nehmen.</t>
        </is>
      </c>
      <c r="K345" s="4" t="inlineStr">
        <is>
          <t>Schnittstelle mit Gebäude-/Fachgewerk fachgerecht herstellen bzw. Mangel beseitigen; Zuständigkeit und Prüfnachweis dokumentieren.</t>
        </is>
      </c>
      <c r="L345" s="4" t="inlineStr"/>
      <c r="M345" s="3" t="n"/>
      <c r="N345" s="3" t="n"/>
    </row>
    <row r="346">
      <c r="A346" s="2" t="inlineStr">
        <is>
          <t>MF-U10</t>
        </is>
      </c>
      <c r="B346" s="2" t="inlineStr">
        <is>
          <t>Schachtentrauchung, Lüftung und RWA unklar oder verändert</t>
        </is>
      </c>
      <c r="C346" s="2" t="inlineStr">
        <is>
          <t>Brandschutz und Gebäudeschnittstelle</t>
        </is>
      </c>
      <c r="D346" s="2" t="inlineStr">
        <is>
          <t>MF-U10-R2</t>
        </is>
      </c>
      <c r="E346" s="2" t="n">
        <v>100</v>
      </c>
      <c r="F346" s="2" t="inlineStr">
        <is>
          <t>15.9a Zustand der Schachtentrauchung / RWA / Lüftungsöffnung = „Öffnungen verschlossen, verändert oder unzureichend"</t>
        </is>
      </c>
      <c r="G346" s="2" t="inlineStr">
        <is>
          <t>Mittel</t>
        </is>
      </c>
      <c r="H346" s="2" t="inlineStr">
        <is>
          <t>HIGH_CONFIDENCE</t>
        </is>
      </c>
      <c r="I346" s="2" t="inlineStr"/>
      <c r="J346" s="2" t="inlineStr">
        <is>
          <t>Auffälligkeit bewerten und bei konkreter Gefährdung interimistisch sichern.</t>
        </is>
      </c>
      <c r="K346" s="2" t="inlineStr">
        <is>
          <t>Schnittstelle mit Gebäude-/Fachgewerk fachgerecht herstellen bzw. Mangel beseitigen; Zuständigkeit und Prüfnachweis dokumentieren.</t>
        </is>
      </c>
      <c r="L346" s="2" t="inlineStr"/>
      <c r="M346" s="3" t="n"/>
      <c r="N346" s="3" t="n"/>
    </row>
    <row r="347">
      <c r="A347" s="4" t="inlineStr">
        <is>
          <t>MF-U10</t>
        </is>
      </c>
      <c r="B347" s="4" t="inlineStr">
        <is>
          <t>Schachtentrauchung, Lüftung und RWA unklar oder verändert</t>
        </is>
      </c>
      <c r="C347" s="4" t="inlineStr">
        <is>
          <t>Brandschutz und Gebäudeschnittstelle</t>
        </is>
      </c>
      <c r="D347" s="4" t="inlineStr">
        <is>
          <t>MF-U10-R3</t>
        </is>
      </c>
      <c r="E347" s="4" t="n">
        <v>100</v>
      </c>
      <c r="F347" s="4" t="inlineStr">
        <is>
          <t>15.9a Zustand der Schachtentrauchung / RWA / Lüftungsöffnung = „Kein Nachweis über Prüfung"</t>
        </is>
      </c>
      <c r="G347" s="4" t="inlineStr">
        <is>
          <t>Mittel</t>
        </is>
      </c>
      <c r="H347" s="4" t="inlineStr">
        <is>
          <t>HIGH_CONFIDENCE</t>
        </is>
      </c>
      <c r="I347" s="4" t="inlineStr"/>
      <c r="J347" s="4" t="inlineStr">
        <is>
          <t>Auffälligkeit bewerten und bei konkreter Gefährdung interimistisch sichern.</t>
        </is>
      </c>
      <c r="K347" s="4" t="inlineStr">
        <is>
          <t>Schnittstelle mit Gebäude-/Fachgewerk fachgerecht herstellen bzw. Mangel beseitigen; Zuständigkeit und Prüfnachweis dokumentieren.</t>
        </is>
      </c>
      <c r="L347" s="4" t="inlineStr"/>
      <c r="M347" s="3" t="n"/>
      <c r="N347" s="3" t="n"/>
    </row>
    <row r="348">
      <c r="A348" s="2" t="inlineStr">
        <is>
          <t>MF-U10</t>
        </is>
      </c>
      <c r="B348" s="2" t="inlineStr">
        <is>
          <t>Schachtentrauchung, Lüftung und RWA unklar oder verändert</t>
        </is>
      </c>
      <c r="C348" s="2" t="inlineStr">
        <is>
          <t>Brandschutz und Gebäudeschnittstelle</t>
        </is>
      </c>
      <c r="D348" s="2" t="inlineStr">
        <is>
          <t>MF-U10-R4</t>
        </is>
      </c>
      <c r="E348" s="2" t="n">
        <v>1</v>
      </c>
      <c r="F348" s="2" t="inlineStr">
        <is>
          <t>15.9a Zustand der Schachtentrauchung / RWA / Lüftungsöffnung beantwortet</t>
        </is>
      </c>
      <c r="G348" s="2" t="inlineStr">
        <is>
          <t>Kein Risiko</t>
        </is>
      </c>
      <c r="H348" s="2" t="inlineStr">
        <is>
          <t>HIGH_CONFIDENCE</t>
        </is>
      </c>
      <c r="I348" s="2" t="inlineStr"/>
      <c r="J348" s="2" t="inlineStr">
        <is>
          <t>Zustand erhalten; bei der wiederkehrenden Prüfung und der Betreiberkontrolle erneut prüfen</t>
        </is>
      </c>
      <c r="K348" s="2" t="inlineStr"/>
      <c r="L348" s="2" t="inlineStr">
        <is>
          <t>Kein Risiko: keine Mangelregel trifft zu, alle Pflichtfragen beantwortet.</t>
        </is>
      </c>
      <c r="M348" s="3" t="n"/>
      <c r="N348" s="3" t="n"/>
    </row>
    <row r="349">
      <c r="A349" s="4" t="inlineStr">
        <is>
          <t>MF-U11</t>
        </is>
      </c>
      <c r="B349" s="4" t="inlineStr">
        <is>
          <t>Löschanlage / Sprinkler ohne Bewertung der Wechselwirkung mit dem Aufzug</t>
        </is>
      </c>
      <c r="C349" s="4" t="inlineStr">
        <is>
          <t>Brandschutz und Gebäudeschnittstelle</t>
        </is>
      </c>
      <c r="D349" s="4" t="inlineStr">
        <is>
          <t>MF-U11-R1</t>
        </is>
      </c>
      <c r="E349" s="4" t="n">
        <v>100</v>
      </c>
      <c r="F349" s="4" t="inlineStr">
        <is>
          <t>15.10a Wechselwirkung der Löschanlage mit der Aufzugsanlage (Wasserbeaufschlagung, Abschaltung) bewertet? = Nein</t>
        </is>
      </c>
      <c r="G349" s="4" t="inlineStr">
        <is>
          <t>Hoch</t>
        </is>
      </c>
      <c r="H349" s="4" t="inlineStr">
        <is>
          <t>HIGH_CONFIDENCE</t>
        </is>
      </c>
      <c r="I349" s="4" t="inlineStr"/>
      <c r="J349" s="4" t="inlineStr">
        <is>
          <t>Gefahrenbereich sofort sichern; bei unmittelbarer Personengefahr Aufzug/Bereich außer Betrieb nehmen.</t>
        </is>
      </c>
      <c r="K349" s="4" t="inlineStr">
        <is>
          <t>Schnittstelle mit Gebäude-/Fachgewerk fachgerecht herstellen bzw. Mangel beseitigen; Zuständigkeit und Prüfnachweis dokumentieren.</t>
        </is>
      </c>
      <c r="L349" s="4" t="inlineStr"/>
      <c r="M349" s="3" t="n"/>
      <c r="N349" s="3" t="n"/>
    </row>
    <row r="350">
      <c r="A350" s="2" t="inlineStr">
        <is>
          <t>MF-U11</t>
        </is>
      </c>
      <c r="B350" s="2" t="inlineStr">
        <is>
          <t>Löschanlage / Sprinkler ohne Bewertung der Wechselwirkung mit dem Aufzug</t>
        </is>
      </c>
      <c r="C350" s="2" t="inlineStr">
        <is>
          <t>Brandschutz und Gebäudeschnittstelle</t>
        </is>
      </c>
      <c r="D350" s="2" t="inlineStr">
        <is>
          <t>MF-U11-R2</t>
        </is>
      </c>
      <c r="E350" s="2" t="n">
        <v>1</v>
      </c>
      <c r="F350" s="2" t="inlineStr">
        <is>
          <t>15.10a Wechselwirkung der Löschanlage mit der Aufzugsanlage (Wasserbeaufschlagung, Abschaltung) bewertet? beantwortet</t>
        </is>
      </c>
      <c r="G350" s="2" t="inlineStr">
        <is>
          <t>Kein Risiko</t>
        </is>
      </c>
      <c r="H350" s="2" t="inlineStr">
        <is>
          <t>HIGH_CONFIDENCE</t>
        </is>
      </c>
      <c r="I350" s="2" t="inlineStr"/>
      <c r="J350" s="2" t="inlineStr">
        <is>
          <t>Zustand erhalten; bei der wiederkehrenden Prüfung und der Betreiberkontrolle erneut prüfen</t>
        </is>
      </c>
      <c r="K350" s="2" t="inlineStr"/>
      <c r="L350" s="2" t="inlineStr">
        <is>
          <t>Kein Risiko: keine Mangelregel trifft zu, alle Pflichtfragen beantwortet.</t>
        </is>
      </c>
      <c r="M350" s="3" t="n"/>
      <c r="N350" s="3" t="n"/>
    </row>
    <row r="351">
      <c r="A351" s="4" t="inlineStr">
        <is>
          <t>MF-U12</t>
        </is>
      </c>
      <c r="B351" s="4" t="inlineStr">
        <is>
          <t>Fremdgewerke und Reinigungspersonal ohne Zugangs- und Schutzkonzept</t>
        </is>
      </c>
      <c r="C351" s="4" t="inlineStr">
        <is>
          <t>Umfeld und Gefahrstoffe</t>
        </is>
      </c>
      <c r="D351" s="4" t="inlineStr">
        <is>
          <t>MF-U12-R1</t>
        </is>
      </c>
      <c r="E351" s="4" t="n">
        <v>100</v>
      </c>
      <c r="F351" s="4" t="inlineStr">
        <is>
          <t>(15.36 Müssen Fremdgewerke (Lüftung, Elektro, Reinigung) für ihre Arbeiten in den Aufzugsbereich (Schacht, Triebwerksraum) eindringen? = Ja UND 15.36a Zugangs- und Schutzkonzept für Fremdgewerke / Reinigungspersonal vorhanden? = Nein)</t>
        </is>
      </c>
      <c r="G351" s="4" t="inlineStr">
        <is>
          <t>Hoch</t>
        </is>
      </c>
      <c r="H351" s="4" t="inlineStr">
        <is>
          <t>HIGH_CONFIDENCE</t>
        </is>
      </c>
      <c r="I351" s="4" t="inlineStr"/>
      <c r="J351" s="4" t="inlineStr">
        <is>
          <t>Gefahrenbereich sofort sichern; bei unmittelbarer Personengefahr Aufzug/Bereich außer Betrieb nehmen.</t>
        </is>
      </c>
      <c r="K351" s="4" t="inlineStr">
        <is>
          <t>Schnittstelle mit Gebäude-/Fachgewerk fachgerecht herstellen bzw. Mangel beseitigen; Zuständigkeit und Prüfnachweis dokumentieren.</t>
        </is>
      </c>
      <c r="L351" s="4" t="inlineStr"/>
      <c r="M351" s="3" t="n"/>
      <c r="N351" s="3" t="n"/>
    </row>
    <row r="352">
      <c r="A352" s="2" t="inlineStr">
        <is>
          <t>MF-U12</t>
        </is>
      </c>
      <c r="B352" s="2" t="inlineStr">
        <is>
          <t>Fremdgewerke und Reinigungspersonal ohne Zugangs- und Schutzkonzept</t>
        </is>
      </c>
      <c r="C352" s="2" t="inlineStr">
        <is>
          <t>Umfeld und Gefahrstoffe</t>
        </is>
      </c>
      <c r="D352" s="2" t="inlineStr">
        <is>
          <t>MF-U12-R2</t>
        </is>
      </c>
      <c r="E352" s="2" t="n">
        <v>100</v>
      </c>
      <c r="F352" s="2" t="inlineStr">
        <is>
          <t>(15.36 Müssen Fremdgewerke (Lüftung, Elektro, Reinigung) für ihre Arbeiten in den Aufzugsbereich (Schacht, Triebwerksraum) eindringen? = Ja UND 15.36a Zugangs- und Schutzkonzept für Fremdgewerke / Reinigungspersonal vorhanden? = Ja)</t>
        </is>
      </c>
      <c r="G352" s="2" t="inlineStr">
        <is>
          <t>Niedrig</t>
        </is>
      </c>
      <c r="H352" s="2" t="inlineStr">
        <is>
          <t>INFERRED</t>
        </is>
      </c>
      <c r="I352" s="2" t="inlineStr"/>
      <c r="J352" s="2" t="inlineStr">
        <is>
          <t>Zugangskonzept bei Änderungen der Gewerke fortschreiben</t>
        </is>
      </c>
      <c r="K352" s="2" t="inlineStr">
        <is>
          <t>Wirksamkeit des Zugangskonzepts regelmäßig prüfen (Unterweisungsnachweise)</t>
        </is>
      </c>
      <c r="L352" s="2" t="inlineStr"/>
      <c r="M352" s="3" t="n"/>
      <c r="N352" s="3" t="n"/>
    </row>
    <row r="353">
      <c r="A353" s="4" t="inlineStr">
        <is>
          <t>MF-U12</t>
        </is>
      </c>
      <c r="B353" s="4" t="inlineStr">
        <is>
          <t>Fremdgewerke und Reinigungspersonal ohne Zugangs- und Schutzkonzept</t>
        </is>
      </c>
      <c r="C353" s="4" t="inlineStr">
        <is>
          <t>Umfeld und Gefahrstoffe</t>
        </is>
      </c>
      <c r="D353" s="4" t="inlineStr">
        <is>
          <t>MF-U12-R3</t>
        </is>
      </c>
      <c r="E353" s="4" t="n">
        <v>1</v>
      </c>
      <c r="F353" s="4" t="inlineStr">
        <is>
          <t>15.36 Müssen Fremdgewerke (Lüftung, Elektro, Reinigung) für ihre Arbeiten in den Aufzugsbereich (Schacht, Triebwerksraum) eindringen? beantwortet</t>
        </is>
      </c>
      <c r="G353" s="4" t="inlineStr">
        <is>
          <t>Kein Risiko</t>
        </is>
      </c>
      <c r="H353" s="4" t="inlineStr">
        <is>
          <t>HIGH_CONFIDENCE</t>
        </is>
      </c>
      <c r="I353" s="4" t="inlineStr"/>
      <c r="J353" s="4" t="inlineStr">
        <is>
          <t>Zustand erhalten; bei der wiederkehrenden Prüfung und der Betreiberkontrolle erneut prüfen</t>
        </is>
      </c>
      <c r="K353" s="4" t="inlineStr"/>
      <c r="L353" s="4" t="inlineStr">
        <is>
          <t>Kein Risiko: keine Mangelregel trifft zu, alle Pflichtfragen beantwortet.</t>
        </is>
      </c>
      <c r="M353" s="3" t="n"/>
      <c r="N353" s="3" t="n"/>
    </row>
    <row r="354">
      <c r="A354" s="2" t="inlineStr">
        <is>
          <t>MF-U13</t>
        </is>
      </c>
      <c r="B354" s="2" t="inlineStr">
        <is>
          <t>Fehlende Prüfnachweise und unklare Zuständigkeiten an den Gewerkeschnittstellen</t>
        </is>
      </c>
      <c r="C354" s="2" t="inlineStr">
        <is>
          <t>Brandschutz und Gebäudeschnittstelle</t>
        </is>
      </c>
      <c r="D354" s="2" t="inlineStr">
        <is>
          <t>MF-U13-R1</t>
        </is>
      </c>
      <c r="E354" s="2" t="n">
        <v>100</v>
      </c>
      <c r="F354" s="2" t="inlineStr">
        <is>
          <t>15.37 Prüfnachweise der angrenzenden Gewerke (BMA, RWA, Ersatzstrom, Löschanlage) verfügbar? = Nein</t>
        </is>
      </c>
      <c r="G354" s="2" t="inlineStr">
        <is>
          <t>Mittel</t>
        </is>
      </c>
      <c r="H354" s="2" t="inlineStr">
        <is>
          <t>HIGH_CONFIDENCE</t>
        </is>
      </c>
      <c r="I354" s="2" t="inlineStr"/>
      <c r="J354" s="2" t="inlineStr">
        <is>
          <t>Auffälligkeit bewerten und bei konkreter Gefährdung interimistisch sichern.</t>
        </is>
      </c>
      <c r="K354" s="2" t="inlineStr">
        <is>
          <t>Schnittstelle mit Gebäude-/Fachgewerk fachgerecht herstellen bzw. Mangel beseitigen; Zuständigkeit und Prüfnachweis dokumentieren.</t>
        </is>
      </c>
      <c r="L354" s="2" t="inlineStr"/>
      <c r="M354" s="3" t="n"/>
      <c r="N354" s="3" t="n"/>
    </row>
    <row r="355">
      <c r="A355" s="4" t="inlineStr">
        <is>
          <t>MF-U13</t>
        </is>
      </c>
      <c r="B355" s="4" t="inlineStr">
        <is>
          <t>Fehlende Prüfnachweise und unklare Zuständigkeiten an den Gewerkeschnittstellen</t>
        </is>
      </c>
      <c r="C355" s="4" t="inlineStr">
        <is>
          <t>Brandschutz und Gebäudeschnittstelle</t>
        </is>
      </c>
      <c r="D355" s="4" t="inlineStr">
        <is>
          <t>MF-U13-R2</t>
        </is>
      </c>
      <c r="E355" s="4" t="n">
        <v>100</v>
      </c>
      <c r="F355" s="4" t="inlineStr">
        <is>
          <t>15.38 Zuständigkeiten zwischen den Gewerken für Maßnahmen an den Schnittstellen geregelt? = Nein</t>
        </is>
      </c>
      <c r="G355" s="4" t="inlineStr">
        <is>
          <t>Mittel</t>
        </is>
      </c>
      <c r="H355" s="4" t="inlineStr">
        <is>
          <t>HIGH_CONFIDENCE</t>
        </is>
      </c>
      <c r="I355" s="4" t="inlineStr"/>
      <c r="J355" s="4" t="inlineStr">
        <is>
          <t>Auffälligkeit bewerten und bei konkreter Gefährdung interimistisch sichern.</t>
        </is>
      </c>
      <c r="K355" s="4" t="inlineStr">
        <is>
          <t>Schnittstelle mit Gebäude-/Fachgewerk fachgerecht herstellen bzw. Mangel beseitigen; Zuständigkeit und Prüfnachweis dokumentieren.</t>
        </is>
      </c>
      <c r="L355" s="4" t="inlineStr"/>
      <c r="M355" s="3" t="n"/>
      <c r="N355" s="3" t="n"/>
    </row>
    <row r="356">
      <c r="A356" s="2" t="inlineStr">
        <is>
          <t>MF-U13</t>
        </is>
      </c>
      <c r="B356" s="2" t="inlineStr">
        <is>
          <t>Fehlende Prüfnachweise und unklare Zuständigkeiten an den Gewerkeschnittstellen</t>
        </is>
      </c>
      <c r="C356" s="2" t="inlineStr">
        <is>
          <t>Brandschutz und Gebäudeschnittstelle</t>
        </is>
      </c>
      <c r="D356" s="2" t="inlineStr">
        <is>
          <t>MF-U13-R3</t>
        </is>
      </c>
      <c r="E356" s="2" t="n">
        <v>1</v>
      </c>
      <c r="F356" s="2" t="inlineStr">
        <is>
          <t>15.37 Prüfnachweise der angrenzenden Gewerke (BMA, RWA, Ersatzstrom, Löschanlage) verfügbar? beantwortet</t>
        </is>
      </c>
      <c r="G356" s="2" t="inlineStr">
        <is>
          <t>Kein Risiko</t>
        </is>
      </c>
      <c r="H356" s="2" t="inlineStr">
        <is>
          <t>HIGH_CONFIDENCE</t>
        </is>
      </c>
      <c r="I356" s="2" t="inlineStr"/>
      <c r="J356" s="2" t="inlineStr">
        <is>
          <t>Zustand erhalten; bei der wiederkehrenden Prüfung und der Betreiberkontrolle erneut prüfen</t>
        </is>
      </c>
      <c r="K356" s="2" t="inlineStr"/>
      <c r="L356" s="2" t="inlineStr">
        <is>
          <t>Kein Risiko: keine Mangelregel trifft zu, alle Pflichtfragen beantwortet.</t>
        </is>
      </c>
      <c r="M356" s="3" t="n"/>
      <c r="N356" s="3" t="n"/>
    </row>
    <row r="357">
      <c r="A357" s="4" t="inlineStr">
        <is>
          <t>MF-U14</t>
        </is>
      </c>
      <c r="B357" s="4" t="inlineStr">
        <is>
          <t>Aufzugszugang grenzt an Fahrwege / Verkehrsflächen</t>
        </is>
      </c>
      <c r="C357" s="4" t="inlineStr">
        <is>
          <t>Umfeld und Gefahrstoffe</t>
        </is>
      </c>
      <c r="D357" s="4" t="inlineStr">
        <is>
          <t>MF-U14-R1</t>
        </is>
      </c>
      <c r="E357" s="4" t="n">
        <v>200</v>
      </c>
      <c r="F357" s="4" t="inlineStr">
        <is>
          <t>(15.27 Grenzt der Aufzugszugang unmittelbar an Fahrwege oder Verkehrsflächen (Tiefgarage, Anlieferung, Flurförderzeuge)? = Ja UND 4.9 Nutzung durch Personen mit eingeschränkter Mobilität (Rollstuhl, Rollator, Sehbehinderung) zu erwarten? = Ja)</t>
        </is>
      </c>
      <c r="G357" s="4" t="inlineStr">
        <is>
          <t>Hoch</t>
        </is>
      </c>
      <c r="H357" s="4" t="inlineStr">
        <is>
          <t>INFERRED</t>
        </is>
      </c>
      <c r="I357" s="4" t="inlineStr"/>
      <c r="J357" s="4" t="inlineStr">
        <is>
          <t>Wartebereich vor dem Aufzug gegen den Fahrverkehr abgrenzen (Markierung, Absperrung)</t>
        </is>
      </c>
      <c r="K357" s="4" t="inlineStr">
        <is>
          <t>Bauliche Trennung von Fußgänger- und Fahrbereich am Aufzugszugang</t>
        </is>
      </c>
      <c r="L357" s="4" t="inlineStr">
        <is>
          <t>Entschieden 2026-09-02: K-U05.</t>
        </is>
      </c>
      <c r="M357" s="3" t="n"/>
      <c r="N357" s="3" t="n"/>
    </row>
    <row r="358">
      <c r="A358" s="2" t="inlineStr">
        <is>
          <t>MF-U14</t>
        </is>
      </c>
      <c r="B358" s="2" t="inlineStr">
        <is>
          <t>Aufzugszugang grenzt an Fahrwege / Verkehrsflächen</t>
        </is>
      </c>
      <c r="C358" s="2" t="inlineStr">
        <is>
          <t>Umfeld und Gefahrstoffe</t>
        </is>
      </c>
      <c r="D358" s="2" t="inlineStr">
        <is>
          <t>MF-U14-R2</t>
        </is>
      </c>
      <c r="E358" s="2" t="n">
        <v>100</v>
      </c>
      <c r="F358" s="2" t="inlineStr">
        <is>
          <t>15.27 Grenzt der Aufzugszugang unmittelbar an Fahrwege oder Verkehrsflächen (Tiefgarage, Anlieferung, Flurförderzeuge)? = Ja</t>
        </is>
      </c>
      <c r="G358" s="2" t="inlineStr">
        <is>
          <t>Mittel</t>
        </is>
      </c>
      <c r="H358" s="2" t="inlineStr">
        <is>
          <t>INFERRED</t>
        </is>
      </c>
      <c r="I358" s="2" t="inlineStr"/>
      <c r="J358" s="2" t="inlineStr">
        <is>
          <t>Wartebereich vor dem Aufzug markieren, Betreiber informieren</t>
        </is>
      </c>
      <c r="K358" s="2" t="inlineStr">
        <is>
          <t>Bauliche oder organisatorische Trennung von Fußgänger- und Fahrbereich</t>
        </is>
      </c>
      <c r="L358" s="2" t="inlineStr">
        <is>
          <t>Entschieden 2026-09-02: K-U05.</t>
        </is>
      </c>
      <c r="M358" s="3" t="n"/>
      <c r="N358" s="3" t="n"/>
    </row>
    <row r="359">
      <c r="A359" s="4" t="inlineStr">
        <is>
          <t>MF-U14</t>
        </is>
      </c>
      <c r="B359" s="4" t="inlineStr">
        <is>
          <t>Aufzugszugang grenzt an Fahrwege / Verkehrsflächen</t>
        </is>
      </c>
      <c r="C359" s="4" t="inlineStr">
        <is>
          <t>Umfeld und Gefahrstoffe</t>
        </is>
      </c>
      <c r="D359" s="4" t="inlineStr">
        <is>
          <t>MF-U14-R3</t>
        </is>
      </c>
      <c r="E359" s="4" t="n">
        <v>1</v>
      </c>
      <c r="F359" s="4" t="inlineStr">
        <is>
          <t>15.27 Grenzt der Aufzugszugang unmittelbar an Fahrwege oder Verkehrsflächen (Tiefgarage, Anlieferung, Flurförderzeuge)? beantwortet</t>
        </is>
      </c>
      <c r="G359" s="4" t="inlineStr">
        <is>
          <t>Kein Risiko</t>
        </is>
      </c>
      <c r="H359" s="4" t="inlineStr">
        <is>
          <t>HIGH_CONFIDENCE</t>
        </is>
      </c>
      <c r="I359" s="4" t="inlineStr"/>
      <c r="J359" s="4" t="inlineStr">
        <is>
          <t>Zustand erhalten; bei der wiederkehrenden Prüfung und der Betreiberkontrolle erneut prüfen</t>
        </is>
      </c>
      <c r="K359" s="4" t="inlineStr"/>
      <c r="L359" s="4" t="inlineStr">
        <is>
          <t>Kein Risiko: keine Mangelregel trifft zu, alle Pflichtfragen beantwortet.</t>
        </is>
      </c>
      <c r="M359" s="3" t="n"/>
      <c r="N359" s="3" t="n"/>
    </row>
    <row r="360">
      <c r="A360" s="2" t="inlineStr">
        <is>
          <t>MF-U15</t>
        </is>
      </c>
      <c r="B360" s="2" t="inlineStr">
        <is>
          <t>Abgase und Emissionen im Aufstellbereich (Lärm und Ereignishistorie dokumentiert)</t>
        </is>
      </c>
      <c r="C360" s="2" t="inlineStr">
        <is>
          <t>Umfeld und Gefahrstoffe</t>
        </is>
      </c>
      <c r="D360" s="2" t="inlineStr">
        <is>
          <t>MF-U15-R1</t>
        </is>
      </c>
      <c r="E360" s="2" t="n">
        <v>100</v>
      </c>
      <c r="F360" s="2" t="inlineStr">
        <is>
          <t>15.24 Abgase oder Emissionen im Aufstellbereich (Tiefgarage, Werkstatt, Notstromaggregat)? = Ja</t>
        </is>
      </c>
      <c r="G360" s="2" t="inlineStr">
        <is>
          <t>Mittel</t>
        </is>
      </c>
      <c r="H360" s="2" t="inlineStr">
        <is>
          <t>INFERRED</t>
        </is>
      </c>
      <c r="I360" s="2" t="inlineStr"/>
      <c r="J360" s="2" t="inlineStr">
        <is>
          <t>Lüftung des Aufstellbereichs prüfen, Betreiber informieren</t>
        </is>
      </c>
      <c r="K360" s="2" t="inlineStr">
        <is>
          <t>Lüftung / Absaugung im Aufstellbereich sicherstellen; Fahrkorblüftung prüfen</t>
        </is>
      </c>
      <c r="L360" s="2" t="inlineStr"/>
      <c r="M360" s="3" t="n"/>
      <c r="N360" s="3" t="n"/>
    </row>
    <row r="361">
      <c r="A361" s="4" t="inlineStr">
        <is>
          <t>MF-U15</t>
        </is>
      </c>
      <c r="B361" s="4" t="inlineStr">
        <is>
          <t>Abgase und Emissionen im Aufstellbereich (Lärm und Ereignishistorie dokumentiert)</t>
        </is>
      </c>
      <c r="C361" s="4" t="inlineStr">
        <is>
          <t>Umfeld und Gefahrstoffe</t>
        </is>
      </c>
      <c r="D361" s="4" t="inlineStr">
        <is>
          <t>MF-U15-R2</t>
        </is>
      </c>
      <c r="E361" s="4" t="n">
        <v>1</v>
      </c>
      <c r="F361" s="4" t="inlineStr">
        <is>
          <t>15.24 Abgase oder Emissionen im Aufstellbereich (Tiefgarage, Werkstatt, Notstromaggregat)? beantwortet</t>
        </is>
      </c>
      <c r="G361" s="4" t="inlineStr">
        <is>
          <t>Kein Risiko</t>
        </is>
      </c>
      <c r="H361" s="4" t="inlineStr">
        <is>
          <t>HIGH_CONFIDENCE</t>
        </is>
      </c>
      <c r="I361" s="4" t="inlineStr"/>
      <c r="J361" s="4" t="inlineStr">
        <is>
          <t>Zustand erhalten; bei der wiederkehrenden Prüfung und der Betreiberkontrolle erneut prüfen</t>
        </is>
      </c>
      <c r="K361" s="4" t="inlineStr"/>
      <c r="L361" s="4" t="inlineStr">
        <is>
          <t>Kein Risiko: keine Mangelregel trifft zu, alle Pflichtfragen beantwortet.</t>
        </is>
      </c>
      <c r="M361" s="3" t="n"/>
      <c r="N361" s="3" t="n"/>
    </row>
    <row r="362">
      <c r="A362" s="2" t="inlineStr">
        <is>
          <t>MF-SF01</t>
        </is>
      </c>
      <c r="B362" s="2" t="inlineStr">
        <is>
          <t>Feuerwehraufzug / gebäudeseitige Sonderfunktionen nicht nachgewiesen</t>
        </is>
      </c>
      <c r="C362" s="2" t="inlineStr">
        <is>
          <t>Sonderfunktionen</t>
        </is>
      </c>
      <c r="D362" s="2" t="inlineStr">
        <is>
          <t>MF-SF01-R1</t>
        </is>
      </c>
      <c r="E362" s="2" t="n">
        <v>100</v>
      </c>
      <c r="F362" s="2" t="inlineStr">
        <is>
          <t>16.1 Anforderungen und Unterlagen des Feuerwehraufzugs (EN 81-72, Brandschutzkonzept) vorhanden und erfüllt? = Nein</t>
        </is>
      </c>
      <c r="G362" s="2" t="inlineStr">
        <is>
          <t>Mittel</t>
        </is>
      </c>
      <c r="H362" s="2" t="inlineStr">
        <is>
          <t>HIGH_CONFIDENCE</t>
        </is>
      </c>
      <c r="I362" s="2" t="inlineStr"/>
      <c r="J362" s="2" t="inlineStr">
        <is>
          <t>Bei Beeinträchtigung einer erforderlichen Feuerwehrfunktion Nutzung/Sonderbetrieb bis zur Klärung absichern.</t>
        </is>
      </c>
      <c r="K362" s="2" t="inlineStr">
        <is>
          <t>Anforderung mit Brandschutz-/Feuerwehr-/Aufzugsfachplanung abstimmen und nachweisen.</t>
        </is>
      </c>
      <c r="L362" s="2" t="inlineStr">
        <is>
          <t>Entschieden 2026-09-02: K-SF1.</t>
        </is>
      </c>
      <c r="M362" s="3" t="n"/>
      <c r="N362" s="3" t="n"/>
    </row>
    <row r="363">
      <c r="A363" s="4" t="inlineStr">
        <is>
          <t>MF-SF01</t>
        </is>
      </c>
      <c r="B363" s="4" t="inlineStr">
        <is>
          <t>Feuerwehraufzug / gebäudeseitige Sonderfunktionen nicht nachgewiesen</t>
        </is>
      </c>
      <c r="C363" s="4" t="inlineStr">
        <is>
          <t>Sonderfunktionen</t>
        </is>
      </c>
      <c r="D363" s="4" t="inlineStr">
        <is>
          <t>MF-SF01-R2</t>
        </is>
      </c>
      <c r="E363" s="4" t="n">
        <v>100</v>
      </c>
      <c r="F363" s="4" t="inlineStr">
        <is>
          <t>16.2 Brandmeldeanlage und Feuerwehraufzugsfunktion aufeinander abgestimmt? = Nein</t>
        </is>
      </c>
      <c r="G363" s="4" t="inlineStr">
        <is>
          <t>Hoch</t>
        </is>
      </c>
      <c r="H363" s="4" t="inlineStr">
        <is>
          <t>HIGH_CONFIDENCE</t>
        </is>
      </c>
      <c r="I363" s="4" t="inlineStr"/>
      <c r="J363" s="4" t="inlineStr">
        <is>
          <t>Bei Beeinträchtigung einer erforderlichen Feuerwehrfunktion Nutzung/Sonderbetrieb bis zur Klärung absichern.</t>
        </is>
      </c>
      <c r="K363" s="4" t="inlineStr">
        <is>
          <t>Anforderung mit Brandschutz-/Feuerwehr-/Aufzugsfachplanung abstimmen und nachweisen.</t>
        </is>
      </c>
      <c r="L363" s="4" t="inlineStr">
        <is>
          <t>Entschieden 2026-09-02: K-SF1.</t>
        </is>
      </c>
      <c r="M363" s="3" t="n"/>
      <c r="N363" s="3" t="n"/>
    </row>
    <row r="364">
      <c r="A364" s="2" t="inlineStr">
        <is>
          <t>MF-SF01</t>
        </is>
      </c>
      <c r="B364" s="2" t="inlineStr">
        <is>
          <t>Feuerwehraufzug / gebäudeseitige Sonderfunktionen nicht nachgewiesen</t>
        </is>
      </c>
      <c r="C364" s="2" t="inlineStr">
        <is>
          <t>Sonderfunktionen</t>
        </is>
      </c>
      <c r="D364" s="2" t="inlineStr">
        <is>
          <t>MF-SF01-R3</t>
        </is>
      </c>
      <c r="E364" s="2" t="n">
        <v>100</v>
      </c>
      <c r="F364" s="2" t="inlineStr">
        <is>
          <t>16.3 Druckbelüftungs-/Rauchschutzanlagen für Schacht und Vorräume vorhanden und geprüft? = Nein</t>
        </is>
      </c>
      <c r="G364" s="2" t="inlineStr">
        <is>
          <t>Hoch</t>
        </is>
      </c>
      <c r="H364" s="2" t="inlineStr">
        <is>
          <t>HIGH_CONFIDENCE</t>
        </is>
      </c>
      <c r="I364" s="2" t="inlineStr"/>
      <c r="J364" s="2" t="inlineStr">
        <is>
          <t>Bei Beeinträchtigung einer erforderlichen Feuerwehrfunktion Nutzung/Sonderbetrieb bis zur Klärung absichern.</t>
        </is>
      </c>
      <c r="K364" s="2" t="inlineStr">
        <is>
          <t>Anforderung mit Brandschutz-/Feuerwehr-/Aufzugsfachplanung abstimmen und nachweisen.</t>
        </is>
      </c>
      <c r="L364" s="2" t="inlineStr">
        <is>
          <t>Entschieden 2026-09-02: K-SF1.</t>
        </is>
      </c>
      <c r="M364" s="3" t="n"/>
      <c r="N364" s="3" t="n"/>
    </row>
    <row r="365">
      <c r="A365" s="4" t="inlineStr">
        <is>
          <t>MF-SF01</t>
        </is>
      </c>
      <c r="B365" s="4" t="inlineStr">
        <is>
          <t>Feuerwehraufzug / gebäudeseitige Sonderfunktionen nicht nachgewiesen</t>
        </is>
      </c>
      <c r="C365" s="4" t="inlineStr">
        <is>
          <t>Sonderfunktionen</t>
        </is>
      </c>
      <c r="D365" s="4" t="inlineStr">
        <is>
          <t>MF-SF01-R4</t>
        </is>
      </c>
      <c r="E365" s="4" t="n">
        <v>100</v>
      </c>
      <c r="F365" s="4" t="inlineStr">
        <is>
          <t>16.4 Löschwasser-/Pumpeneinrichtungen mit Schnittstelle zum Aufzug berücksichtigt? = Nein</t>
        </is>
      </c>
      <c r="G365" s="4" t="inlineStr">
        <is>
          <t>Hoch</t>
        </is>
      </c>
      <c r="H365" s="4" t="inlineStr">
        <is>
          <t>HIGH_CONFIDENCE</t>
        </is>
      </c>
      <c r="I365" s="4" t="inlineStr"/>
      <c r="J365" s="4" t="inlineStr">
        <is>
          <t>Bei Beeinträchtigung einer erforderlichen Feuerwehrfunktion Nutzung/Sonderbetrieb bis zur Klärung absichern.</t>
        </is>
      </c>
      <c r="K365" s="4" t="inlineStr">
        <is>
          <t>Anforderung mit Brandschutz-/Feuerwehr-/Aufzugsfachplanung abstimmen und nachweisen.</t>
        </is>
      </c>
      <c r="L365" s="4" t="inlineStr">
        <is>
          <t>Entschieden 2026-09-02: K-SF1.</t>
        </is>
      </c>
      <c r="M365" s="3" t="n"/>
      <c r="N365" s="3" t="n"/>
    </row>
    <row r="366">
      <c r="A366" s="2" t="inlineStr">
        <is>
          <t>MF-SF01</t>
        </is>
      </c>
      <c r="B366" s="2" t="inlineStr">
        <is>
          <t>Feuerwehraufzug / gebäudeseitige Sonderfunktionen nicht nachgewiesen</t>
        </is>
      </c>
      <c r="C366" s="2" t="inlineStr">
        <is>
          <t>Sonderfunktionen</t>
        </is>
      </c>
      <c r="D366" s="2" t="inlineStr">
        <is>
          <t>MF-SF01-R5</t>
        </is>
      </c>
      <c r="E366" s="2" t="n">
        <v>100</v>
      </c>
      <c r="F366" s="2" t="inlineStr">
        <is>
          <t>16.5 Sicherheits-/Ersatzstromversorgung vorhanden und geprüft? = Nein</t>
        </is>
      </c>
      <c r="G366" s="2" t="inlineStr">
        <is>
          <t>Hoch</t>
        </is>
      </c>
      <c r="H366" s="2" t="inlineStr">
        <is>
          <t>HIGH_CONFIDENCE</t>
        </is>
      </c>
      <c r="I366" s="2" t="inlineStr"/>
      <c r="J366" s="2" t="inlineStr">
        <is>
          <t>Bei Beeinträchtigung einer erforderlichen Feuerwehrfunktion Nutzung/Sonderbetrieb bis zur Klärung absichern.</t>
        </is>
      </c>
      <c r="K366" s="2" t="inlineStr">
        <is>
          <t>Anforderung mit Brandschutz-/Feuerwehr-/Aufzugsfachplanung abstimmen und nachweisen.</t>
        </is>
      </c>
      <c r="L366" s="2" t="inlineStr">
        <is>
          <t>Entschieden 2026-09-02: K-SF1.</t>
        </is>
      </c>
      <c r="M366" s="3" t="n"/>
      <c r="N366" s="3" t="n"/>
    </row>
    <row r="367">
      <c r="A367" s="4" t="inlineStr">
        <is>
          <t>MF-SF01</t>
        </is>
      </c>
      <c r="B367" s="4" t="inlineStr">
        <is>
          <t>Feuerwehraufzug / gebäudeseitige Sonderfunktionen nicht nachgewiesen</t>
        </is>
      </c>
      <c r="C367" s="4" t="inlineStr">
        <is>
          <t>Sonderfunktionen</t>
        </is>
      </c>
      <c r="D367" s="4" t="inlineStr">
        <is>
          <t>MF-SF01-R6</t>
        </is>
      </c>
      <c r="E367" s="4" t="n">
        <v>100</v>
      </c>
      <c r="F367" s="4" t="inlineStr">
        <is>
          <t>16.6 Funktion des Aufzugs unter Ersatzstrombedingungen geprüft? = Nein</t>
        </is>
      </c>
      <c r="G367" s="4" t="inlineStr">
        <is>
          <t>Hoch</t>
        </is>
      </c>
      <c r="H367" s="4" t="inlineStr">
        <is>
          <t>HIGH_CONFIDENCE</t>
        </is>
      </c>
      <c r="I367" s="4" t="inlineStr"/>
      <c r="J367" s="4" t="inlineStr">
        <is>
          <t>Bei Beeinträchtigung einer erforderlichen Feuerwehrfunktion Nutzung/Sonderbetrieb bis zur Klärung absichern.</t>
        </is>
      </c>
      <c r="K367" s="4" t="inlineStr">
        <is>
          <t>Anforderung mit Brandschutz-/Feuerwehr-/Aufzugsfachplanung abstimmen und nachweisen.</t>
        </is>
      </c>
      <c r="L367" s="4" t="inlineStr">
        <is>
          <t>Entschieden 2026-09-02: K-SF1.</t>
        </is>
      </c>
      <c r="M367" s="3" t="n"/>
      <c r="N367" s="3" t="n"/>
    </row>
    <row r="368">
      <c r="A368" s="2" t="inlineStr">
        <is>
          <t>MF-SF01</t>
        </is>
      </c>
      <c r="B368" s="2" t="inlineStr">
        <is>
          <t>Feuerwehraufzug / gebäudeseitige Sonderfunktionen nicht nachgewiesen</t>
        </is>
      </c>
      <c r="C368" s="2" t="inlineStr">
        <is>
          <t>Sonderfunktionen</t>
        </is>
      </c>
      <c r="D368" s="2" t="inlineStr">
        <is>
          <t>MF-SF01-R7</t>
        </is>
      </c>
      <c r="E368" s="2" t="n">
        <v>100</v>
      </c>
      <c r="F368" s="2" t="inlineStr">
        <is>
          <t>16.7 Erforderliche Prüfnachweise der Fremdgewerke verfügbar? = Nein</t>
        </is>
      </c>
      <c r="G368" s="2" t="inlineStr">
        <is>
          <t>Mittel</t>
        </is>
      </c>
      <c r="H368" s="2" t="inlineStr">
        <is>
          <t>HIGH_CONFIDENCE</t>
        </is>
      </c>
      <c r="I368" s="2" t="inlineStr"/>
      <c r="J368" s="2" t="inlineStr">
        <is>
          <t>Bei Beeinträchtigung einer erforderlichen Feuerwehrfunktion Nutzung/Sonderbetrieb bis zur Klärung absichern.</t>
        </is>
      </c>
      <c r="K368" s="2" t="inlineStr">
        <is>
          <t>Anforderung mit Brandschutz-/Feuerwehr-/Aufzugsfachplanung abstimmen und nachweisen.</t>
        </is>
      </c>
      <c r="L368" s="2" t="inlineStr">
        <is>
          <t>Entschieden 2026-09-02: K-SF1.</t>
        </is>
      </c>
      <c r="M368" s="3" t="n"/>
      <c r="N368" s="3" t="n"/>
    </row>
    <row r="369">
      <c r="A369" s="4" t="inlineStr">
        <is>
          <t>MF-SF01</t>
        </is>
      </c>
      <c r="B369" s="4" t="inlineStr">
        <is>
          <t>Feuerwehraufzug / gebäudeseitige Sonderfunktionen nicht nachgewiesen</t>
        </is>
      </c>
      <c r="C369" s="4" t="inlineStr">
        <is>
          <t>Sonderfunktionen</t>
        </is>
      </c>
      <c r="D369" s="4" t="inlineStr">
        <is>
          <t>MF-SF01-R8</t>
        </is>
      </c>
      <c r="E369" s="4" t="n">
        <v>100</v>
      </c>
      <c r="F369" s="4" t="inlineStr">
        <is>
          <t>16.8 Schnittstellen zur Feuerwehr / Brandschutzdienststelle dokumentiert (Feuerwehrplan, Schlüsseldepot)? = Nein</t>
        </is>
      </c>
      <c r="G369" s="4" t="inlineStr">
        <is>
          <t>Mittel</t>
        </is>
      </c>
      <c r="H369" s="4" t="inlineStr">
        <is>
          <t>HIGH_CONFIDENCE</t>
        </is>
      </c>
      <c r="I369" s="4" t="inlineStr"/>
      <c r="J369" s="4" t="inlineStr">
        <is>
          <t>Bei Beeinträchtigung einer erforderlichen Feuerwehrfunktion Nutzung/Sonderbetrieb bis zur Klärung absichern.</t>
        </is>
      </c>
      <c r="K369" s="4" t="inlineStr">
        <is>
          <t>Anforderung mit Brandschutz-/Feuerwehr-/Aufzugsfachplanung abstimmen und nachweisen.</t>
        </is>
      </c>
      <c r="L369" s="4" t="inlineStr">
        <is>
          <t>Entschieden 2026-09-02: K-SF1.</t>
        </is>
      </c>
      <c r="M369" s="3" t="n"/>
      <c r="N369" s="3" t="n"/>
    </row>
    <row r="370">
      <c r="A370" s="2" t="inlineStr">
        <is>
          <t>MF-SF01</t>
        </is>
      </c>
      <c r="B370" s="2" t="inlineStr">
        <is>
          <t>Feuerwehraufzug / gebäudeseitige Sonderfunktionen nicht nachgewiesen</t>
        </is>
      </c>
      <c r="C370" s="2" t="inlineStr">
        <is>
          <t>Sonderfunktionen</t>
        </is>
      </c>
      <c r="D370" s="2" t="inlineStr">
        <is>
          <t>MF-SF01-R9</t>
        </is>
      </c>
      <c r="E370" s="2" t="n">
        <v>100</v>
      </c>
      <c r="F370" s="2" t="inlineStr">
        <is>
          <t>16.9 Betreiberorganisation auf den Sonderbetrieb abgestimmt (Zuständigkeit, Unterweisung, Übungen)? = Nein</t>
        </is>
      </c>
      <c r="G370" s="2" t="inlineStr">
        <is>
          <t>Hoch</t>
        </is>
      </c>
      <c r="H370" s="2" t="inlineStr">
        <is>
          <t>HIGH_CONFIDENCE</t>
        </is>
      </c>
      <c r="I370" s="2" t="inlineStr"/>
      <c r="J370" s="2" t="inlineStr">
        <is>
          <t>Bei Beeinträchtigung einer erforderlichen Feuerwehrfunktion Nutzung/Sonderbetrieb bis zur Klärung absichern.</t>
        </is>
      </c>
      <c r="K370" s="2" t="inlineStr">
        <is>
          <t>Anforderung mit Brandschutz-/Feuerwehr-/Aufzugsfachplanung abstimmen und nachweisen.</t>
        </is>
      </c>
      <c r="L370" s="2" t="inlineStr">
        <is>
          <t>Entschieden 2026-09-02: K-SF1.</t>
        </is>
      </c>
      <c r="M370" s="3" t="n"/>
      <c r="N370" s="3" t="n"/>
    </row>
    <row r="371">
      <c r="A371" s="4" t="inlineStr">
        <is>
          <t>MF-SF01</t>
        </is>
      </c>
      <c r="B371" s="4" t="inlineStr">
        <is>
          <t>Feuerwehraufzug / gebäudeseitige Sonderfunktionen nicht nachgewiesen</t>
        </is>
      </c>
      <c r="C371" s="4" t="inlineStr">
        <is>
          <t>Sonderfunktionen</t>
        </is>
      </c>
      <c r="D371" s="4" t="inlineStr">
        <is>
          <t>MF-SF01-R10</t>
        </is>
      </c>
      <c r="E371" s="4" t="n">
        <v>100</v>
      </c>
      <c r="F371" s="4" t="inlineStr">
        <is>
          <t>16.10 Cyber-Auswirkungen auf die Feuerwehrfunktionen gesondert betrachtet? = Nein</t>
        </is>
      </c>
      <c r="G371" s="4" t="inlineStr">
        <is>
          <t>Mittel</t>
        </is>
      </c>
      <c r="H371" s="4" t="inlineStr">
        <is>
          <t>HIGH_CONFIDENCE</t>
        </is>
      </c>
      <c r="I371" s="4" t="inlineStr"/>
      <c r="J371" s="4" t="inlineStr">
        <is>
          <t>Bei Beeinträchtigung einer erforderlichen Feuerwehrfunktion Nutzung/Sonderbetrieb bis zur Klärung absichern.</t>
        </is>
      </c>
      <c r="K371" s="4" t="inlineStr">
        <is>
          <t>Anforderung mit Brandschutz-/Feuerwehr-/Aufzugsfachplanung abstimmen und nachweisen.</t>
        </is>
      </c>
      <c r="L371" s="4" t="inlineStr">
        <is>
          <t>Entschieden 2026-09-02: K-SF1.</t>
        </is>
      </c>
      <c r="M371" s="3" t="n"/>
      <c r="N371" s="3" t="n"/>
    </row>
    <row r="372">
      <c r="A372" s="2" t="inlineStr">
        <is>
          <t>MF-SF01</t>
        </is>
      </c>
      <c r="B372" s="2" t="inlineStr">
        <is>
          <t>Feuerwehraufzug / gebäudeseitige Sonderfunktionen nicht nachgewiesen</t>
        </is>
      </c>
      <c r="C372" s="2" t="inlineStr">
        <is>
          <t>Sonderfunktionen</t>
        </is>
      </c>
      <c r="D372" s="2" t="inlineStr">
        <is>
          <t>MF-SF01-R11</t>
        </is>
      </c>
      <c r="E372" s="2" t="n">
        <v>1</v>
      </c>
      <c r="F372" s="2" t="inlineStr">
        <is>
          <t>16.1 Anforderungen und Unterlagen des Feuerwehraufzugs (EN 81-72, Brandschutzkonzept) vorhanden und erfüllt? beantwortet</t>
        </is>
      </c>
      <c r="G372" s="2" t="inlineStr">
        <is>
          <t>Kein Risiko</t>
        </is>
      </c>
      <c r="H372" s="2" t="inlineStr">
        <is>
          <t>HIGH_CONFIDENCE</t>
        </is>
      </c>
      <c r="I372" s="2" t="inlineStr"/>
      <c r="J372" s="2" t="inlineStr">
        <is>
          <t>Zustand erhalten; bei der wiederkehrenden Prüfung und der Betreiberkontrolle erneut prüfen</t>
        </is>
      </c>
      <c r="K372" s="2" t="inlineStr"/>
      <c r="L372" s="2" t="inlineStr">
        <is>
          <t>Kein Risiko: keine Mangelregel trifft zu, alle Pflichtfragen beantwortet.</t>
        </is>
      </c>
      <c r="M372" s="3" t="n"/>
      <c r="N372" s="3" t="n"/>
    </row>
    <row r="373">
      <c r="A373" s="4" t="inlineStr">
        <is>
          <t>MF-D01</t>
        </is>
      </c>
      <c r="B373" s="4" t="inlineStr">
        <is>
          <t>Notfallplan unvollständig oder nicht vorhanden</t>
        </is>
      </c>
      <c r="C373" s="4" t="inlineStr">
        <is>
          <t>Notruf und Personenbefreiung</t>
        </is>
      </c>
      <c r="D373" s="4" t="inlineStr">
        <is>
          <t>MF-D01-R1</t>
        </is>
      </c>
      <c r="E373" s="4" t="n">
        <v>100</v>
      </c>
      <c r="F373" s="4" t="inlineStr">
        <is>
          <t>3.2 Notfallplan für die Anlage vorhanden und aktuell (Ansprechpartner, Befreiungsdienst, Meldewege)? = Nein</t>
        </is>
      </c>
      <c r="G373" s="4" t="inlineStr">
        <is>
          <t>Hoch</t>
        </is>
      </c>
      <c r="H373" s="4" t="inlineStr">
        <is>
          <t>INFERRED</t>
        </is>
      </c>
      <c r="I373" s="4" t="inlineStr"/>
      <c r="J373" s="4" t="inlineStr">
        <is>
          <t>Ansprechpartner und Befreiungsdienst mit Rufnummern am Aufzug aushängen</t>
        </is>
      </c>
      <c r="K373" s="4" t="inlineStr">
        <is>
          <t>Notfallplan nach BetrSichV Anh. 1 Nr. 4.1 erstellen und an der Anlage hinterlegen</t>
        </is>
      </c>
      <c r="L373" s="4" t="inlineStr">
        <is>
          <t>Entschieden 2026-09-02: K-D01.</t>
        </is>
      </c>
      <c r="M373" s="3" t="n"/>
      <c r="N373" s="3" t="n"/>
    </row>
    <row r="374">
      <c r="A374" s="2" t="inlineStr">
        <is>
          <t>MF-D01</t>
        </is>
      </c>
      <c r="B374" s="2" t="inlineStr">
        <is>
          <t>Notfallplan unvollständig oder nicht vorhanden</t>
        </is>
      </c>
      <c r="C374" s="2" t="inlineStr">
        <is>
          <t>Notruf und Personenbefreiung</t>
        </is>
      </c>
      <c r="D374" s="2" t="inlineStr">
        <is>
          <t>MF-D01-R2</t>
        </is>
      </c>
      <c r="E374" s="2" t="n">
        <v>1</v>
      </c>
      <c r="F374" s="2" t="inlineStr">
        <is>
          <t>3.2 Notfallplan für die Anlage vorhanden und aktuell (Ansprechpartner, Befreiungsdienst, Meldewege)? beantwortet</t>
        </is>
      </c>
      <c r="G374" s="2" t="inlineStr">
        <is>
          <t>Kein Risiko</t>
        </is>
      </c>
      <c r="H374" s="2" t="inlineStr">
        <is>
          <t>HIGH_CONFIDENCE</t>
        </is>
      </c>
      <c r="I374" s="2" t="inlineStr"/>
      <c r="J374" s="2" t="inlineStr">
        <is>
          <t>Zustand erhalten; bei der wiederkehrenden Prüfung und der Betreiberkontrolle erneut prüfen</t>
        </is>
      </c>
      <c r="K374" s="2" t="inlineStr"/>
      <c r="L374" s="2" t="inlineStr">
        <is>
          <t>Kein Risiko: keine Mangelregel trifft zu, alle Pflichtfragen beantwortet.</t>
        </is>
      </c>
      <c r="M374" s="3" t="n"/>
      <c r="N374" s="3" t="n"/>
    </row>
    <row r="375">
      <c r="A375" s="4" t="inlineStr">
        <is>
          <t>MF-D02</t>
        </is>
      </c>
      <c r="B375" s="4" t="inlineStr">
        <is>
          <t>Keine oder unpassende Notbefreiungsanleitung</t>
        </is>
      </c>
      <c r="C375" s="4" t="inlineStr">
        <is>
          <t>Notruf und Personenbefreiung</t>
        </is>
      </c>
      <c r="D375" s="4" t="inlineStr">
        <is>
          <t>MF-D02-R1</t>
        </is>
      </c>
      <c r="E375" s="4" t="n">
        <v>100</v>
      </c>
      <c r="F375" s="4" t="inlineStr">
        <is>
          <t>3.3 Anlagenbezogene Notbefreiungs-/Evakuierungsanleitung = „Nicht vorhanden"</t>
        </is>
      </c>
      <c r="G375" s="4" t="inlineStr">
        <is>
          <t>Hoch</t>
        </is>
      </c>
      <c r="H375" s="4" t="inlineStr">
        <is>
          <t>INFERRED</t>
        </is>
      </c>
      <c r="I375" s="4" t="inlineStr"/>
      <c r="J375" s="4" t="inlineStr">
        <is>
          <t>Personenbefreiung bis zur Bereitstellung nur durch das Wartungsunternehmen</t>
        </is>
      </c>
      <c r="K375" s="4" t="inlineStr">
        <is>
          <t>Anlagenbezogene Notbefreiungsanleitung vom Hersteller/Instandhalter beschaffen und im Triebwerksraum hinterlegen</t>
        </is>
      </c>
      <c r="L375" s="4" t="inlineStr">
        <is>
          <t>Entschieden 2026-09-02: K-M07.</t>
        </is>
      </c>
      <c r="M375" s="3" t="n"/>
      <c r="N375" s="3" t="n"/>
    </row>
    <row r="376">
      <c r="A376" s="2" t="inlineStr">
        <is>
          <t>MF-D02</t>
        </is>
      </c>
      <c r="B376" s="2" t="inlineStr">
        <is>
          <t>Keine oder unpassende Notbefreiungsanleitung</t>
        </is>
      </c>
      <c r="C376" s="2" t="inlineStr">
        <is>
          <t>Notruf und Personenbefreiung</t>
        </is>
      </c>
      <c r="D376" s="2" t="inlineStr">
        <is>
          <t>MF-D02-R2</t>
        </is>
      </c>
      <c r="E376" s="2" t="n">
        <v>100</v>
      </c>
      <c r="F376" s="2" t="inlineStr">
        <is>
          <t>3.3 Anlagenbezogene Notbefreiungs-/Evakuierungsanleitung = „Vorhanden, aber veraltet oder nicht zur Anlage passend"</t>
        </is>
      </c>
      <c r="G376" s="2" t="inlineStr">
        <is>
          <t>Mittel</t>
        </is>
      </c>
      <c r="H376" s="2" t="inlineStr">
        <is>
          <t>HIGH_CONFIDENCE</t>
        </is>
      </c>
      <c r="I376" s="2" t="inlineStr"/>
      <c r="J376" s="2" t="inlineStr">
        <is>
          <t>Anleitung bereitstellen und bekannt machen</t>
        </is>
      </c>
      <c r="K376" s="2" t="inlineStr">
        <is>
          <t>Aktuelle Notbefreiungsanleitung dauerhaft aushängen</t>
        </is>
      </c>
      <c r="L376" s="2" t="inlineStr">
        <is>
          <t>Entschieden 2026-09-02: K-M07.</t>
        </is>
      </c>
      <c r="M376" s="3" t="n"/>
      <c r="N376" s="3" t="n"/>
    </row>
    <row r="377">
      <c r="A377" s="4" t="inlineStr">
        <is>
          <t>MF-D02</t>
        </is>
      </c>
      <c r="B377" s="4" t="inlineStr">
        <is>
          <t>Keine oder unpassende Notbefreiungsanleitung</t>
        </is>
      </c>
      <c r="C377" s="4" t="inlineStr">
        <is>
          <t>Notruf und Personenbefreiung</t>
        </is>
      </c>
      <c r="D377" s="4" t="inlineStr">
        <is>
          <t>MF-D02-R3</t>
        </is>
      </c>
      <c r="E377" s="4" t="n">
        <v>1</v>
      </c>
      <c r="F377" s="4" t="inlineStr">
        <is>
          <t>3.3 Anlagenbezogene Notbefreiungs-/Evakuierungsanleitung beantwortet</t>
        </is>
      </c>
      <c r="G377" s="4" t="inlineStr">
        <is>
          <t>Kein Risiko</t>
        </is>
      </c>
      <c r="H377" s="4" t="inlineStr">
        <is>
          <t>HIGH_CONFIDENCE</t>
        </is>
      </c>
      <c r="I377" s="4" t="inlineStr"/>
      <c r="J377" s="4" t="inlineStr">
        <is>
          <t>Zustand erhalten; bei der wiederkehrenden Prüfung und der Betreiberkontrolle erneut prüfen</t>
        </is>
      </c>
      <c r="K377" s="4" t="inlineStr"/>
      <c r="L377" s="4" t="inlineStr">
        <is>
          <t>Kein Risiko: keine Mangelregel trifft zu, alle Pflichtfragen beantwortet.</t>
        </is>
      </c>
      <c r="M377" s="3" t="n"/>
      <c r="N377" s="3" t="n"/>
    </row>
    <row r="378">
      <c r="A378" s="2" t="inlineStr">
        <is>
          <t>MF-D03</t>
        </is>
      </c>
      <c r="B378" s="2" t="inlineStr">
        <is>
          <t>Wartungsunterlagen fehlen oder keine regelmäßige Instandhaltung</t>
        </is>
      </c>
      <c r="C378" s="2" t="inlineStr">
        <is>
          <t>Beschilderung und Unterlagen</t>
        </is>
      </c>
      <c r="D378" s="2" t="inlineStr">
        <is>
          <t>MF-D03-R1</t>
        </is>
      </c>
      <c r="E378" s="2" t="n">
        <v>100</v>
      </c>
      <c r="F378" s="2" t="inlineStr">
        <is>
          <t>3.10 Wird die Anlage regelmäßig durch ein Fachunternehmen instand gehalten (Wartungsvertrag)? = Nein</t>
        </is>
      </c>
      <c r="G378" s="2" t="inlineStr">
        <is>
          <t>Hoch</t>
        </is>
      </c>
      <c r="H378" s="2" t="inlineStr">
        <is>
          <t>INFERRED</t>
        </is>
      </c>
      <c r="I378" s="2" t="inlineStr"/>
      <c r="J378" s="2" t="inlineStr">
        <is>
          <t>Betreiber auf die Instandhaltungspflicht hinweisen; Zustand der Anlage prüfen</t>
        </is>
      </c>
      <c r="K378" s="2" t="inlineStr">
        <is>
          <t>Instandhaltungsvertrag mit einem Fachunternehmen abschließen (BetrSichV § 10)</t>
        </is>
      </c>
      <c r="L378" s="2" t="inlineStr">
        <is>
          <t>Entschieden 2026-09-02: K-D02.</t>
        </is>
      </c>
      <c r="M378" s="3" t="n"/>
      <c r="N378" s="3" t="n"/>
    </row>
    <row r="379">
      <c r="A379" s="4" t="inlineStr">
        <is>
          <t>MF-D03</t>
        </is>
      </c>
      <c r="B379" s="4" t="inlineStr">
        <is>
          <t>Wartungsunterlagen fehlen oder keine regelmäßige Instandhaltung</t>
        </is>
      </c>
      <c r="C379" s="4" t="inlineStr">
        <is>
          <t>Beschilderung und Unterlagen</t>
        </is>
      </c>
      <c r="D379" s="4" t="inlineStr">
        <is>
          <t>MF-D03-R2</t>
        </is>
      </c>
      <c r="E379" s="4" t="n">
        <v>100</v>
      </c>
      <c r="F379" s="4" t="inlineStr">
        <is>
          <t>3.9 Wartungsunterlagen und Prüfbuch vorhanden und aktuell? = Nein</t>
        </is>
      </c>
      <c r="G379" s="4" t="inlineStr">
        <is>
          <t>Mittel</t>
        </is>
      </c>
      <c r="H379" s="4" t="inlineStr">
        <is>
          <t>INFERRED</t>
        </is>
      </c>
      <c r="I379" s="4" t="inlineStr"/>
      <c r="J379" s="4" t="inlineStr">
        <is>
          <t>Vorhandene Unterlagen beim Instandhalter anfordern</t>
        </is>
      </c>
      <c r="K379" s="4" t="inlineStr">
        <is>
          <t>Prüfbuch und Wartungsnachweise an der Anlage oder beim Betreiber führen</t>
        </is>
      </c>
      <c r="L379" s="4" t="inlineStr"/>
      <c r="M379" s="3" t="n"/>
      <c r="N379" s="3" t="n"/>
    </row>
    <row r="380">
      <c r="A380" s="2" t="inlineStr">
        <is>
          <t>MF-D03</t>
        </is>
      </c>
      <c r="B380" s="2" t="inlineStr">
        <is>
          <t>Wartungsunterlagen fehlen oder keine regelmäßige Instandhaltung</t>
        </is>
      </c>
      <c r="C380" s="2" t="inlineStr">
        <is>
          <t>Beschilderung und Unterlagen</t>
        </is>
      </c>
      <c r="D380" s="2" t="inlineStr">
        <is>
          <t>MF-D03-R3</t>
        </is>
      </c>
      <c r="E380" s="2" t="n">
        <v>1</v>
      </c>
      <c r="F380" s="2" t="inlineStr">
        <is>
          <t>3.9 Wartungsunterlagen und Prüfbuch vorhanden und aktuell? beantwortet</t>
        </is>
      </c>
      <c r="G380" s="2" t="inlineStr">
        <is>
          <t>Kein Risiko</t>
        </is>
      </c>
      <c r="H380" s="2" t="inlineStr">
        <is>
          <t>HIGH_CONFIDENCE</t>
        </is>
      </c>
      <c r="I380" s="2" t="inlineStr"/>
      <c r="J380" s="2" t="inlineStr">
        <is>
          <t>Zustand erhalten; bei der wiederkehrenden Prüfung und der Betreiberkontrolle erneut prüfen</t>
        </is>
      </c>
      <c r="K380" s="2" t="inlineStr"/>
      <c r="L380" s="2" t="inlineStr">
        <is>
          <t>Kein Risiko: keine Mangelregel trifft zu, alle Pflichtfragen beantwortet.</t>
        </is>
      </c>
      <c r="M380" s="3" t="n"/>
      <c r="N380" s="3" t="n"/>
    </row>
    <row r="381">
      <c r="A381" s="4" t="inlineStr">
        <is>
          <t>MF-D04</t>
        </is>
      </c>
      <c r="B381" s="4" t="inlineStr">
        <is>
          <t>Prüfplakette fehlt oder Prüffrist der ZÜS überschritten</t>
        </is>
      </c>
      <c r="C381" s="4" t="inlineStr">
        <is>
          <t>Beschilderung und Unterlagen</t>
        </is>
      </c>
      <c r="D381" s="4" t="inlineStr">
        <is>
          <t>MF-D04-R1</t>
        </is>
      </c>
      <c r="E381" s="4" t="n">
        <v>100</v>
      </c>
      <c r="F381" s="4" t="inlineStr">
        <is>
          <t>3.8 Prüffrist der wiederkehrenden Prüfung (ZÜS) überschritten? = Ja</t>
        </is>
      </c>
      <c r="G381" s="4" t="inlineStr">
        <is>
          <t>Hoch</t>
        </is>
      </c>
      <c r="H381" s="4" t="inlineStr">
        <is>
          <t>INFERRED</t>
        </is>
      </c>
      <c r="I381" s="4" t="inlineStr"/>
      <c r="J381" s="4" t="inlineStr">
        <is>
          <t>Betreiber informieren; Prüfung durch die ZÜS unverzüglich veranlassen</t>
        </is>
      </c>
      <c r="K381" s="4" t="inlineStr">
        <is>
          <t>Prüffristen im Prüfbuch führen und Wiedervorlage einrichten</t>
        </is>
      </c>
      <c r="L381" s="4" t="inlineStr">
        <is>
          <t>Entschieden 2026-09-02: K-D03.</t>
        </is>
      </c>
      <c r="M381" s="3" t="n"/>
      <c r="N381" s="3" t="n"/>
    </row>
    <row r="382">
      <c r="A382" s="2" t="inlineStr">
        <is>
          <t>MF-D04</t>
        </is>
      </c>
      <c r="B382" s="2" t="inlineStr">
        <is>
          <t>Prüfplakette fehlt oder Prüffrist der ZÜS überschritten</t>
        </is>
      </c>
      <c r="C382" s="2" t="inlineStr">
        <is>
          <t>Beschilderung und Unterlagen</t>
        </is>
      </c>
      <c r="D382" s="2" t="inlineStr">
        <is>
          <t>MF-D04-R2</t>
        </is>
      </c>
      <c r="E382" s="2" t="n">
        <v>100</v>
      </c>
      <c r="F382" s="2" t="inlineStr">
        <is>
          <t>3.6 Prüfplakette der ZÜS vorhanden und lesbar? = Nein</t>
        </is>
      </c>
      <c r="G382" s="2" t="inlineStr">
        <is>
          <t>Mittel</t>
        </is>
      </c>
      <c r="H382" s="2" t="inlineStr">
        <is>
          <t>INFERRED</t>
        </is>
      </c>
      <c r="I382" s="2" t="inlineStr"/>
      <c r="J382" s="2" t="inlineStr">
        <is>
          <t>Prüfbescheinigung einsehen; Plakette nachbeschaffen</t>
        </is>
      </c>
      <c r="K382" s="2" t="inlineStr">
        <is>
          <t>Prüfplakette im Fahrkorb anbringen (BetrSichV § 17 Abs. 3)</t>
        </is>
      </c>
      <c r="L382" s="2" t="inlineStr">
        <is>
          <t>Entschieden 2026-09-02: K-D03.</t>
        </is>
      </c>
      <c r="M382" s="3" t="n"/>
      <c r="N382" s="3" t="n"/>
    </row>
    <row r="383">
      <c r="A383" s="4" t="inlineStr">
        <is>
          <t>MF-D04</t>
        </is>
      </c>
      <c r="B383" s="4" t="inlineStr">
        <is>
          <t>Prüfplakette fehlt oder Prüffrist der ZÜS überschritten</t>
        </is>
      </c>
      <c r="C383" s="4" t="inlineStr">
        <is>
          <t>Beschilderung und Unterlagen</t>
        </is>
      </c>
      <c r="D383" s="4" t="inlineStr">
        <is>
          <t>MF-D04-R3</t>
        </is>
      </c>
      <c r="E383" s="4" t="n">
        <v>1</v>
      </c>
      <c r="F383" s="4" t="inlineStr">
        <is>
          <t>3.6 Prüfplakette der ZÜS vorhanden und lesbar? beantwortet</t>
        </is>
      </c>
      <c r="G383" s="4" t="inlineStr">
        <is>
          <t>Kein Risiko</t>
        </is>
      </c>
      <c r="H383" s="4" t="inlineStr">
        <is>
          <t>HIGH_CONFIDENCE</t>
        </is>
      </c>
      <c r="I383" s="4" t="inlineStr"/>
      <c r="J383" s="4" t="inlineStr">
        <is>
          <t>Zustand erhalten; bei der wiederkehrenden Prüfung und der Betreiberkontrolle erneut prüfen</t>
        </is>
      </c>
      <c r="K383" s="4" t="inlineStr"/>
      <c r="L383" s="4" t="inlineStr">
        <is>
          <t>Kein Risiko: keine Mangelregel trifft zu, alle Pflichtfragen beantwortet.</t>
        </is>
      </c>
      <c r="M383" s="3" t="n"/>
      <c r="N383" s="3" t="n"/>
    </row>
    <row r="384">
      <c r="A384" s="2" t="inlineStr">
        <is>
          <t>MF-D05</t>
        </is>
      </c>
      <c r="B384" s="2" t="inlineStr">
        <is>
          <t>Betreiberorganisation: beauftragte Person, Unterweisung, Betriebsanweisung, Zutrittsregelung</t>
        </is>
      </c>
      <c r="C384" s="2" t="inlineStr">
        <is>
          <t>Betreiberorganisation</t>
        </is>
      </c>
      <c r="D384" s="2" t="inlineStr">
        <is>
          <t>MF-D05-R1</t>
        </is>
      </c>
      <c r="E384" s="2" t="n">
        <v>100</v>
      </c>
      <c r="F384" s="2" t="inlineStr">
        <is>
          <t>E1 Beauftragte Person für die Aufzugsanlage (Aufzugswärter) schriftlich benannt? = Nein</t>
        </is>
      </c>
      <c r="G384" s="2" t="inlineStr">
        <is>
          <t>Mittel</t>
        </is>
      </c>
      <c r="H384" s="2" t="inlineStr">
        <is>
          <t>INFERRED</t>
        </is>
      </c>
      <c r="I384" s="2" t="inlineStr"/>
      <c r="J384" s="2" t="inlineStr">
        <is>
          <t>Betreiber auf die Pflicht zur Benennung einer beauftragten Person hinweisen</t>
        </is>
      </c>
      <c r="K384" s="2" t="inlineStr">
        <is>
          <t>Beauftragte Person schriftlich bestellen und anlagenbezogen einweisen (BetrSichV Anh. 1 Nr. 4)</t>
        </is>
      </c>
      <c r="L384" s="2" t="inlineStr">
        <is>
          <t>Entschieden 2026-09-02: K-D04.</t>
        </is>
      </c>
      <c r="M384" s="3" t="n"/>
      <c r="N384" s="3" t="n"/>
    </row>
    <row r="385">
      <c r="A385" s="4" t="inlineStr">
        <is>
          <t>MF-D05</t>
        </is>
      </c>
      <c r="B385" s="4" t="inlineStr">
        <is>
          <t>Betreiberorganisation: beauftragte Person, Unterweisung, Betriebsanweisung, Zutrittsregelung</t>
        </is>
      </c>
      <c r="C385" s="4" t="inlineStr">
        <is>
          <t>Betreiberorganisation</t>
        </is>
      </c>
      <c r="D385" s="4" t="inlineStr">
        <is>
          <t>MF-D05-R2</t>
        </is>
      </c>
      <c r="E385" s="4" t="n">
        <v>100</v>
      </c>
      <c r="F385" s="4" t="inlineStr">
        <is>
          <t>E2 Unterweisung der beauftragten Person dokumentiert? = Nein</t>
        </is>
      </c>
      <c r="G385" s="4" t="inlineStr">
        <is>
          <t>Mittel</t>
        </is>
      </c>
      <c r="H385" s="4" t="inlineStr">
        <is>
          <t>INFERRED</t>
        </is>
      </c>
      <c r="I385" s="4" t="inlineStr"/>
      <c r="J385" s="4" t="inlineStr">
        <is>
          <t>Unterweisung nachholen</t>
        </is>
      </c>
      <c r="K385" s="4" t="inlineStr">
        <is>
          <t>Unterweisung jährlich wiederholen und dokumentieren</t>
        </is>
      </c>
      <c r="L385" s="4" t="inlineStr">
        <is>
          <t>Entschieden 2026-09-02: K-D04.</t>
        </is>
      </c>
      <c r="M385" s="3" t="n"/>
      <c r="N385" s="3" t="n"/>
    </row>
    <row r="386">
      <c r="A386" s="2" t="inlineStr">
        <is>
          <t>MF-D05</t>
        </is>
      </c>
      <c r="B386" s="2" t="inlineStr">
        <is>
          <t>Betreiberorganisation: beauftragte Person, Unterweisung, Betriebsanweisung, Zutrittsregelung</t>
        </is>
      </c>
      <c r="C386" s="2" t="inlineStr">
        <is>
          <t>Betreiberorganisation</t>
        </is>
      </c>
      <c r="D386" s="2" t="inlineStr">
        <is>
          <t>MF-D05-R3</t>
        </is>
      </c>
      <c r="E386" s="2" t="n">
        <v>100</v>
      </c>
      <c r="F386" s="2" t="inlineStr">
        <is>
          <t>E3 Betriebsanweisung für die Anlage vorhanden und ausgehängt? = Nein</t>
        </is>
      </c>
      <c r="G386" s="2" t="inlineStr">
        <is>
          <t>Mittel</t>
        </is>
      </c>
      <c r="H386" s="2" t="inlineStr">
        <is>
          <t>INFERRED</t>
        </is>
      </c>
      <c r="I386" s="2" t="inlineStr"/>
      <c r="J386" s="2" t="inlineStr">
        <is>
          <t>Vorläufige Betriebsanweisung mit Verhalten bei Störung und Personeneinschluss aushängen</t>
        </is>
      </c>
      <c r="K386" s="2" t="inlineStr">
        <is>
          <t>Anlagenbezogene Betriebsanweisung nach BetrSichV § 12 erstellen</t>
        </is>
      </c>
      <c r="L386" s="2" t="inlineStr">
        <is>
          <t>Entschieden 2026-09-02: K-D04.</t>
        </is>
      </c>
      <c r="M386" s="3" t="n"/>
      <c r="N386" s="3" t="n"/>
    </row>
    <row r="387">
      <c r="A387" s="4" t="inlineStr">
        <is>
          <t>MF-D05</t>
        </is>
      </c>
      <c r="B387" s="4" t="inlineStr">
        <is>
          <t>Betreiberorganisation: beauftragte Person, Unterweisung, Betriebsanweisung, Zutrittsregelung</t>
        </is>
      </c>
      <c r="C387" s="4" t="inlineStr">
        <is>
          <t>Betreiberorganisation</t>
        </is>
      </c>
      <c r="D387" s="4" t="inlineStr">
        <is>
          <t>MF-D05-R4</t>
        </is>
      </c>
      <c r="E387" s="4" t="n">
        <v>100</v>
      </c>
      <c r="F387" s="4" t="inlineStr">
        <is>
          <t>E4 Zutritt zum Triebwerksraum / Steuerschrank organisatorisch geregelt (Schlüsselverwaltung, nur befugte Personen)? = Nein</t>
        </is>
      </c>
      <c r="G387" s="4" t="inlineStr">
        <is>
          <t>Mittel</t>
        </is>
      </c>
      <c r="H387" s="4" t="inlineStr">
        <is>
          <t>INFERRED</t>
        </is>
      </c>
      <c r="I387" s="4" t="inlineStr"/>
      <c r="J387" s="4" t="inlineStr">
        <is>
          <t>Triebwerksraum abschließen, Schlüsselausgabe nur an befugte Personen</t>
        </is>
      </c>
      <c r="K387" s="4" t="inlineStr">
        <is>
          <t>Zutrittsregelung in der Betriebsanweisung festlegen</t>
        </is>
      </c>
      <c r="L387" s="4" t="inlineStr">
        <is>
          <t>Entschieden 2026-09-02: K-D04.</t>
        </is>
      </c>
      <c r="M387" s="3" t="n"/>
      <c r="N387" s="3" t="n"/>
    </row>
    <row r="388">
      <c r="A388" s="2" t="inlineStr">
        <is>
          <t>MF-D05</t>
        </is>
      </c>
      <c r="B388" s="2" t="inlineStr">
        <is>
          <t>Betreiberorganisation: beauftragte Person, Unterweisung, Betriebsanweisung, Zutrittsregelung</t>
        </is>
      </c>
      <c r="C388" s="2" t="inlineStr">
        <is>
          <t>Betreiberorganisation</t>
        </is>
      </c>
      <c r="D388" s="2" t="inlineStr">
        <is>
          <t>MF-D05-R5</t>
        </is>
      </c>
      <c r="E388" s="2" t="n">
        <v>1</v>
      </c>
      <c r="F388" s="2" t="inlineStr">
        <is>
          <t>E1 Beauftragte Person für die Aufzugsanlage (Aufzugswärter) schriftlich benannt? beantwortet</t>
        </is>
      </c>
      <c r="G388" s="2" t="inlineStr">
        <is>
          <t>Kein Risiko</t>
        </is>
      </c>
      <c r="H388" s="2" t="inlineStr">
        <is>
          <t>HIGH_CONFIDENCE</t>
        </is>
      </c>
      <c r="I388" s="2" t="inlineStr"/>
      <c r="J388" s="2" t="inlineStr">
        <is>
          <t>Zustand erhalten; bei der wiederkehrenden Prüfung und der Betreiberkontrolle erneut prüfen</t>
        </is>
      </c>
      <c r="K388" s="2" t="inlineStr"/>
      <c r="L388" s="2" t="inlineStr">
        <is>
          <t>Kein Risiko: keine Mangelregel trifft zu, alle Pflichtfragen beantwortet.</t>
        </is>
      </c>
      <c r="M388" s="3" t="n"/>
      <c r="N388" s="3" t="n"/>
    </row>
  </sheetData>
  <autoFilter ref="A1:N388"/>
  <dataValidations count="1">
    <dataValidation sqref="M2:M388" showDropDown="0" showInputMessage="0" showErrorMessage="0" allowBlank="1" type="list">
      <formula1>"OK,Ändern"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24" customWidth="1" min="3" max="3"/>
    <col width="28" customWidth="1" min="4" max="4"/>
    <col width="11" customWidth="1" min="5" max="5"/>
    <col width="40" customWidth="1" min="6" max="6"/>
    <col width="26" customWidth="1" min="7" max="7"/>
    <col width="70" customWidth="1" min="8" max="8"/>
    <col width="40" customWidth="1" min="9" max="9"/>
    <col width="12" customWidth="1" min="10" max="10"/>
    <col width="8" customWidth="1" min="11" max="11"/>
  </cols>
  <sheetData>
    <row r="1" ht="30" customHeight="1">
      <c r="A1" s="1" t="inlineStr">
        <is>
          <t>Code</t>
        </is>
      </c>
      <c r="B1" s="1" t="inlineStr">
        <is>
          <t>Titel</t>
        </is>
      </c>
      <c r="C1" s="1" t="inlineStr">
        <is>
          <t>Baugruppe</t>
        </is>
      </c>
      <c r="D1" s="1" t="inlineStr">
        <is>
          <t>Erhebungsbereich</t>
        </is>
      </c>
      <c r="E1" s="1" t="inlineStr">
        <is>
          <t>Aggregation</t>
        </is>
      </c>
      <c r="F1" s="1" t="inlineStr">
        <is>
          <t>Gefährdungsfaktor</t>
        </is>
      </c>
      <c r="G1" s="1" t="inlineStr">
        <is>
          <t>Personengruppen</t>
        </is>
      </c>
      <c r="H1" s="1" t="inlineStr">
        <is>
          <t>Fragen (Rolle · Pflicht)</t>
        </is>
      </c>
      <c r="I1" s="1" t="inlineStr">
        <is>
          <t>Norm-/Quellenbezug</t>
        </is>
      </c>
      <c r="J1" s="1" t="inlineStr">
        <is>
          <t>Klärung</t>
        </is>
      </c>
      <c r="K1" s="1" t="inlineStr">
        <is>
          <t>Regeln</t>
        </is>
      </c>
    </row>
    <row r="2">
      <c r="A2" s="2" t="inlineStr">
        <is>
          <t>MF-Z01</t>
        </is>
      </c>
      <c r="B2" s="2" t="inlineStr">
        <is>
          <t>Unzureichende Beleuchtung an den Zuwegen zum Triebwerks-/Steuerungsraum</t>
        </is>
      </c>
      <c r="C2" s="2" t="inlineStr">
        <is>
          <t>Beleuchtung</t>
        </is>
      </c>
      <c r="D2" s="2" t="inlineStr">
        <is>
          <t>Z – Zugang zum Triebwerks-/Steuerungsraum</t>
        </is>
      </c>
      <c r="E2" s="2" t="inlineStr">
        <is>
          <t>MAXIMUM</t>
        </is>
      </c>
      <c r="F2" s="2" t="inlineStr">
        <is>
          <t>Gefährdung durch Arbeitsumgebungsbedingungen (unzureichende Beleuchtung)</t>
        </is>
      </c>
      <c r="G2" s="2" t="inlineStr">
        <is>
          <t>Beauftragte Person, Wartungspersonal</t>
        </is>
      </c>
      <c r="H2" s="2" t="inlineStr">
        <is>
          <t>5.1 Beleuchtung an den Zuwegen zum Triebwerks-/Steuerungsraum vorhanden? [Auslöser · Pflicht]
5.2 Beleuchtung an den Zuwegen ausreichend (mind. 50 Lux, funktionsfähig, Leuchten an geeigneter Stelle)? [Auslöser · bedingt Pflicht]
5.2a Defekte Leuchten oder Leuchtkörper an den Zuwegen? [optional · bedingt Pflicht]</t>
        </is>
      </c>
      <c r="I2" s="2" t="inlineStr">
        <is>
          <t>ASR A3.4</t>
        </is>
      </c>
      <c r="J2" s="2" t="inlineStr"/>
      <c r="K2" s="2" t="n">
        <v>4</v>
      </c>
    </row>
    <row r="3">
      <c r="A3" s="4" t="inlineStr">
        <is>
          <t>MF-Z02</t>
        </is>
      </c>
      <c r="B3" s="4" t="inlineStr">
        <is>
          <t>Unsicherer Verkehrsweg zum Triebwerks-/Steuerungsraum (Rutschen, Stolpern, Enge)</t>
        </is>
      </c>
      <c r="C3" s="4" t="inlineStr">
        <is>
          <t>Zugang und Verkehrswege</t>
        </is>
      </c>
      <c r="D3" s="4" t="inlineStr">
        <is>
          <t>Z – Zugang zum Triebwerks-/Steuerungsraum</t>
        </is>
      </c>
      <c r="E3" s="4" t="inlineStr">
        <is>
          <t>MAXIMUM</t>
        </is>
      </c>
      <c r="F3" s="4" t="inlineStr">
        <is>
          <t>Mechanische Gefährdung durch Stolpern, Rutschen, Stürzen</t>
        </is>
      </c>
      <c r="G3" s="4" t="inlineStr">
        <is>
          <t>Beauftragte Person, Wartungspersonal</t>
        </is>
      </c>
      <c r="H3" s="4" t="inlineStr">
        <is>
          <t>5.3 Sicherer, freier Verkehrsweg zum Triebwerks-/Steuerungsraum (trocken, sauber, ohne Stolperstellen, ohne Absturzkante)? [Auslöser · Pflicht]
5.3a Verkehrsweg rutschig, glatt oder verschmutzt? [optional]
5.3b Stolperstellen auf dem Verkehrsweg? [optional]
5.4 Enge oder niedrige Durchgänge (Breite &lt; 0,60 m oder Höhe &lt; 2,00 m)? [Dokumentation]</t>
        </is>
      </c>
      <c r="I3" s="4" t="inlineStr">
        <is>
          <t>DIN EN 81-20 5.2.2.1</t>
        </is>
      </c>
      <c r="J3" s="4" t="inlineStr"/>
      <c r="K3" s="4" t="n">
        <v>2</v>
      </c>
    </row>
    <row r="4">
      <c r="A4" s="2" t="inlineStr">
        <is>
          <t>MF-Z03</t>
        </is>
      </c>
      <c r="B4" s="2" t="inlineStr">
        <is>
          <t>Unsicherer Aufstieg (Treppe, Leiter) zum Triebwerksraum</t>
        </is>
      </c>
      <c r="C4" s="2" t="inlineStr">
        <is>
          <t>Zugang und Verkehrswege</t>
        </is>
      </c>
      <c r="D4" s="2" t="inlineStr">
        <is>
          <t>Z – Zugang zum Triebwerks-/Steuerungsraum</t>
        </is>
      </c>
      <c r="E4" s="2" t="inlineStr">
        <is>
          <t>MAXIMUM</t>
        </is>
      </c>
      <c r="F4" s="2" t="inlineStr">
        <is>
          <t>Mechanische Gefährdung durch Absturz</t>
        </is>
      </c>
      <c r="G4" s="2" t="inlineStr">
        <is>
          <t>Beauftragte Person, Wartungspersonal</t>
        </is>
      </c>
      <c r="H4" s="2" t="inlineStr">
        <is>
          <t>5.5 Art des Aufstiegs zum Triebwerksraum [Auslöser · Pflicht]
5.6 Bruch- oder Kippgefahr am Aufstieg (beschädigte Stufen, lose Leiter, fehlende Befestigung)? [Auslöser · bedingt Pflicht]</t>
        </is>
      </c>
      <c r="I4" s="2" t="inlineStr">
        <is>
          <t>DIN EN 81-20 5.2.2.2; ASR A1.8</t>
        </is>
      </c>
      <c r="J4" s="2" t="inlineStr">
        <is>
          <t>K-Z04</t>
        </is>
      </c>
      <c r="K4" s="2" t="n">
        <v>6</v>
      </c>
    </row>
    <row r="5">
      <c r="A5" s="4" t="inlineStr">
        <is>
          <t>MF-Z04</t>
        </is>
      </c>
      <c r="B5" s="4" t="inlineStr">
        <is>
          <t>Absturzgefahr im Zugangsbereich (Dachfläche, Absturzkante, Übersteigen)</t>
        </is>
      </c>
      <c r="C5" s="4" t="inlineStr">
        <is>
          <t>Zugang und Verkehrswege</t>
        </is>
      </c>
      <c r="D5" s="4" t="inlineStr">
        <is>
          <t>Z – Zugang zum Triebwerks-/Steuerungsraum</t>
        </is>
      </c>
      <c r="E5" s="4" t="inlineStr">
        <is>
          <t>MAXIMUM</t>
        </is>
      </c>
      <c r="F5" s="4" t="inlineStr">
        <is>
          <t>Mechanische Gefährdung durch Absturz</t>
        </is>
      </c>
      <c r="G5" s="4" t="inlineStr">
        <is>
          <t>Beauftragte Person, Wartungspersonal</t>
        </is>
      </c>
      <c r="H5" s="4" t="inlineStr">
        <is>
          <t>5.7 Führt der Zugang über eine Dachfläche, Dachkante, Empore oder eine andere Absturzkante? [Auslöser · Pflicht]
5.7a Absturzkante durch Geländer oder Umwehrung dauerhaft gesichert? [Kompensation · bedingt Pflicht]
5.7b Verkehrsweg an der Absturzkante festgelegt und gekennzeichnet? [Kompensation · bedingt Pflicht]
5.8 Muss ein Treppenauge, eine Brüstung oder ein Fenster überstiegen werden? [Auslöser · Pflicht]</t>
        </is>
      </c>
      <c r="I5" s="4" t="inlineStr">
        <is>
          <t>ASR A2.1</t>
        </is>
      </c>
      <c r="J5" s="4" t="inlineStr"/>
      <c r="K5" s="4" t="n">
        <v>4</v>
      </c>
    </row>
    <row r="6">
      <c r="A6" s="2" t="inlineStr">
        <is>
          <t>MF-Z05</t>
        </is>
      </c>
      <c r="B6" s="2" t="inlineStr">
        <is>
          <t>Einschließen im Zugangsbereich / Triebwerksraum (keine Panikfunktion)</t>
        </is>
      </c>
      <c r="C6" s="2" t="inlineStr">
        <is>
          <t>Zugang und Verkehrswege</t>
        </is>
      </c>
      <c r="D6" s="2" t="inlineStr">
        <is>
          <t>Z – Zugang zum Triebwerks-/Steuerungsraum</t>
        </is>
      </c>
      <c r="E6" s="2" t="inlineStr">
        <is>
          <t>NONE</t>
        </is>
      </c>
      <c r="F6" s="2" t="inlineStr">
        <is>
          <t>Sonstige Gefährdung durch Einschließen von Personen</t>
        </is>
      </c>
      <c r="G6" s="2" t="inlineStr">
        <is>
          <t>Beauftragte Person, Wartungspersonal</t>
        </is>
      </c>
      <c r="H6" s="2" t="inlineStr">
        <is>
          <t>5.9 Lässt sich der Zugangsbereich / Triebwerksraum jederzeit von innen verlassen? [Auslöser · Pflicht]</t>
        </is>
      </c>
      <c r="I6" s="2" t="inlineStr">
        <is>
          <t>DIN EN 81-20 5.2.3.3</t>
        </is>
      </c>
      <c r="J6" s="2" t="inlineStr"/>
      <c r="K6" s="2" t="n">
        <v>3</v>
      </c>
    </row>
    <row r="7">
      <c r="A7" s="4" t="inlineStr">
        <is>
          <t>MF-Z06</t>
        </is>
      </c>
      <c r="B7" s="4" t="inlineStr">
        <is>
          <t>Zugang über fremde Räume, erschwerter Material- und Werkzeugtransport</t>
        </is>
      </c>
      <c r="C7" s="4" t="inlineStr">
        <is>
          <t>Zugang und Verkehrswege</t>
        </is>
      </c>
      <c r="D7" s="4" t="inlineStr">
        <is>
          <t>Z – Zugang zum Triebwerks-/Steuerungsraum</t>
        </is>
      </c>
      <c r="E7" s="4" t="inlineStr">
        <is>
          <t>MAXIMUM</t>
        </is>
      </c>
      <c r="F7" s="4" t="inlineStr">
        <is>
          <t>Physische Belastung / ergonomische Gefährdung</t>
        </is>
      </c>
      <c r="G7" s="4" t="inlineStr">
        <is>
          <t>Beauftragte Person, Wartungspersonal</t>
        </is>
      </c>
      <c r="H7" s="4" t="inlineStr">
        <is>
          <t>5.10 Führt der Zugang durch fremde Räume? [Auslöser · Pflicht]
5.11 Erschwert die Art des Zugangs den Transport von Material und Werkzeug (z. B. nur über Leiter, Dachluke, enge Wendeltreppe)? [Auslöser · Pflicht]</t>
        </is>
      </c>
      <c r="I7" s="4" t="inlineStr">
        <is>
          <t>DIN EN 81-20 5.2.2.1</t>
        </is>
      </c>
      <c r="J7" s="4" t="inlineStr"/>
      <c r="K7" s="4" t="n">
        <v>4</v>
      </c>
    </row>
    <row r="8">
      <c r="A8" s="2" t="inlineStr">
        <is>
          <t>MF-Z07</t>
        </is>
      </c>
      <c r="B8" s="2" t="inlineStr">
        <is>
          <t>Fehlende oder unzureichende Zugangstür zum Triebwerks-/Maschinenraum</t>
        </is>
      </c>
      <c r="C8" s="2" t="inlineStr">
        <is>
          <t>Zugang und Verkehrswege</t>
        </is>
      </c>
      <c r="D8" s="2" t="inlineStr">
        <is>
          <t>Z – Zugang zum Triebwerks-/Steuerungsraum</t>
        </is>
      </c>
      <c r="E8" s="2" t="inlineStr">
        <is>
          <t>MAXIMUM</t>
        </is>
      </c>
      <c r="F8" s="2" t="inlineStr">
        <is>
          <t>Sonstige Gefährdung durch Einschließen von Personen</t>
        </is>
      </c>
      <c r="G8" s="2" t="inlineStr">
        <is>
          <t>Beauftragte Person, Wartungspersonal, Nutzer</t>
        </is>
      </c>
      <c r="H8" s="2" t="inlineStr">
        <is>
          <t>4.7 Eigener Triebwerks-/Maschinenraum vorhanden? [Filter]
5.12 Zugangstür zum Triebwerks-/Maschinenraum vorhanden? [Auslöser · Pflicht]
5.12a Zugangstür abschließbar (Zutritt nur für befugte Personen)? [Auslöser · bedingt Pflicht]
5.12b Zugangstür unbeschädigt und leichtgängig? [Auslöser · bedingt Pflicht]
5.12c Durchgangsmaß der Zugangstür ausreichend (mind. 2,00 m hoch, 0,60 m breit)? [Auslöser · bedingt Pflicht]</t>
        </is>
      </c>
      <c r="I8" s="2" t="inlineStr">
        <is>
          <t>DIN EN 81-20 5.2.3.3</t>
        </is>
      </c>
      <c r="J8" s="2" t="inlineStr"/>
      <c r="K8" s="2" t="n">
        <v>5</v>
      </c>
    </row>
    <row r="9">
      <c r="A9" s="4" t="inlineStr">
        <is>
          <t>MF-Z08</t>
        </is>
      </c>
      <c r="B9" s="4" t="inlineStr">
        <is>
          <t>Fehlende oder versperrte Flucht- und Rettungswege im Bereich des Triebwerks-/Steuerungsraums</t>
        </is>
      </c>
      <c r="C9" s="4" t="inlineStr">
        <is>
          <t>Zugang und Verkehrswege</t>
        </is>
      </c>
      <c r="D9" s="4" t="inlineStr">
        <is>
          <t>Z – Zugang zum Triebwerks-/Steuerungsraum</t>
        </is>
      </c>
      <c r="E9" s="4" t="inlineStr">
        <is>
          <t>MAXIMUM</t>
        </is>
      </c>
      <c r="F9" s="4" t="inlineStr">
        <is>
          <t>Gefährdung durch fehlende oder versperrte Flucht- und Rettungswege</t>
        </is>
      </c>
      <c r="G9" s="4" t="inlineStr">
        <is>
          <t>Beauftragte Person, Wartungspersonal</t>
        </is>
      </c>
      <c r="H9" s="4" t="inlineStr">
        <is>
          <t>5.13 Flucht- und Rettungsweg vom Triebwerks-/Steuerungsraum frei und benutzbar? [Auslöser · Pflicht]
5.13a Flucht- und Rettungsweg gekennzeichnet und beleuchtet? [Auslöser · bedingt Pflicht]
5.13b Fluchtweg durch Lagerung eingeengt? [Auslöser · bedingt Pflicht]</t>
        </is>
      </c>
      <c r="I9" s="4" t="inlineStr">
        <is>
          <t>ASR A2.3; ArbStättV § 4</t>
        </is>
      </c>
      <c r="J9" s="4" t="inlineStr">
        <is>
          <t>K-Z02</t>
        </is>
      </c>
      <c r="K9" s="4" t="n">
        <v>4</v>
      </c>
    </row>
    <row r="10">
      <c r="A10" s="2" t="inlineStr">
        <is>
          <t>MF-Z09</t>
        </is>
      </c>
      <c r="B10" s="2" t="inlineStr">
        <is>
          <t>Zugang zur Anlage für die Personenbefreiung nicht jederzeit gewährleistet</t>
        </is>
      </c>
      <c r="C10" s="2" t="inlineStr">
        <is>
          <t>Notruf und Personenbefreiung</t>
        </is>
      </c>
      <c r="D10" s="2" t="inlineStr">
        <is>
          <t>Z – Zugang zum Triebwerks-/Steuerungsraum</t>
        </is>
      </c>
      <c r="E10" s="2" t="inlineStr">
        <is>
          <t>NONE</t>
        </is>
      </c>
      <c r="F10" s="2" t="inlineStr">
        <is>
          <t>Sonstige Gefährdung durch fehlende oder unzureichende Notfallorganisation</t>
        </is>
      </c>
      <c r="G10" s="2" t="inlineStr">
        <is>
          <t>Nutzer, Beauftragte Person</t>
        </is>
      </c>
      <c r="H10" s="2" t="inlineStr">
        <is>
          <t>3.4 Zugang zur Anlage für die Personenbefreiung jederzeit gewährleistet? [Auslöser · Pflicht]</t>
        </is>
      </c>
      <c r="I10" s="2" t="inlineStr">
        <is>
          <t>BetrSichV Anh. 1 Nr. 4.1; TRBS 3121 4.4</t>
        </is>
      </c>
      <c r="J10" s="2" t="inlineStr">
        <is>
          <t>K-Z01</t>
        </is>
      </c>
      <c r="K10" s="2" t="n">
        <v>4</v>
      </c>
    </row>
    <row r="11">
      <c r="A11" s="4" t="inlineStr">
        <is>
          <t>MF-M01</t>
        </is>
      </c>
      <c r="B11" s="4" t="inlineStr">
        <is>
          <t>Unzureichende Beleuchtung im Triebwerks-/Maschinenraum</t>
        </is>
      </c>
      <c r="C11" s="4" t="inlineStr">
        <is>
          <t>Beleuchtung</t>
        </is>
      </c>
      <c r="D11" s="4" t="inlineStr">
        <is>
          <t>M – Triebwerks-/Maschinenraum und Steuerung</t>
        </is>
      </c>
      <c r="E11" s="4" t="inlineStr">
        <is>
          <t>MAXIMUM</t>
        </is>
      </c>
      <c r="F11" s="4" t="inlineStr">
        <is>
          <t>Gefährdung durch Arbeitsumgebungsbedingungen (unzureichende Beleuchtung)</t>
        </is>
      </c>
      <c r="G11" s="4" t="inlineStr">
        <is>
          <t>Beauftragte Person, Wartungspersonal</t>
        </is>
      </c>
      <c r="H11" s="4" t="inlineStr">
        <is>
          <t>4.7 Eigener Triebwerks-/Maschinenraum vorhanden? [Filter]
5.20 Beleuchtung im Triebwerks-/Maschinenraum vorhanden? [Auslöser · Pflicht]
5.21 Beleuchtungsstärke an den Arbeitsflächen (Antrieb, Steuerschrank) mind. 200 Lux, Leuchten funktionsfähig? [Auslöser · bedingt Pflicht]
5.22 Leuchten an geeigneter Stelle (Arbeitsflächen nicht abgeschattet)? [Auslöser · bedingt Pflicht]
5.23 Leuchten im Kopfbereich mit Splitterschutz / bruchsicher? [Auslöser · bedingt Pflicht]</t>
        </is>
      </c>
      <c r="I11" s="4" t="inlineStr">
        <is>
          <t>DIN EN 81-20 5.2.1.4.2</t>
        </is>
      </c>
      <c r="J11" s="4" t="inlineStr"/>
      <c r="K11" s="4" t="n">
        <v>5</v>
      </c>
    </row>
    <row r="12">
      <c r="A12" s="2" t="inlineStr">
        <is>
          <t>MF-M02</t>
        </is>
      </c>
      <c r="B12" s="2" t="inlineStr">
        <is>
          <t>Unzureichender Schutz gegen elektrischen Schlag (offene Schalttafel, offene Kontakte, fehlende Berührungssicherheit)</t>
        </is>
      </c>
      <c r="C12" s="2" t="inlineStr">
        <is>
          <t>Steuerung und Elektrik</t>
        </is>
      </c>
      <c r="D12" s="2" t="inlineStr">
        <is>
          <t>M – Triebwerks-/Maschinenraum und Steuerung</t>
        </is>
      </c>
      <c r="E12" s="2" t="inlineStr">
        <is>
          <t>MAXIMUM</t>
        </is>
      </c>
      <c r="F12" s="2" t="inlineStr">
        <is>
          <t>Elektrische Gefährdung durch Berühren spannungsführender Teile</t>
        </is>
      </c>
      <c r="G12" s="2" t="inlineStr">
        <is>
          <t>Beauftragte Person, Wartungspersonal</t>
        </is>
      </c>
      <c r="H12" s="2" t="inlineStr">
        <is>
          <t>5.30 Alle spannungsführenden Teile berührungssicher (Abdeckungen vorhanden, Schaltschrank geschlossen)? [Auslöser · Pflicht]
5.31 Offene Schalttafel ohne Schaltschrank vorhanden? [Auslöser · bedingt Pflicht]
5.32 Offene Kontakte oder Schalter an Maschine, Kopierwerk oder Begrenzer? [Auslöser · bedingt Pflicht]
5.33 Nicht berührungssichere Bauteile im Schaltschrank (bei geöffneter Tür erreichbar)? [Auslöser · bedingt Pflicht]
5.34 Warnkennzeichnung für offene elektrische Kontakte vorhanden? [optional]
5.35 Nachweis der elektrischen Prüfung nach DGUV Vorschrift 3 vorhanden (Prüfplakette / Protokoll aktuell)? [Auslöser · Pflicht]</t>
        </is>
      </c>
      <c r="I12" s="2" t="inlineStr">
        <is>
          <t>DIN EN 81-20 5.10.1.2; DGUV Vorschrift 3; TRBS 3121 Anh. 1 Nr. 21 (Schutz gegen elektrischen Schlag und Kennzeichnung)</t>
        </is>
      </c>
      <c r="J12" s="2" t="inlineStr">
        <is>
          <t>K-M01, K-M08</t>
        </is>
      </c>
      <c r="K12" s="2" t="n">
        <v>6</v>
      </c>
    </row>
    <row r="13">
      <c r="A13" s="4" t="inlineStr">
        <is>
          <t>MF-M03</t>
        </is>
      </c>
      <c r="B13" s="4" t="inlineStr">
        <is>
          <t>Fehlender oder unzureichender Schutz an drehenden Teilen (Treibscheibe, Umlenkrollen, Begrenzer)</t>
        </is>
      </c>
      <c r="C13" s="4" t="inlineStr">
        <is>
          <t>Triebwerksraum – Ausstattung</t>
        </is>
      </c>
      <c r="D13" s="4" t="inlineStr">
        <is>
          <t>M – Triebwerks-/Maschinenraum und Steuerung</t>
        </is>
      </c>
      <c r="E13" s="4" t="inlineStr">
        <is>
          <t>MAXIMUM</t>
        </is>
      </c>
      <c r="F13" s="4" t="inlineStr">
        <is>
          <t>Mechanische Gefährdung durch rotierende Teile (Erfassen, Einziehen)</t>
        </is>
      </c>
      <c r="G13" s="4" t="inlineStr">
        <is>
          <t>Wartungspersonal</t>
        </is>
      </c>
      <c r="H13" s="4" t="inlineStr">
        <is>
          <t>3.1 Aufzugsart [Filter]
5.40 Einzugsschutz an Treibscheibe, Umlenkrollen und Kopierwerk vorhanden? [Auslöser · Pflicht]
5.41 Einzugsschutz am Geschwindigkeitsbegrenzer vorhanden? [Auslöser · Pflicht]
5.42 Abdeckung der Einzugstellen insgesamt [Auslöser · Pflicht]</t>
        </is>
      </c>
      <c r="I13" s="4" t="inlineStr">
        <is>
          <t>DIN EN 81-20 5.9.3.1</t>
        </is>
      </c>
      <c r="J13" s="4" t="inlineStr"/>
      <c r="K13" s="4" t="n">
        <v>5</v>
      </c>
    </row>
    <row r="14">
      <c r="A14" s="2" t="inlineStr">
        <is>
          <t>MF-M04</t>
        </is>
      </c>
      <c r="B14" s="2" t="inlineStr">
        <is>
          <t>Unzureichende Raumhöhe, Bewegungs- und Freiflächen im Triebwerksraum</t>
        </is>
      </c>
      <c r="C14" s="2" t="inlineStr">
        <is>
          <t>Triebwerksraum – Ausstattung</t>
        </is>
      </c>
      <c r="D14" s="2" t="inlineStr">
        <is>
          <t>M – Triebwerks-/Maschinenraum und Steuerung</t>
        </is>
      </c>
      <c r="E14" s="2" t="inlineStr">
        <is>
          <t>MAXIMUM</t>
        </is>
      </c>
      <c r="F14" s="2" t="inlineStr">
        <is>
          <t>Physische Belastung / ergonomische Gefährdung</t>
        </is>
      </c>
      <c r="G14" s="2" t="inlineStr">
        <is>
          <t>Beauftragte Person, Wartungspersonal</t>
        </is>
      </c>
      <c r="H14" s="2" t="inlineStr">
        <is>
          <t>4.7 Eigener Triebwerks-/Maschinenraum vorhanden? [Filter]
5.43 Lichte Höhe im Gehbereich mind. 1,80 m? [Auslöser · Pflicht]
5.44 Freifläche für Notbetrieb/Handrad mind. 0,50 m × 0,60 m vor dem Antrieb vorhanden? [Auslöser · Pflicht]
5.45 Bewegungsflächen durch Lagerung eingeengt? [Auslöser · Pflicht]</t>
        </is>
      </c>
      <c r="I14" s="2" t="inlineStr">
        <is>
          <t>DIN EN 81-20 5.2.6.3.2</t>
        </is>
      </c>
      <c r="J14" s="2" t="inlineStr"/>
      <c r="K14" s="2" t="n">
        <v>4</v>
      </c>
    </row>
    <row r="15">
      <c r="A15" s="4" t="inlineStr">
        <is>
          <t>MF-M05</t>
        </is>
      </c>
      <c r="B15" s="4" t="inlineStr">
        <is>
          <t>Unterschiedliche Ebenen, Podeste und Bodenöffnungen im Triebwerksraum ungesichert</t>
        </is>
      </c>
      <c r="C15" s="4" t="inlineStr">
        <is>
          <t>Triebwerksraum – Ausstattung</t>
        </is>
      </c>
      <c r="D15" s="4" t="inlineStr">
        <is>
          <t>M – Triebwerks-/Maschinenraum und Steuerung</t>
        </is>
      </c>
      <c r="E15" s="4" t="inlineStr">
        <is>
          <t>MAXIMUM</t>
        </is>
      </c>
      <c r="F15" s="4" t="inlineStr">
        <is>
          <t>Mechanische Gefährdung durch Absturz</t>
        </is>
      </c>
      <c r="G15" s="4" t="inlineStr">
        <is>
          <t>Beauftragte Person, Wartungspersonal</t>
        </is>
      </c>
      <c r="H15" s="4" t="inlineStr">
        <is>
          <t>4.7 Eigener Triebwerks-/Maschinenraum vorhanden? [Filter]
5.46 Niveauunterschiede über 0,50 m im Raum vorhanden? [Auslöser · Pflicht]
5.46a Niveauunterschied durch Treppe oder Leiter überwindbar? [Kompensation · bedingt Pflicht]
5.46b Podest mit Absturzhöhe über 1,00 m ohne Geländer? [Auslöser · bedingt Pflicht]
5.47 Ungesicherte Bodenöffnung oder Vertiefung im Raum? [Auslöser · Pflicht]</t>
        </is>
      </c>
      <c r="I15" s="4" t="inlineStr">
        <is>
          <t>DIN EN 81-20 5.2.6.3.2.4</t>
        </is>
      </c>
      <c r="J15" s="4" t="inlineStr"/>
      <c r="K15" s="4" t="n">
        <v>4</v>
      </c>
    </row>
    <row r="16">
      <c r="A16" s="2" t="inlineStr">
        <is>
          <t>MF-M06</t>
        </is>
      </c>
      <c r="B16" s="2" t="inlineStr">
        <is>
          <t>Rutschiger, verschmutzter oder ölverunreinigter Boden im Triebwerksraum</t>
        </is>
      </c>
      <c r="C16" s="2" t="inlineStr">
        <is>
          <t>Triebwerksraum – Ausstattung</t>
        </is>
      </c>
      <c r="D16" s="2" t="inlineStr">
        <is>
          <t>M – Triebwerks-/Maschinenraum und Steuerung</t>
        </is>
      </c>
      <c r="E16" s="2" t="inlineStr">
        <is>
          <t>MAXIMUM</t>
        </is>
      </c>
      <c r="F16" s="2" t="inlineStr">
        <is>
          <t>Mechanische Gefährdung durch Stolpern, Rutschen, Stürzen</t>
        </is>
      </c>
      <c r="G16" s="2" t="inlineStr">
        <is>
          <t>Beauftragte Person, Wartungspersonal</t>
        </is>
      </c>
      <c r="H16" s="2" t="inlineStr">
        <is>
          <t>4.7 Eigener Triebwerks-/Maschinenraum vorhanden? [Filter]
5.48 Boden rutschhemmend und sauber? [Auslöser · Pflicht]
5.49 Boden ölfest gestrichen und unbeschädigt? [Auslöser · Pflicht]
5.50 Ausgetretenes Öl / Hydrauliköl ohne Auffangmöglichkeit? [Auslöser · Pflicht]</t>
        </is>
      </c>
      <c r="I16" s="2" t="inlineStr">
        <is>
          <t>DIN EN 81-20 5.2.1.9</t>
        </is>
      </c>
      <c r="J16" s="2" t="inlineStr"/>
      <c r="K16" s="2" t="n">
        <v>4</v>
      </c>
    </row>
    <row r="17">
      <c r="A17" s="4" t="inlineStr">
        <is>
          <t>MF-M07</t>
        </is>
      </c>
      <c r="B17" s="4" t="inlineStr">
        <is>
          <t>Fehlender, nicht abschließbarer oder nicht gekennzeichneter Hauptschalter</t>
        </is>
      </c>
      <c r="C17" s="4" t="inlineStr">
        <is>
          <t>Steuerung und Elektrik</t>
        </is>
      </c>
      <c r="D17" s="4" t="inlineStr">
        <is>
          <t>M – Triebwerks-/Maschinenraum und Steuerung</t>
        </is>
      </c>
      <c r="E17" s="4" t="inlineStr">
        <is>
          <t>MAXIMUM</t>
        </is>
      </c>
      <c r="F17" s="4" t="inlineStr">
        <is>
          <t>Elektrische Gefährdung durch Berühren spannungsführender Teile</t>
        </is>
      </c>
      <c r="G17" s="4" t="inlineStr">
        <is>
          <t>Wartungspersonal</t>
        </is>
      </c>
      <c r="H17" s="4" t="inlineStr">
        <is>
          <t>5.51 Hauptschalter vorhanden und Wirkung nachvollziehbar? [Auslöser · Pflicht]
5.51a Hauptschalter abschließbar? [Auslöser · bedingt Pflicht]
5.51b Hauptschalter eindeutig gekennzeichnet? [Auslöser · bedingt Pflicht]</t>
        </is>
      </c>
      <c r="I17" s="4" t="inlineStr">
        <is>
          <t>DIN EN 81-20 5.10.5.1; DGUV Vorschrift 3; TRBS 3121 Anh. 1 Nr. 21 (Schutz gegen elektrischen Schlag und Kennzeichnung)</t>
        </is>
      </c>
      <c r="J17" s="4" t="inlineStr">
        <is>
          <t>K-M02, K-M08</t>
        </is>
      </c>
      <c r="K17" s="4" t="n">
        <v>4</v>
      </c>
    </row>
    <row r="18">
      <c r="A18" s="2" t="inlineStr">
        <is>
          <t>MF-M08</t>
        </is>
      </c>
      <c r="B18" s="2" t="inlineStr">
        <is>
          <t>Unzureichende elektromechanische Bremse (Einkreisbremse, keine Überwachung)</t>
        </is>
      </c>
      <c r="C18" s="2" t="inlineStr">
        <is>
          <t>Antrieb, Bremse und Hydraulik</t>
        </is>
      </c>
      <c r="D18" s="2" t="inlineStr">
        <is>
          <t>M – Triebwerks-/Maschinenraum und Steuerung</t>
        </is>
      </c>
      <c r="E18" s="2" t="inlineStr">
        <is>
          <t>MAXIMUM</t>
        </is>
      </c>
      <c r="F18" s="2" t="inlineStr">
        <is>
          <t>Mechanische Gefährdung durch Überlastung und unkontrollierte Bewegung</t>
        </is>
      </c>
      <c r="G18" s="2" t="inlineStr">
        <is>
          <t>Nutzer, Wartungspersonal</t>
        </is>
      </c>
      <c r="H18" s="2" t="inlineStr">
        <is>
          <t>3.1 Aufzugsart [Filter]
6.2 Zweikreisbremse (redundante Betriebsbremse) vorhanden? [Auslöser · Pflicht]
6.2a Bremse elektrisch überwacht (Bremskontrollschalter)? [Auslöser · bedingt Pflicht]
8.27 Türüberbrückung (SR-Modul) für Nachregulieren / Voraböffnen mit offener Tür vorhanden? [Modifier · bedingt Pflicht]</t>
        </is>
      </c>
      <c r="I18" s="2" t="inlineStr">
        <is>
          <t>DIN EN 81-20 5.9.2.2.2; TRBS 3121 Anh. 1 Nr. 16 (UCM und Aufwärts-Übergeschwindigkeit bei Seilaufzügen)</t>
        </is>
      </c>
      <c r="J18" s="2" t="inlineStr">
        <is>
          <t>K-M09</t>
        </is>
      </c>
      <c r="K18" s="2" t="n">
        <v>3</v>
      </c>
    </row>
    <row r="19">
      <c r="A19" s="4" t="inlineStr">
        <is>
          <t>MF-M09</t>
        </is>
      </c>
      <c r="B19" s="4" t="inlineStr">
        <is>
          <t>Fehlender Schutz des Antriebsmotors gegen Überhitzen</t>
        </is>
      </c>
      <c r="C19" s="4" t="inlineStr">
        <is>
          <t>Antrieb, Bremse und Hydraulik</t>
        </is>
      </c>
      <c r="D19" s="4" t="inlineStr">
        <is>
          <t>M – Triebwerks-/Maschinenraum und Steuerung</t>
        </is>
      </c>
      <c r="E19" s="4" t="inlineStr">
        <is>
          <t>NONE</t>
        </is>
      </c>
      <c r="F19" s="4" t="inlineStr">
        <is>
          <t>Brand- und Explosionsgefährdung</t>
        </is>
      </c>
      <c r="G19" s="4" t="inlineStr">
        <is>
          <t>Nutzer, Wartungspersonal</t>
        </is>
      </c>
      <c r="H19" s="4" t="inlineStr">
        <is>
          <t>6.3 Schutz gegen Überhitzen des Antriebsmotors vorhanden? [Auslöser · Pflicht]</t>
        </is>
      </c>
      <c r="I19" s="4" t="inlineStr">
        <is>
          <t>DIN EN 81-20 5.10.4.3</t>
        </is>
      </c>
      <c r="J19" s="4" t="inlineStr">
        <is>
          <t>K-M03</t>
        </is>
      </c>
      <c r="K19" s="4" t="n">
        <v>2</v>
      </c>
    </row>
    <row r="20">
      <c r="A20" s="2" t="inlineStr">
        <is>
          <t>MF-M10</t>
        </is>
      </c>
      <c r="B20" s="2" t="inlineStr">
        <is>
          <t>Fehlende unabhängige Fahrschütze / Abschaltwege</t>
        </is>
      </c>
      <c r="C20" s="2" t="inlineStr">
        <is>
          <t>Steuerung und Elektrik</t>
        </is>
      </c>
      <c r="D20" s="2" t="inlineStr">
        <is>
          <t>M – Triebwerks-/Maschinenraum und Steuerung</t>
        </is>
      </c>
      <c r="E20" s="2" t="inlineStr">
        <is>
          <t>NONE</t>
        </is>
      </c>
      <c r="F20" s="2" t="inlineStr">
        <is>
          <t>Mechanische Gefährdung durch Überlastung und unkontrollierte Bewegung</t>
        </is>
      </c>
      <c r="G20" s="2" t="inlineStr">
        <is>
          <t>Nutzer</t>
        </is>
      </c>
      <c r="H20" s="2" t="inlineStr">
        <is>
          <t>6.1 Antriebssystem / Regelung [Filter]
6.4 Zwei unabhängige Fahrschütze / Abschaltwege vorhanden? [Auslöser · Pflicht]
6.4a Bei nur einem Schütz: selbstüberwachende Steuerung mit Baumusterprüfung? [Kompensation · bedingt Pflicht]</t>
        </is>
      </c>
      <c r="I20" s="2" t="inlineStr">
        <is>
          <t>DIN EN 81-20 5.9.2.5; TRBS 3121 Anh. 1 Nr. 20 (Redundante Abschaltung des Antriebs)</t>
        </is>
      </c>
      <c r="J20" s="2" t="inlineStr">
        <is>
          <t>K-M04</t>
        </is>
      </c>
      <c r="K20" s="2" t="n">
        <v>3</v>
      </c>
    </row>
    <row r="21">
      <c r="A21" s="4" t="inlineStr">
        <is>
          <t>MF-M11</t>
        </is>
      </c>
      <c r="B21" s="4" t="inlineStr">
        <is>
          <t>Fehlende Laufzeitüberwachung des Antriebs</t>
        </is>
      </c>
      <c r="C21" s="4" t="inlineStr">
        <is>
          <t>Steuerung und Elektrik</t>
        </is>
      </c>
      <c r="D21" s="4" t="inlineStr">
        <is>
          <t>M – Triebwerks-/Maschinenraum und Steuerung</t>
        </is>
      </c>
      <c r="E21" s="4" t="inlineStr">
        <is>
          <t>NONE</t>
        </is>
      </c>
      <c r="F21" s="4" t="inlineStr">
        <is>
          <t>Brand- und Explosionsgefährdung</t>
        </is>
      </c>
      <c r="G21" s="4" t="inlineStr">
        <is>
          <t>Nutzer</t>
        </is>
      </c>
      <c r="H21" s="4" t="inlineStr">
        <is>
          <t>6.5 Motor-Laufzeitüberwachung vorhanden? [Auslöser · Pflicht]</t>
        </is>
      </c>
      <c r="I21" s="4" t="inlineStr">
        <is>
          <t>DIN EN 81-20 5.9.2.6.2</t>
        </is>
      </c>
      <c r="J21" s="4" t="inlineStr"/>
      <c r="K21" s="4" t="n">
        <v>2</v>
      </c>
    </row>
    <row r="22">
      <c r="A22" s="2" t="inlineStr">
        <is>
          <t>MF-M12</t>
        </is>
      </c>
      <c r="B22" s="2" t="inlineStr">
        <is>
          <t>Fehlender Schutz gegen Phasenumkehr / Phasenausfall</t>
        </is>
      </c>
      <c r="C22" s="2" t="inlineStr">
        <is>
          <t>Steuerung und Elektrik</t>
        </is>
      </c>
      <c r="D22" s="2" t="inlineStr">
        <is>
          <t>M – Triebwerks-/Maschinenraum und Steuerung</t>
        </is>
      </c>
      <c r="E22" s="2" t="inlineStr">
        <is>
          <t>NONE</t>
        </is>
      </c>
      <c r="F22" s="2" t="inlineStr">
        <is>
          <t>Mechanische Gefährdung durch Überlastung und unkontrollierte Bewegung</t>
        </is>
      </c>
      <c r="G22" s="2" t="inlineStr">
        <is>
          <t>Nutzer</t>
        </is>
      </c>
      <c r="H22" s="2" t="inlineStr">
        <is>
          <t>6.1 Antriebssystem / Regelung [Filter]
6.6 Schutz gegen Phasenumkehr / Phasenausfall vorhanden? [Auslöser · Pflicht]</t>
        </is>
      </c>
      <c r="I22" s="2" t="inlineStr">
        <is>
          <t>DIN EN 81-20 5.10.7</t>
        </is>
      </c>
      <c r="J22" s="2" t="inlineStr">
        <is>
          <t>K-M05</t>
        </is>
      </c>
      <c r="K22" s="2" t="n">
        <v>2</v>
      </c>
    </row>
    <row r="23">
      <c r="A23" s="4" t="inlineStr">
        <is>
          <t>MF-M13</t>
        </is>
      </c>
      <c r="B23" s="4" t="inlineStr">
        <is>
          <t>Unzureichende Hydraulikeinrichtungen (Absperrventil, Rohrbruchsicherung, Absinken)</t>
        </is>
      </c>
      <c r="C23" s="4" t="inlineStr">
        <is>
          <t>Antrieb, Bremse und Hydraulik</t>
        </is>
      </c>
      <c r="D23" s="4" t="inlineStr">
        <is>
          <t>M – Triebwerks-/Maschinenraum und Steuerung</t>
        </is>
      </c>
      <c r="E23" s="4" t="inlineStr">
        <is>
          <t>MAXIMUM</t>
        </is>
      </c>
      <c r="F23" s="4" t="inlineStr">
        <is>
          <t>Mechanische Gefährdung durch Überlastung und unkontrollierte Bewegung</t>
        </is>
      </c>
      <c r="G23" s="4" t="inlineStr">
        <is>
          <t>Nutzer, Wartungspersonal</t>
        </is>
      </c>
      <c r="H23" s="4" t="inlineStr">
        <is>
          <t>3.1 Aufzugsart [Filter]
6.10 Absperrventil am Hydraulikaggregat vorhanden? [Auslöser · Pflicht]
6.10a Absperrventil gekennzeichnet und gut zugänglich? [Auslöser · bedingt Pflicht]
6.11 Rohrbruchsicherungsventil vorhanden? [Auslöser · Pflicht]
6.12 Einrichtung gegen Absinken (Kolbenabsinkverhinderung / Nachholsteuerung) vorhanden? [Auslöser · Pflicht]
6.13 Sinkt der Fahrkorb im Stillstand merklich ab? [Auslöser · Pflicht]</t>
        </is>
      </c>
      <c r="I23" s="4" t="inlineStr">
        <is>
          <t>DIN EN 81-20 5.6.1.3; DIN EN 81-20 5.6.7; TRBS 3121 Anh. 1 Nr. 17 (Absturz-, Übergeschwindigkeits- und Absinkschutz Hydraulik)</t>
        </is>
      </c>
      <c r="J23" s="4" t="inlineStr"/>
      <c r="K23" s="4" t="n">
        <v>6</v>
      </c>
    </row>
    <row r="24">
      <c r="A24" s="2" t="inlineStr">
        <is>
          <t>MF-M14</t>
        </is>
      </c>
      <c r="B24" s="2" t="inlineStr">
        <is>
          <t>Fehlende oder unzureichende Hebezeuge / Anschlagpunkte im Triebwerksraum</t>
        </is>
      </c>
      <c r="C24" s="2" t="inlineStr">
        <is>
          <t>Triebwerksraum – Ausstattung</t>
        </is>
      </c>
      <c r="D24" s="2" t="inlineStr">
        <is>
          <t>M – Triebwerks-/Maschinenraum und Steuerung</t>
        </is>
      </c>
      <c r="E24" s="2" t="inlineStr">
        <is>
          <t>MAXIMUM</t>
        </is>
      </c>
      <c r="F24" s="2" t="inlineStr">
        <is>
          <t>Mechanische Gefährdung durch herabfallende oder kippende Lasten</t>
        </is>
      </c>
      <c r="G24" s="2" t="inlineStr">
        <is>
          <t>Wartungspersonal</t>
        </is>
      </c>
      <c r="H24" s="2" t="inlineStr">
        <is>
          <t>4.7 Eigener Triebwerks-/Maschinenraum vorhanden? [Filter]
5.52 Anschlagpunkte / Hebezeuge zum Anheben schwerer Teile vorhanden? [Auslöser · Pflicht]
5.52a Tragfähigkeit der Anschlagpunkte angegeben? [Auslöser · bedingt Pflicht]
5.52b Prüfung der Anschlagpunkte dokumentiert? [Auslöser · bedingt Pflicht]</t>
        </is>
      </c>
      <c r="I24" s="2" t="inlineStr">
        <is>
          <t>DIN EN 81-20 5.2.1.7</t>
        </is>
      </c>
      <c r="J24" s="2" t="inlineStr"/>
      <c r="K24" s="2" t="n">
        <v>4</v>
      </c>
    </row>
    <row r="25">
      <c r="A25" s="4" t="inlineStr">
        <is>
          <t>MF-M15</t>
        </is>
      </c>
      <c r="B25" s="4" t="inlineStr">
        <is>
          <t>Fehlende oder unzureichende Einrichtung für Notbetrieb und Personenbefreiung</t>
        </is>
      </c>
      <c r="C25" s="4" t="inlineStr">
        <is>
          <t>Notruf und Personenbefreiung</t>
        </is>
      </c>
      <c r="D25" s="4" t="inlineStr">
        <is>
          <t>M – Triebwerks-/Maschinenraum und Steuerung</t>
        </is>
      </c>
      <c r="E25" s="4" t="inlineStr">
        <is>
          <t>MAXIMUM</t>
        </is>
      </c>
      <c r="F25" s="4" t="inlineStr">
        <is>
          <t>Sonstige Gefährdung durch fehlende oder unzureichende Notfallorganisation</t>
        </is>
      </c>
      <c r="G25" s="4" t="inlineStr">
        <is>
          <t>Nutzer, Beauftragte Person</t>
        </is>
      </c>
      <c r="H25" s="4" t="inlineStr">
        <is>
          <t>5.53 Einrichtung für Notbetrieb / Personenbefreiung vorhanden (Handrad, Bremslüfthebel, Evakuierungseinheit, Notablass)? [Auslöser · Pflicht]
5.53a Notbetriebseinrichtung gekennzeichnet (Fahrtrichtung, Bündigmarken)? [Auslöser · bedingt Pflicht]
5.53b Beauftragte Personen in die Personenbefreiung eingewiesen? [Auslöser · Pflicht]</t>
        </is>
      </c>
      <c r="I25" s="4" t="inlineStr">
        <is>
          <t>DIN EN 81-20 5.9.2.3; BetrSichV Anh. 1 Nr. 4.1; TRBS 3121 4.4</t>
        </is>
      </c>
      <c r="J25" s="4" t="inlineStr"/>
      <c r="K25" s="4" t="n">
        <v>4</v>
      </c>
    </row>
    <row r="26">
      <c r="A26" s="2" t="inlineStr">
        <is>
          <t>MF-M16</t>
        </is>
      </c>
      <c r="B26" s="2" t="inlineStr">
        <is>
          <t>Fehlender Potenzialausgleich / mangelhafte bauseitige Elektroinstallation</t>
        </is>
      </c>
      <c r="C26" s="2" t="inlineStr">
        <is>
          <t>Steuerung und Elektrik</t>
        </is>
      </c>
      <c r="D26" s="2" t="inlineStr">
        <is>
          <t>M – Triebwerks-/Maschinenraum und Steuerung</t>
        </is>
      </c>
      <c r="E26" s="2" t="inlineStr">
        <is>
          <t>MAXIMUM</t>
        </is>
      </c>
      <c r="F26" s="2" t="inlineStr">
        <is>
          <t>Elektrische Gefährdung durch Berühren spannungsführender Teile</t>
        </is>
      </c>
      <c r="G26" s="2" t="inlineStr">
        <is>
          <t>Beauftragte Person, Wartungspersonal</t>
        </is>
      </c>
      <c r="H26" s="2" t="inlineStr">
        <is>
          <t>5.38 Hauptpotenzialausgleich an der Aufzugskonstruktion vorhanden? [Auslöser · Pflicht]
5.36 Bauseitige Elektroinstallation im Raum (Steckdosen, Schalter, Leitungen) unbeschädigt? [Auslöser · Pflicht]
5.37 Prüfung der ortsfesten elektrischen Anlage nachgewiesen? [Auslöser · Pflicht]</t>
        </is>
      </c>
      <c r="I26" s="2" t="inlineStr">
        <is>
          <t>DIN EN 81-20 5.10.1.1; DIN VDE 0100-410; DGUV Vorschrift 3</t>
        </is>
      </c>
      <c r="J26" s="2" t="inlineStr">
        <is>
          <t>K-M06</t>
        </is>
      </c>
      <c r="K26" s="2" t="n">
        <v>4</v>
      </c>
    </row>
    <row r="27">
      <c r="A27" s="4" t="inlineStr">
        <is>
          <t>MF-M17</t>
        </is>
      </c>
      <c r="B27" s="4" t="inlineStr">
        <is>
          <t>Fehlende Kennzeichnung elektrischer Einrichtungen, Stromlaufplan, Beschilderung und Betriebsanleitung</t>
        </is>
      </c>
      <c r="C27" s="4" t="inlineStr">
        <is>
          <t>Beschilderung und Unterlagen</t>
        </is>
      </c>
      <c r="D27" s="4" t="inlineStr">
        <is>
          <t>M – Triebwerks-/Maschinenraum und Steuerung</t>
        </is>
      </c>
      <c r="E27" s="4" t="inlineStr">
        <is>
          <t>MAXIMUM</t>
        </is>
      </c>
      <c r="F27" s="4" t="inlineStr">
        <is>
          <t>Gefährdung durch organisatorische Mängel (Unterlagen, Unterweisung, Zuständigkeit)</t>
        </is>
      </c>
      <c r="G27" s="4" t="inlineStr">
        <is>
          <t>Beauftragte Person, Wartungspersonal</t>
        </is>
      </c>
      <c r="H27" s="4" t="inlineStr">
        <is>
          <t>5.54 Elektrische Einrichtungen gekennzeichnet (Zuordnung im Notfall möglich)? [Auslöser · Pflicht]
5.55 Stromlaufplan / Schaltunterlagen [Auslöser · Pflicht]
5.56 Beschilderung vollständig (Schutzraum, Notablass, Entriegelungsschlüssel, Verhalten bei Personenbefreiung)? [Auslöser · Pflicht]
5.57 Betriebs-/Bedienungsanleitung der Anlage [Auslöser · Pflicht]</t>
        </is>
      </c>
      <c r="I27" s="4" t="inlineStr">
        <is>
          <t>DIN EN 81-20 7; DIN EN 81-20 5.10.1.3; BetrSichV § 12; TRBS 3121 Anh. 1 Nr. 21 (Schutz gegen elektrischen Schlag und Kennzeichnung)</t>
        </is>
      </c>
      <c r="J27" s="4" t="inlineStr">
        <is>
          <t>K-M08</t>
        </is>
      </c>
      <c r="K27" s="4" t="n">
        <v>6</v>
      </c>
    </row>
    <row r="28">
      <c r="A28" s="2" t="inlineStr">
        <is>
          <t>MF-M18</t>
        </is>
      </c>
      <c r="B28" s="2" t="inlineStr">
        <is>
          <t>Fehlende oder unzulängliche Sprechverbindung zwischen Fahrkorb und Triebwerksraum</t>
        </is>
      </c>
      <c r="C28" s="2" t="inlineStr">
        <is>
          <t>Notruf und Personenbefreiung</t>
        </is>
      </c>
      <c r="D28" s="2" t="inlineStr">
        <is>
          <t>M – Triebwerks-/Maschinenraum und Steuerung</t>
        </is>
      </c>
      <c r="E28" s="2" t="inlineStr">
        <is>
          <t>NONE</t>
        </is>
      </c>
      <c r="F28" s="2" t="inlineStr">
        <is>
          <t>Sonstige Gefährdung durch fehlende oder unzureichende Notfallorganisation</t>
        </is>
      </c>
      <c r="G28" s="2" t="inlineStr">
        <is>
          <t>Wartungspersonal, Beauftragte Person</t>
        </is>
      </c>
      <c r="H28" s="2" t="inlineStr">
        <is>
          <t>4.7 Eigener Triebwerks-/Maschinenraum vorhanden? [Filter]
5.58 Sprechverbindung zwischen Fahrkorb und Triebwerksraum/Steuerung [Filter]
5.58 Sprechverbindung zwischen Fahrkorb und Triebwerksraum/Steuerung [Auslöser · Pflicht]</t>
        </is>
      </c>
      <c r="I28" s="2" t="inlineStr">
        <is>
          <t>DIN EN 81-20 5.12.3</t>
        </is>
      </c>
      <c r="J28" s="2" t="inlineStr"/>
      <c r="K28" s="2" t="n">
        <v>3</v>
      </c>
    </row>
    <row r="29">
      <c r="A29" s="4" t="inlineStr">
        <is>
          <t>MF-M19</t>
        </is>
      </c>
      <c r="B29" s="4" t="inlineStr">
        <is>
          <t>Aufzugsfremde Einrichtungen im Triebwerksraum</t>
        </is>
      </c>
      <c r="C29" s="4" t="inlineStr">
        <is>
          <t>Triebwerksraum – Ausstattung</t>
        </is>
      </c>
      <c r="D29" s="4" t="inlineStr">
        <is>
          <t>M – Triebwerks-/Maschinenraum und Steuerung</t>
        </is>
      </c>
      <c r="E29" s="4" t="inlineStr">
        <is>
          <t>NONE</t>
        </is>
      </c>
      <c r="F29" s="4" t="inlineStr">
        <is>
          <t>Mechanische Gefährdung durch Stolpern, Rutschen, Stürzen</t>
        </is>
      </c>
      <c r="G29" s="4" t="inlineStr">
        <is>
          <t>Wartungspersonal</t>
        </is>
      </c>
      <c r="H29" s="4" t="inlineStr">
        <is>
          <t>4.7 Eigener Triebwerks-/Maschinenraum vorhanden? [Filter]
5.59 Triebwerksraum frei von aufzugsfremden Einrichtungen (Lager, Leitungen, Geräte Dritter)? [Auslöser · Pflicht]</t>
        </is>
      </c>
      <c r="I29" s="4" t="inlineStr">
        <is>
          <t>DIN EN 81-20 5.2.1.2; DIN EN 81-20 5.2.6.1</t>
        </is>
      </c>
      <c r="J29" s="4" t="inlineStr"/>
      <c r="K29" s="4" t="n">
        <v>2</v>
      </c>
    </row>
    <row r="30">
      <c r="A30" s="2" t="inlineStr">
        <is>
          <t>MF-M20</t>
        </is>
      </c>
      <c r="B30" s="2" t="inlineStr">
        <is>
          <t>Fehlender Not-Halt im zusätzlichen Rollenraum</t>
        </is>
      </c>
      <c r="C30" s="2" t="inlineStr">
        <is>
          <t>Steuerung und Elektrik</t>
        </is>
      </c>
      <c r="D30" s="2" t="inlineStr">
        <is>
          <t>M – Triebwerks-/Maschinenraum und Steuerung</t>
        </is>
      </c>
      <c r="E30" s="2" t="inlineStr">
        <is>
          <t>NONE</t>
        </is>
      </c>
      <c r="F30" s="2" t="inlineStr">
        <is>
          <t>Gefährdung durch unbeabsichtigtes Betätigen von Befehlsgebern</t>
        </is>
      </c>
      <c r="G30" s="2" t="inlineStr">
        <is>
          <t>Wartungspersonal</t>
        </is>
      </c>
      <c r="H30" s="2" t="inlineStr">
        <is>
          <t>4.7a Zusätzlicher Rollenraum vorhanden? [Filter]
5.24 Notbremsschalter im zusätzlichen Rollenraum vorhanden? [Auslöser · Pflicht]</t>
        </is>
      </c>
      <c r="I30" s="2" t="inlineStr">
        <is>
          <t>DIN EN 81-20 5.2.6.4.5; DIN EN 81-20 5.12.1.11; TRBS 3121 Anh. 1 Nr. 7 (Stoppeinrichtungen in Grube und Rollenraum)</t>
        </is>
      </c>
      <c r="J30" s="2" t="inlineStr"/>
      <c r="K30" s="2" t="n">
        <v>2</v>
      </c>
    </row>
    <row r="31">
      <c r="A31" s="4" t="inlineStr">
        <is>
          <t>MF-M21</t>
        </is>
      </c>
      <c r="B31" s="4" t="inlineStr">
        <is>
          <t>Fehlende oder unwirksame Notendschalter</t>
        </is>
      </c>
      <c r="C31" s="4" t="inlineStr">
        <is>
          <t>Sicherheitskomponenten</t>
        </is>
      </c>
      <c r="D31" s="4" t="inlineStr">
        <is>
          <t>M – Triebwerks-/Maschinenraum und Steuerung</t>
        </is>
      </c>
      <c r="E31" s="4" t="inlineStr">
        <is>
          <t>MAXIMUM</t>
        </is>
      </c>
      <c r="F31" s="4" t="inlineStr">
        <is>
          <t>Mechanische Gefährdung durch Stoß (fehlende Endbegrenzung, Aufprall)</t>
        </is>
      </c>
      <c r="G31" s="4" t="inlineStr">
        <is>
          <t>Nutzer, Wartungspersonal</t>
        </is>
      </c>
      <c r="H31" s="4" t="inlineStr">
        <is>
          <t>6.14 Notendschalter (Endbegrenzung hinter den Endhaltestellen) [Auslöser · Pflicht]
6.14a Getrennte Betätigungseinrichtungen für das betriebsmäßige Anhalten und für die Notendschalter? [Modifier · bedingt Pflicht]
6.14b Bei mittelbarer Betätigung (Seil, Riemen, Kette): Bruch oder Schlaffwerden hält das Triebwerk über eine elektrische Sicherheitseinrichtung an? [Modifier · bedingt Pflicht]</t>
        </is>
      </c>
      <c r="I31" s="4" t="inlineStr">
        <is>
          <t>DIN EN 81-20 5.12.2.1; DIN EN 81-20 5.12.2.2.1; DIN EN 81-20 5.12.2.2.3; DIN EN 81-20 5.12.2.2.4</t>
        </is>
      </c>
      <c r="J31" s="4" t="inlineStr"/>
      <c r="K31" s="4" t="n">
        <v>5</v>
      </c>
    </row>
    <row r="32">
      <c r="A32" s="2" t="inlineStr">
        <is>
          <t>MF-T01</t>
        </is>
      </c>
      <c r="B32" s="2" t="inlineStr">
        <is>
          <t>Unsichere Verriegelung der Schachttüren</t>
        </is>
      </c>
      <c r="C32" s="2" t="inlineStr">
        <is>
          <t>Türen und Verriegelung</t>
        </is>
      </c>
      <c r="D32" s="2" t="inlineStr">
        <is>
          <t>T – Schachttüren und Fahrkorbtür</t>
        </is>
      </c>
      <c r="E32" s="2" t="inlineStr">
        <is>
          <t>MAXIMUM</t>
        </is>
      </c>
      <c r="F32" s="2" t="inlineStr">
        <is>
          <t>Mechanische Gefährdung durch Absturz in den Schacht</t>
        </is>
      </c>
      <c r="G32" s="2" t="inlineStr">
        <is>
          <t>Nutzer</t>
        </is>
      </c>
      <c r="H32" s="2" t="inlineStr">
        <is>
          <t>7.1 Schachttürverriegelung vom Sicherheitskreis elektrisch überwacht? [Auslöser · Pflicht]
7.2 Fehlschließsicherung / Nachschließeinrichtung an den Schachttüren vorhanden? [Auslöser · Pflicht]</t>
        </is>
      </c>
      <c r="I32" s="2" t="inlineStr">
        <is>
          <t>DIN EN 81-20 5.3.9.1; TRBS 3121 Anh. 1 Nr. 11 (Schachttürverriegelung)</t>
        </is>
      </c>
      <c r="J32" s="2" t="inlineStr"/>
      <c r="K32" s="2" t="n">
        <v>3</v>
      </c>
    </row>
    <row r="33">
      <c r="A33" s="4" t="inlineStr">
        <is>
          <t>MF-T02</t>
        </is>
      </c>
      <c r="B33" s="4" t="inlineStr">
        <is>
          <t>Fehlende oder schlecht erreichbare Notentriegelung der Schachttüren</t>
        </is>
      </c>
      <c r="C33" s="4" t="inlineStr">
        <is>
          <t>Türen und Verriegelung</t>
        </is>
      </c>
      <c r="D33" s="4" t="inlineStr">
        <is>
          <t>T – Schachttüren und Fahrkorbtür</t>
        </is>
      </c>
      <c r="E33" s="4" t="inlineStr">
        <is>
          <t>MAXIMUM</t>
        </is>
      </c>
      <c r="F33" s="4" t="inlineStr">
        <is>
          <t>Sonstige Gefährdung durch fehlende oder unzureichende Notfallorganisation</t>
        </is>
      </c>
      <c r="G33" s="4" t="inlineStr">
        <is>
          <t>Nutzer, Beauftragte Person</t>
        </is>
      </c>
      <c r="H33" s="4" t="inlineStr">
        <is>
          <t>7.5 Notentriegelung an allen Schachttüren vorhanden? [Auslöser · Pflicht]
7.6 Passender Entriegelungsschlüssel (Dreikant) für die Personenbefreiung vor Ort hinterlegt? [Auslöser · Pflicht]
7.7 Notentriegelung erreichbar (max. 2,00 m über Boden im Türblatt bzw. 2,70 m im Rahmen mit langem Schlüssel)? [Auslöser · bedingt Pflicht]</t>
        </is>
      </c>
      <c r="I33" s="4" t="inlineStr">
        <is>
          <t>DIN EN 81-20 5.3.9.3; TRBS 3121 Anh. 1 Nr. 11 (Schachttürverriegelung)</t>
        </is>
      </c>
      <c r="J33" s="4" t="inlineStr">
        <is>
          <t>K-K06</t>
        </is>
      </c>
      <c r="K33" s="4" t="n">
        <v>4</v>
      </c>
    </row>
    <row r="34">
      <c r="A34" s="2" t="inlineStr">
        <is>
          <t>MF-T03</t>
        </is>
      </c>
      <c r="B34" s="2" t="inlineStr">
        <is>
          <t>Schachttüren nicht selbstschließend</t>
        </is>
      </c>
      <c r="C34" s="2" t="inlineStr">
        <is>
          <t>Türen und Verriegelung</t>
        </is>
      </c>
      <c r="D34" s="2" t="inlineStr">
        <is>
          <t>T – Schachttüren und Fahrkorbtür</t>
        </is>
      </c>
      <c r="E34" s="2" t="inlineStr">
        <is>
          <t>MAXIMUM</t>
        </is>
      </c>
      <c r="F34" s="2" t="inlineStr">
        <is>
          <t>Mechanische Gefährdung durch Absturz in den Schacht</t>
        </is>
      </c>
      <c r="G34" s="2" t="inlineStr">
        <is>
          <t>Nutzer</t>
        </is>
      </c>
      <c r="H34" s="2" t="inlineStr">
        <is>
          <t>7.3 Schachttüren selbstschließend (Feder oder Gewicht)? [Auslöser · Pflicht]
7.4 Schließt die Schachttür nach einer Notentriegelung selbsttätig? [Auslöser · Pflicht]</t>
        </is>
      </c>
      <c r="I34" s="2" t="inlineStr">
        <is>
          <t>DIN EN 81-20 5.3.9.3.4; TRBS 3121 Anh. 1 Nr. 12 (Selbstschließung von Schiebetüren)</t>
        </is>
      </c>
      <c r="J34" s="2" t="inlineStr"/>
      <c r="K34" s="2" t="n">
        <v>3</v>
      </c>
    </row>
    <row r="35">
      <c r="A35" s="4" t="inlineStr">
        <is>
          <t>MF-T04</t>
        </is>
      </c>
      <c r="B35" s="4" t="inlineStr">
        <is>
          <t>Ungeeignetes Glas oder fehlender Einzugsschutz an Türen mit Glas</t>
        </is>
      </c>
      <c r="C35" s="4" t="inlineStr">
        <is>
          <t>Türen und Verriegelung</t>
        </is>
      </c>
      <c r="D35" s="4" t="inlineStr">
        <is>
          <t>T – Schachttüren und Fahrkorbtür</t>
        </is>
      </c>
      <c r="E35" s="4" t="inlineStr">
        <is>
          <t>MAXIMUM</t>
        </is>
      </c>
      <c r="F35" s="4" t="inlineStr">
        <is>
          <t>Mechanische Gefährdung durch Bruch von Bauteilen und Einziehen an Glastüren</t>
        </is>
      </c>
      <c r="G35" s="4" t="inlineStr">
        <is>
          <t>Nutzer</t>
        </is>
      </c>
      <c r="H35" s="4" t="inlineStr">
        <is>
          <t>4.1 Schachttüren mit Glas? [Filter]
4.3 Fahrkorbtüren mit Glas? [optional]
7.8 Glaseinsätze in Schacht-/Fahrkorbtüren aus normgerechtem, unbeschädigtem Glas (Verbundsicherheitsglas nach EN 81-20 5.3.5.3)? [Auslöser · Pflicht]
7.9 Drahtglas (Gitterglas) verbaut? [Auslöser · Pflicht]
7.10 Schutz gegen Einziehen von Kinderhänden an Glas-Schiebetüren vorhanden (Sensorleiste, Abstand, Beschichtung)? [Auslöser · Pflicht]
4.12 Nutzung durch unbeaufsichtigte Kinder zu erwarten (Schule, Kita, Wohnanlage)? [Modifier]</t>
        </is>
      </c>
      <c r="I35" s="4" t="inlineStr">
        <is>
          <t>DIN EN 81-20 5.3.5.3.5; DIN EN 81-20 5.3.5.3.6; DIN EN 81-20 5.3.5.3.7; TRBS 3121 Anh. 1 Nr. 9 (Glas und Sichtfenster in Schachttüren); TRBS 3121 Anh. 1 Nr. 10 (Schutz an kraftbetätigten Türen)</t>
        </is>
      </c>
      <c r="J35" s="4" t="inlineStr">
        <is>
          <t>K-T01</t>
        </is>
      </c>
      <c r="K35" s="4" t="n">
        <v>4</v>
      </c>
    </row>
    <row r="36">
      <c r="A36" s="2" t="inlineStr">
        <is>
          <t>MF-T05</t>
        </is>
      </c>
      <c r="B36" s="2" t="inlineStr">
        <is>
          <t>Unzureichende Feuerwiderstandsfähigkeit der Schachttüren</t>
        </is>
      </c>
      <c r="C36" s="2" t="inlineStr">
        <is>
          <t>Brandschutz und Gebäudeschnittstelle</t>
        </is>
      </c>
      <c r="D36" s="2" t="inlineStr">
        <is>
          <t>T – Schachttüren und Fahrkorbtür</t>
        </is>
      </c>
      <c r="E36" s="2" t="inlineStr">
        <is>
          <t>MAXIMUM</t>
        </is>
      </c>
      <c r="F36" s="2" t="inlineStr">
        <is>
          <t>Brand- und Explosionsgefährdung</t>
        </is>
      </c>
      <c r="G36" s="2" t="inlineStr">
        <is>
          <t>Nutzer</t>
        </is>
      </c>
      <c r="H36" s="2" t="inlineStr">
        <is>
          <t>7.11 Feuerwiderstandsfähigkeit der Schachttüren (EN 81-58 / bauaufsichtliche Anforderung) [Filter]
7.11 Feuerwiderstandsfähigkeit der Schachttüren (EN 81-58 / bauaufsichtliche Anforderung) [Auslöser · Pflicht]</t>
        </is>
      </c>
      <c r="I36" s="2" t="inlineStr">
        <is>
          <t>DIN EN 81-58; DIN EN 81-20 5.3.1.2</t>
        </is>
      </c>
      <c r="J36" s="2" t="inlineStr">
        <is>
          <t>K-K07</t>
        </is>
      </c>
      <c r="K36" s="2" t="n">
        <v>3</v>
      </c>
    </row>
    <row r="37">
      <c r="A37" s="4" t="inlineStr">
        <is>
          <t>MF-T06</t>
        </is>
      </c>
      <c r="B37" s="4" t="inlineStr">
        <is>
          <t>Fahrkorb ohne Abschlusstür oder ohne Schließkantensicherung</t>
        </is>
      </c>
      <c r="C37" s="4" t="inlineStr">
        <is>
          <t>Türen und Verriegelung</t>
        </is>
      </c>
      <c r="D37" s="4" t="inlineStr">
        <is>
          <t>T – Schachttüren und Fahrkorbtür</t>
        </is>
      </c>
      <c r="E37" s="4" t="inlineStr">
        <is>
          <t>NONE</t>
        </is>
      </c>
      <c r="F37" s="4" t="inlineStr">
        <is>
          <t>Mechanische Gefährdung durch bewegte Teile (Quetschen, Scheren, Einziehen)</t>
        </is>
      </c>
      <c r="G37" s="4" t="inlineStr">
        <is>
          <t>Nutzer</t>
        </is>
      </c>
      <c r="H37" s="4" t="inlineStr">
        <is>
          <t>8.6 Fahrkorbabschlusstür vorhanden? [Auslöser · Pflicht]
8.9 Ohne Fahrkorbtür: Sicherheitslichtgitter vorhanden? [Kompensation · bedingt Pflicht]
8.9a Ohne Fahrkorbtür: Scherengitter vorhanden? [Kompensation · bedingt Pflicht]
8.8 Schließkantensicherung der Fahrkorbtür [Auslöser · bedingt Pflicht]
8.7 Fahrkorbtür kraftbetätigt (automatisch)? [optional]
4.9 Nutzung durch Personen mit eingeschränkter Mobilität (Rollstuhl, Rollator, Sehbehinderung) zu erwarten? [Modifier · Pflicht]
4.12 Nutzung durch unbeaufsichtigte Kinder zu erwarten (Schule, Kita, Wohnanlage)? [Modifier · Pflicht]</t>
        </is>
      </c>
      <c r="I37" s="4" t="inlineStr">
        <is>
          <t>DIN EN 81-20 5.3; DIN EN 81-20 5.3.6; TRBS 3121 Anh. 1 Nr. 10 (Schutz an kraftbetätigten Türen); TRBS 3121 Anh. 1 Nr. 14 (Fahrkorbabschlusstüren)</t>
        </is>
      </c>
      <c r="J37" s="4" t="inlineStr">
        <is>
          <t>K-K09, K-T02</t>
        </is>
      </c>
      <c r="K37" s="4" t="n">
        <v>8</v>
      </c>
    </row>
    <row r="38">
      <c r="A38" s="2" t="inlineStr">
        <is>
          <t>MF-T07</t>
        </is>
      </c>
      <c r="B38" s="2" t="inlineStr">
        <is>
          <t>Unzureichende Fläche unterhalb der Schachttürschwelle</t>
        </is>
      </c>
      <c r="C38" s="2" t="inlineStr">
        <is>
          <t>Türen und Verriegelung</t>
        </is>
      </c>
      <c r="D38" s="2" t="inlineStr">
        <is>
          <t>T – Schachttüren und Fahrkorbtür</t>
        </is>
      </c>
      <c r="E38" s="2" t="inlineStr">
        <is>
          <t>NONE</t>
        </is>
      </c>
      <c r="F38" s="2" t="inlineStr">
        <is>
          <t>Mechanische Gefährdung durch Absturz in den Schacht</t>
        </is>
      </c>
      <c r="G38" s="2" t="inlineStr">
        <is>
          <t>Nutzer, Beauftragte Person, Wartungspersonal</t>
        </is>
      </c>
      <c r="H38" s="2" t="inlineStr">
        <is>
          <t>7.12 Schachtwand unterhalb der Schachttürschwelle (vertikale Fläche zur Entriegelungszone) [Auslöser · Pflicht]</t>
        </is>
      </c>
      <c r="I38" s="2" t="inlineStr">
        <is>
          <t>DIN EN 81-20 5.2.5.3.2</t>
        </is>
      </c>
      <c r="J38" s="2" t="inlineStr"/>
      <c r="K38" s="2" t="n">
        <v>3</v>
      </c>
    </row>
    <row r="39">
      <c r="A39" s="4" t="inlineStr">
        <is>
          <t>MF-T08</t>
        </is>
      </c>
      <c r="B39" s="4" t="inlineStr">
        <is>
          <t>Türblatt kann aus der Führung fallen (fehlende Rückhalteeinrichtung)</t>
        </is>
      </c>
      <c r="C39" s="4" t="inlineStr">
        <is>
          <t>Türen und Verriegelung</t>
        </is>
      </c>
      <c r="D39" s="4" t="inlineStr">
        <is>
          <t>T – Schachttüren und Fahrkorbtür</t>
        </is>
      </c>
      <c r="E39" s="4" t="inlineStr">
        <is>
          <t>NONE</t>
        </is>
      </c>
      <c r="F39" s="4" t="inlineStr">
        <is>
          <t>Mechanische Gefährdung durch Absturz in den Schacht</t>
        </is>
      </c>
      <c r="G39" s="4" t="inlineStr">
        <is>
          <t>Nutzer, Wartungspersonal</t>
        </is>
      </c>
      <c r="H39" s="4" t="inlineStr">
        <is>
          <t>7.13 Rückhalteeinrichtungen an den horizontal bewegten Schacht-Schiebetüren vorhanden (Türblatt bleibt in seiner Lage, wenn ein Führungselement versagt)? [Auslöser · Pflicht]
7.13a Führungselemente, Hänger und Befestigungen der Türblätter unbeschädigt und ohne auffälliges Spiel? [Modifier · Pflicht]</t>
        </is>
      </c>
      <c r="I39" s="4" t="inlineStr">
        <is>
          <t>DIN EN 81-20 5.3.5.3.2</t>
        </is>
      </c>
      <c r="J39" s="4" t="inlineStr"/>
      <c r="K39" s="4" t="n">
        <v>4</v>
      </c>
    </row>
    <row r="40">
      <c r="A40" s="2" t="inlineStr">
        <is>
          <t>MF-T09</t>
        </is>
      </c>
      <c r="B40" s="2" t="inlineStr">
        <is>
          <t>Unzureichende Verbindung der Türblätter mehrteiliger Schachttüren</t>
        </is>
      </c>
      <c r="C40" s="2" t="inlineStr">
        <is>
          <t>Türen und Verriegelung</t>
        </is>
      </c>
      <c r="D40" s="2" t="inlineStr">
        <is>
          <t>T – Schachttüren und Fahrkorbtür</t>
        </is>
      </c>
      <c r="E40" s="2" t="inlineStr">
        <is>
          <t>NONE</t>
        </is>
      </c>
      <c r="F40" s="2" t="inlineStr">
        <is>
          <t>Mechanische Gefährdung durch Absturz in den Schacht</t>
        </is>
      </c>
      <c r="G40" s="2" t="inlineStr">
        <is>
          <t>Nutzer</t>
        </is>
      </c>
      <c r="H40" s="2" t="inlineStr">
        <is>
          <t>7.14 Schachttüren mehrteilig (Teleskop- oder Mitteltür mit mehreren Türblättern)? [Filter]
7.14a Verbindung der Türblätter mehrteiliger Schachttüren [Auslöser · bedingt Pflicht]</t>
        </is>
      </c>
      <c r="I40" s="2" t="inlineStr">
        <is>
          <t>DIN EN 81-20 5.3.11; DIN EN 81-20 5.3.11.3; TRBS 3121 Anh. 1 Nr. 11 (Schachttürverriegelung)</t>
        </is>
      </c>
      <c r="J40" s="2" t="inlineStr"/>
      <c r="K40" s="2" t="n">
        <v>3</v>
      </c>
    </row>
    <row r="41">
      <c r="A41" s="4" t="inlineStr">
        <is>
          <t>MF-K01</t>
        </is>
      </c>
      <c r="B41" s="4" t="inlineStr">
        <is>
          <t>Fehlende oder unzulängliche Notrufeinrichtung im Fahrkorb</t>
        </is>
      </c>
      <c r="C41" s="4" t="inlineStr">
        <is>
          <t>Notruf und Personenbefreiung</t>
        </is>
      </c>
      <c r="D41" s="4" t="inlineStr">
        <is>
          <t>K – Fahrkorb</t>
        </is>
      </c>
      <c r="E41" s="4" t="inlineStr">
        <is>
          <t>MAXIMUM</t>
        </is>
      </c>
      <c r="F41" s="4" t="inlineStr">
        <is>
          <t>Sonstige Gefährdung durch fehlende oder unzureichende Notfallorganisation</t>
        </is>
      </c>
      <c r="G41" s="4" t="inlineStr">
        <is>
          <t>Nutzer, Beauftragte Person</t>
        </is>
      </c>
      <c r="H41" s="4" t="inlineStr">
        <is>
          <t>8.1 Notrufeinrichtung im Fahrkorb vorhanden? [Auslöser · Pflicht]
8.2 Art der Notrufeinrichtung [Auslöser · bedingt Pflicht]
8.3 Notruf auf eine rund um die Uhr besetzte Stelle aufgeschaltet? [Auslöser · bedingt Pflicht]
8.4 Zweiwege-Notrufsystem nach EN 81-28 (Identifikation, Rückmeldung, Testruf)? [Dokumentation]</t>
        </is>
      </c>
      <c r="I41" s="4" t="inlineStr">
        <is>
          <t>DIN EN 81-20 5.12.3; DIN EN 81-28; BetrSichV Anh. 1 Nr. 4.1</t>
        </is>
      </c>
      <c r="J41" s="4" t="inlineStr">
        <is>
          <t>K-K01</t>
        </is>
      </c>
      <c r="K41" s="4" t="n">
        <v>6</v>
      </c>
    </row>
    <row r="42">
      <c r="A42" s="2" t="inlineStr">
        <is>
          <t>MF-K02</t>
        </is>
      </c>
      <c r="B42" s="2" t="inlineStr">
        <is>
          <t>Fehlende oder unzulängliche Notbeleuchtung im Fahrkorb</t>
        </is>
      </c>
      <c r="C42" s="2" t="inlineStr">
        <is>
          <t>Beleuchtung</t>
        </is>
      </c>
      <c r="D42" s="2" t="inlineStr">
        <is>
          <t>K – Fahrkorb</t>
        </is>
      </c>
      <c r="E42" s="2" t="inlineStr">
        <is>
          <t>NONE</t>
        </is>
      </c>
      <c r="F42" s="2" t="inlineStr">
        <is>
          <t>Gefährdung durch Arbeitsumgebungsbedingungen (unzureichende Beleuchtung)</t>
        </is>
      </c>
      <c r="G42" s="2" t="inlineStr">
        <is>
          <t>Nutzer</t>
        </is>
      </c>
      <c r="H42" s="2" t="inlineStr">
        <is>
          <t>8.5 Notbeleuchtung im Fahrkorb [Auslöser · Pflicht]</t>
        </is>
      </c>
      <c r="I42" s="2" t="inlineStr">
        <is>
          <t>DIN EN 81-20 5.4.10.4</t>
        </is>
      </c>
      <c r="J42" s="2" t="inlineStr">
        <is>
          <t>K-K02</t>
        </is>
      </c>
      <c r="K42" s="2" t="n">
        <v>3</v>
      </c>
    </row>
    <row r="43">
      <c r="A43" s="4" t="inlineStr">
        <is>
          <t>MF-K03</t>
        </is>
      </c>
      <c r="B43" s="4" t="inlineStr">
        <is>
          <t>Unzureichende Haltegenauigkeit / Stufenbildung an den Haltestellen</t>
        </is>
      </c>
      <c r="C43" s="4" t="inlineStr">
        <is>
          <t>Antrieb, Bremse und Hydraulik</t>
        </is>
      </c>
      <c r="D43" s="4" t="inlineStr">
        <is>
          <t>K – Fahrkorb</t>
        </is>
      </c>
      <c r="E43" s="4" t="inlineStr">
        <is>
          <t>NONE</t>
        </is>
      </c>
      <c r="F43" s="4" t="inlineStr">
        <is>
          <t>Mechanische Gefährdung durch Stolpern, Rutschen, Stürzen</t>
        </is>
      </c>
      <c r="G43" s="4" t="inlineStr">
        <is>
          <t>Nutzer</t>
        </is>
      </c>
      <c r="H43" s="4" t="inlineStr">
        <is>
          <t>8.10 Größte gemessene Stufenbildung / Haltegenauigkeit [mm] [Auslöser · Pflicht]
8.11 Nachregulierung / geregelter Antrieb mit präziser Haltegenauigkeit? [Dokumentation]
4.9 Nutzung durch Personen mit eingeschränkter Mobilität (Rollstuhl, Rollator, Sehbehinderung) zu erwarten? [Modifier · Pflicht]</t>
        </is>
      </c>
      <c r="I43" s="4" t="inlineStr">
        <is>
          <t>DIN EN 81-20 5.12.1.1.4; TRBS 3121 Anh. 1 Nr. 1 (Anhalte- und Nachregulierungsgenauigkeit)</t>
        </is>
      </c>
      <c r="J43" s="4" t="inlineStr">
        <is>
          <t>K-K03, K-K10</t>
        </is>
      </c>
      <c r="K43" s="4" t="n">
        <v>4</v>
      </c>
    </row>
    <row r="44">
      <c r="A44" s="2" t="inlineStr">
        <is>
          <t>MF-K04</t>
        </is>
      </c>
      <c r="B44" s="2" t="inlineStr">
        <is>
          <t>Unzureichende Fahrkorbtürschürze</t>
        </is>
      </c>
      <c r="C44" s="2" t="inlineStr">
        <is>
          <t>Fahrkorb und Nutzung</t>
        </is>
      </c>
      <c r="D44" s="2" t="inlineStr">
        <is>
          <t>K – Fahrkorb</t>
        </is>
      </c>
      <c r="E44" s="2" t="inlineStr">
        <is>
          <t>NONE</t>
        </is>
      </c>
      <c r="F44" s="2" t="inlineStr">
        <is>
          <t>Mechanische Gefährdung durch Absturz in den Schacht</t>
        </is>
      </c>
      <c r="G44" s="2" t="inlineStr">
        <is>
          <t>Nutzer, Wartungspersonal</t>
        </is>
      </c>
      <c r="H44" s="2" t="inlineStr">
        <is>
          <t>8.12 Länge der Fahrkorbtürschürze [mm] [Auslöser · Pflicht]
8.13 Personenbefreiung ausschließlich durch fachkundige Personen (Betriebsanweisung, keine Selbstbefreiung durch Aufzugswärter)? [Kompensation · bedingt Pflicht]</t>
        </is>
      </c>
      <c r="I44" s="2" t="inlineStr">
        <is>
          <t>DIN EN 81-20 5.4.5; TRBS 3121 Anh. 1 Nr. 13 (Fahrkorbschürze)</t>
        </is>
      </c>
      <c r="J44" s="2" t="inlineStr"/>
      <c r="K44" s="2" t="n">
        <v>4</v>
      </c>
    </row>
    <row r="45">
      <c r="A45" s="4" t="inlineStr">
        <is>
          <t>MF-K05</t>
        </is>
      </c>
      <c r="B45" s="4" t="inlineStr">
        <is>
          <t>Zu großer Abstand zwischen Fahrkorbschwelle und Schachtwand</t>
        </is>
      </c>
      <c r="C45" s="4" t="inlineStr">
        <is>
          <t>Fahrkorb und Nutzung</t>
        </is>
      </c>
      <c r="D45" s="4" t="inlineStr">
        <is>
          <t>K – Fahrkorb</t>
        </is>
      </c>
      <c r="E45" s="4" t="inlineStr">
        <is>
          <t>NONE</t>
        </is>
      </c>
      <c r="F45" s="4" t="inlineStr">
        <is>
          <t>Mechanische Gefährdung durch Absturz in den Schacht</t>
        </is>
      </c>
      <c r="G45" s="4" t="inlineStr">
        <is>
          <t>Nutzer</t>
        </is>
      </c>
      <c r="H45" s="4" t="inlineStr">
        <is>
          <t>8.14 Größter Abstand Fahrkorbschwelle – Schachtwand [mm] [Auslöser · Pflicht]
8.15 Fahrkorbtür-Verriegelung (Fahrkorbtür außerhalb der Entriegelungszone verriegelt)? [Kompensation · bedingt Pflicht]
8.15a Zusatzverriegelung an den Schachttüren vorhanden? [Kompensation · bedingt Pflicht]</t>
        </is>
      </c>
      <c r="I45" s="4" t="inlineStr">
        <is>
          <t>DIN EN 81-20 5.2.5.3.1; TRBS 3121 Anh. 1 Nr. 19 (Verriegelung der Fahrkorbtür bei großem Schachtwandabstand)</t>
        </is>
      </c>
      <c r="J45" s="4" t="inlineStr">
        <is>
          <t>K-K04</t>
        </is>
      </c>
      <c r="K45" s="4" t="n">
        <v>3</v>
      </c>
    </row>
    <row r="46">
      <c r="A46" s="2" t="inlineStr">
        <is>
          <t>MF-K06</t>
        </is>
      </c>
      <c r="B46" s="2" t="inlineStr">
        <is>
          <t>Fehlende Kennzeichnung der Nennlast, unpassende Nutzfläche oder fehlende Überlastkontrolle</t>
        </is>
      </c>
      <c r="C46" s="2" t="inlineStr">
        <is>
          <t>Fahrkorb und Nutzung</t>
        </is>
      </c>
      <c r="D46" s="2" t="inlineStr">
        <is>
          <t>K – Fahrkorb</t>
        </is>
      </c>
      <c r="E46" s="2" t="inlineStr">
        <is>
          <t>MAXIMUM</t>
        </is>
      </c>
      <c r="F46" s="2" t="inlineStr">
        <is>
          <t>Mechanische Gefährdung durch Überlastung und unkontrollierte Bewegung</t>
        </is>
      </c>
      <c r="G46" s="2" t="inlineStr">
        <is>
          <t>Nutzer</t>
        </is>
      </c>
      <c r="H46" s="2" t="inlineStr">
        <is>
          <t>8.16 Nennlast und zulässige Personenzahl im Fahrkorb gekennzeichnet? [Auslöser · Pflicht]
8.17 Nutzfläche des Fahrkorbs passt zur Nennlast (Tabelle EN 81-20 5.4.2)? [Auslöser · Pflicht]
8.18 Überlastkontrolle / Lastmessung vorhanden? [Auslöser · Pflicht]
8.18a Funktion der Überlastkontrolle nachweislich geprüft? [Auslöser · bedingt Pflicht]
2.1 Nutzungsart der Anlage [Modifier · Pflicht]
4.10 Beladung mit Flurförderzeugen oder Transportwagen? [Dokumentation]</t>
        </is>
      </c>
      <c r="I46" s="2" t="inlineStr">
        <is>
          <t>DIN EN 81-20 5.4.2; DIN EN 81-20 5.12.1.2</t>
        </is>
      </c>
      <c r="J46" s="2" t="inlineStr">
        <is>
          <t>K-K05</t>
        </is>
      </c>
      <c r="K46" s="2" t="n">
        <v>6</v>
      </c>
    </row>
    <row r="47">
      <c r="A47" s="4" t="inlineStr">
        <is>
          <t>MF-K07</t>
        </is>
      </c>
      <c r="B47" s="4" t="inlineStr">
        <is>
          <t>Unzureichende Lüftung des Fahrkorbs</t>
        </is>
      </c>
      <c r="C47" s="4" t="inlineStr">
        <is>
          <t>Fahrkorb und Nutzung</t>
        </is>
      </c>
      <c r="D47" s="4" t="inlineStr">
        <is>
          <t>K – Fahrkorb</t>
        </is>
      </c>
      <c r="E47" s="4" t="inlineStr">
        <is>
          <t>NONE</t>
        </is>
      </c>
      <c r="F47" s="4" t="inlineStr">
        <is>
          <t>Gefährdung durch Arbeitsumgebungsbedingungen (Klima, Lärm, Emissionen)</t>
        </is>
      </c>
      <c r="G47" s="4" t="inlineStr">
        <is>
          <t>Nutzer</t>
        </is>
      </c>
      <c r="H47" s="4" t="inlineStr">
        <is>
          <t>8.19 Lüftung des Fahrkorbs [Auslöser · Pflicht]</t>
        </is>
      </c>
      <c r="I47" s="4" t="inlineStr">
        <is>
          <t>DIN EN 81-20 5.4.9</t>
        </is>
      </c>
      <c r="J47" s="4" t="inlineStr"/>
      <c r="K47" s="4" t="n">
        <v>4</v>
      </c>
    </row>
    <row r="48">
      <c r="A48" s="2" t="inlineStr">
        <is>
          <t>MF-K08</t>
        </is>
      </c>
      <c r="B48" s="2" t="inlineStr">
        <is>
          <t>Fehlende Brandfallsteuerung trotz Anforderung im Brandschutzkonzept</t>
        </is>
      </c>
      <c r="C48" s="2" t="inlineStr">
        <is>
          <t>Brandschutz und Gebäudeschnittstelle</t>
        </is>
      </c>
      <c r="D48" s="2" t="inlineStr">
        <is>
          <t>K – Fahrkorb</t>
        </is>
      </c>
      <c r="E48" s="2" t="inlineStr">
        <is>
          <t>MAXIMUM</t>
        </is>
      </c>
      <c r="F48" s="2" t="inlineStr">
        <is>
          <t>Brand- und Explosionsgefährdung</t>
        </is>
      </c>
      <c r="G48" s="2" t="inlineStr">
        <is>
          <t>Nutzer, Feuerwehr</t>
        </is>
      </c>
      <c r="H48" s="2" t="inlineStr">
        <is>
          <t>4.11 Fordert das Brandschutzkonzept des Gebäudes eine Brandfallsteuerung? [Filter]
8.21 Brandfallsteuerung vorhanden und in die Brandmeldeanlage eingebunden? [Auslöser · Pflicht]
8.21a Funktion der Brandfallsteuerung regelmäßig geprüft (Nachweis)? [Auslöser · bedingt Pflicht]</t>
        </is>
      </c>
      <c r="I48" s="2" t="inlineStr">
        <is>
          <t>DIN EN 81-73; TRBS 3121 Anh. 4</t>
        </is>
      </c>
      <c r="J48" s="2" t="inlineStr"/>
      <c r="K48" s="2" t="n">
        <v>3</v>
      </c>
    </row>
    <row r="49">
      <c r="A49" s="4" t="inlineStr">
        <is>
          <t>MF-K09</t>
        </is>
      </c>
      <c r="B49" s="4" t="inlineStr">
        <is>
          <t>Fehlender Hinweis „Aufzug im Brandfall nicht benutzen"</t>
        </is>
      </c>
      <c r="C49" s="4" t="inlineStr">
        <is>
          <t>Brandschutz und Gebäudeschnittstelle</t>
        </is>
      </c>
      <c r="D49" s="4" t="inlineStr">
        <is>
          <t>K – Fahrkorb</t>
        </is>
      </c>
      <c r="E49" s="4" t="inlineStr">
        <is>
          <t>NONE</t>
        </is>
      </c>
      <c r="F49" s="4" t="inlineStr">
        <is>
          <t>Brand- und Explosionsgefährdung</t>
        </is>
      </c>
      <c r="G49" s="4" t="inlineStr">
        <is>
          <t>Nutzer</t>
        </is>
      </c>
      <c r="H49" s="4" t="inlineStr">
        <is>
          <t>8.20 Hinweisschild „Aufzug im Brandfall nicht benutzen" an allen Haltestellen vorhanden und lesbar? [Auslöser · Pflicht]</t>
        </is>
      </c>
      <c r="I49" s="4" t="inlineStr">
        <is>
          <t>DIN EN 81-73 5.3; DIN EN 81-20 7.2</t>
        </is>
      </c>
      <c r="J49" s="4" t="inlineStr"/>
      <c r="K49" s="4" t="n">
        <v>2</v>
      </c>
    </row>
    <row r="50">
      <c r="A50" s="2" t="inlineStr">
        <is>
          <t>MF-K10</t>
        </is>
      </c>
      <c r="B50" s="2" t="inlineStr">
        <is>
          <t>Eingeschränkte Zugänglichkeit für Personen mit eingeschränkter Mobilität</t>
        </is>
      </c>
      <c r="C50" s="2" t="inlineStr">
        <is>
          <t>Fahrkorb und Nutzung</t>
        </is>
      </c>
      <c r="D50" s="2" t="inlineStr">
        <is>
          <t>K – Fahrkorb</t>
        </is>
      </c>
      <c r="E50" s="2" t="inlineStr">
        <is>
          <t>MAXIMUM</t>
        </is>
      </c>
      <c r="F50" s="2" t="inlineStr">
        <is>
          <t>Mechanische Gefährdung durch Stolpern, Rutschen, Stürzen</t>
        </is>
      </c>
      <c r="G50" s="2" t="inlineStr">
        <is>
          <t>Nutzer</t>
        </is>
      </c>
      <c r="H50" s="2" t="inlineStr">
        <is>
          <t>4.9 Nutzung durch Personen mit eingeschränkter Mobilität (Rollstuhl, Rollator, Sehbehinderung) zu erwarten? [Filter]
8.22 Anlage nach DIN EN 81-70 barrierefrei ausgeführt? [Auslöser · Pflicht]
8.23 Bedienelemente in erreichbarer Höhe und ertastbar? [Auslöser · Pflicht]
8.24 Fahrkorbabmessungen für Rollstuhlnutzung ausreichend (mind. 1,00 m × 1,25 m)? [Auslöser · Pflicht]</t>
        </is>
      </c>
      <c r="I50" s="2" t="inlineStr">
        <is>
          <t>DIN EN 81-70</t>
        </is>
      </c>
      <c r="J50" s="2" t="inlineStr"/>
      <c r="K50" s="2" t="n">
        <v>4</v>
      </c>
    </row>
    <row r="51">
      <c r="A51" s="4" t="inlineStr">
        <is>
          <t>MF-K11</t>
        </is>
      </c>
      <c r="B51" s="4" t="inlineStr">
        <is>
          <t>Beschädigte Fahrkorbausstattung / Vandalismus</t>
        </is>
      </c>
      <c r="C51" s="4" t="inlineStr">
        <is>
          <t>Fahrkorb und Nutzung</t>
        </is>
      </c>
      <c r="D51" s="4" t="inlineStr">
        <is>
          <t>K – Fahrkorb</t>
        </is>
      </c>
      <c r="E51" s="4" t="inlineStr">
        <is>
          <t>MAXIMUM</t>
        </is>
      </c>
      <c r="F51" s="4" t="inlineStr">
        <is>
          <t>Mechanische Gefährdung durch Bruch von Bauteilen und Einziehen an Glastüren</t>
        </is>
      </c>
      <c r="G51" s="4" t="inlineStr">
        <is>
          <t>Nutzer</t>
        </is>
      </c>
      <c r="H51" s="4" t="inlineStr">
        <is>
          <t>8.25 Zustand der Fahrkorbausstattung [Auslöser · Pflicht]
8.26 Wiederholte Vandalismusschäden? [Auslöser · Pflicht]
8.26a Vandalismussichere Ausführung nach DIN EN 81-71? [Kompensation · bedingt Pflicht]
2.2 Öffentlich zugängliche Anlage (Publikumsverkehr)? [Dokumentation]</t>
        </is>
      </c>
      <c r="I51" s="4" t="inlineStr">
        <is>
          <t>DIN EN 81-71</t>
        </is>
      </c>
      <c r="J51" s="4" t="inlineStr"/>
      <c r="K51" s="4" t="n">
        <v>4</v>
      </c>
    </row>
    <row r="52">
      <c r="A52" s="2" t="inlineStr">
        <is>
          <t>MF-K12</t>
        </is>
      </c>
      <c r="B52" s="2" t="inlineStr">
        <is>
          <t>Fehlender Schutz gegen unbeabsichtigte Fahrkorbbewegung bei offenen Türen (UCM)</t>
        </is>
      </c>
      <c r="C52" s="2" t="inlineStr">
        <is>
          <t>Sicherheitskomponenten</t>
        </is>
      </c>
      <c r="D52" s="2" t="inlineStr">
        <is>
          <t>K – Fahrkorb</t>
        </is>
      </c>
      <c r="E52" s="2" t="inlineStr">
        <is>
          <t>NONE</t>
        </is>
      </c>
      <c r="F52" s="2" t="inlineStr">
        <is>
          <t>Mechanische Gefährdung durch unkontrollierte Bewegung bei geöffneten Türen</t>
        </is>
      </c>
      <c r="G52" s="2" t="inlineStr">
        <is>
          <t>Nutzer</t>
        </is>
      </c>
      <c r="H52" s="2" t="inlineStr">
        <is>
          <t>4.5 UCM-Schutz (unbeabsichtigte Fahrkorbbewegung, A3 / EN 81-20 5.6.7) vorhanden? [Auslöser · Pflicht]
8.27 Türüberbrückung (SR-Modul) für Nachregulieren / Voraböffnen mit offener Tür vorhanden? [Auslöser · bedingt Pflicht]
6.2 Zweikreisbremse (redundante Betriebsbremse) vorhanden? [Kompensation · bedingt Pflicht]
6.2a Bremse elektrisch überwacht (Bremskontrollschalter)? [Kompensation · bedingt Pflicht]
4.6 Antriebswelle statisch bestimmt gelagert (keine 3-Punkt-Lagerung)? [Kompensation · bedingt Pflicht]
3.1 Aufzugsart [Modifier · Pflicht]</t>
        </is>
      </c>
      <c r="I52" s="2" t="inlineStr">
        <is>
          <t>DIN EN 81-20 5.6.7; DIN EN 81-20 5.9.2.2.2; TRBS 3121 Anh. 1 Nr. 16 (UCM und Aufwärts-Übergeschwindigkeit bei Seilaufzügen)</t>
        </is>
      </c>
      <c r="J52" s="2" t="inlineStr">
        <is>
          <t>K-K08, K-K11, K-K12</t>
        </is>
      </c>
      <c r="K52" s="2" t="n">
        <v>5</v>
      </c>
    </row>
    <row r="53">
      <c r="A53" s="4" t="inlineStr">
        <is>
          <t>MF-K13</t>
        </is>
      </c>
      <c r="B53" s="4" t="inlineStr">
        <is>
          <t>Fehlender Schutz gegen Übergeschwindigkeit aufwärts / Sturz nach oben</t>
        </is>
      </c>
      <c r="C53" s="4" t="inlineStr">
        <is>
          <t>Sicherheitskomponenten</t>
        </is>
      </c>
      <c r="D53" s="4" t="inlineStr">
        <is>
          <t>K – Fahrkorb</t>
        </is>
      </c>
      <c r="E53" s="4" t="inlineStr">
        <is>
          <t>NONE</t>
        </is>
      </c>
      <c r="F53" s="4" t="inlineStr">
        <is>
          <t>Mechanische Gefährdung durch Beschleunigung und Abbremsung (kinetische Energie)</t>
        </is>
      </c>
      <c r="G53" s="4" t="inlineStr">
        <is>
          <t>Nutzer</t>
        </is>
      </c>
      <c r="H53" s="4" t="inlineStr">
        <is>
          <t>3.1 Aufzugsart [Filter]
3.1b Gegengewicht oder Ausgleichsgewicht vorhanden? [Filter]
8.28 Schutz gegen Übergeschwindigkeit aufwärts / Sturz nach oben [Auslöser · Pflicht]</t>
        </is>
      </c>
      <c r="I53" s="4" t="inlineStr">
        <is>
          <t>DIN EN 81-20 5.6.6; TRBS 3121 Anh. 1 Nr. 16 (UCM und Aufwärts-Übergeschwindigkeit bei Seilaufzügen)</t>
        </is>
      </c>
      <c r="J53" s="4" t="inlineStr"/>
      <c r="K53" s="4" t="n">
        <v>2</v>
      </c>
    </row>
    <row r="54">
      <c r="A54" s="2" t="inlineStr">
        <is>
          <t>MF-K14</t>
        </is>
      </c>
      <c r="B54" s="2" t="inlineStr">
        <is>
          <t>Statisch unbestimmt gelagerte Antriebswelle (3-Punkt-Lagerung)</t>
        </is>
      </c>
      <c r="C54" s="2" t="inlineStr">
        <is>
          <t>Antrieb, Bremse und Hydraulik</t>
        </is>
      </c>
      <c r="D54" s="2" t="inlineStr">
        <is>
          <t>K – Fahrkorb</t>
        </is>
      </c>
      <c r="E54" s="2" t="inlineStr">
        <is>
          <t>NONE</t>
        </is>
      </c>
      <c r="F54" s="2" t="inlineStr">
        <is>
          <t>Mechanische Gefährdung durch Beschleunigung und Abbremsung (kinetische Energie)</t>
        </is>
      </c>
      <c r="G54" s="2" t="inlineStr">
        <is>
          <t>Nutzer</t>
        </is>
      </c>
      <c r="H54" s="2" t="inlineStr">
        <is>
          <t>3.1 Aufzugsart [Filter]
4.6 Antriebswelle statisch bestimmt gelagert (keine 3-Punkt-Lagerung)? [Auslöser · Pflicht]
8.28 Schutz gegen Übergeschwindigkeit aufwärts / Sturz nach oben [Kompensation · bedingt Pflicht]</t>
        </is>
      </c>
      <c r="I54" s="2" t="inlineStr">
        <is>
          <t>DIN EN 81-20 5.9.2.2.2; TRBS 3121 Anh. 1 Nr. 16 (UCM und Aufwärts-Übergeschwindigkeit bei Seilaufzügen)</t>
        </is>
      </c>
      <c r="J54" s="2" t="inlineStr"/>
      <c r="K54" s="2" t="n">
        <v>3</v>
      </c>
    </row>
    <row r="55">
      <c r="A55" s="4" t="inlineStr">
        <is>
          <t>MF-K15</t>
        </is>
      </c>
      <c r="B55" s="4" t="inlineStr">
        <is>
          <t>Unzureichende Beleuchtung im Fahrkorb (Normalbetrieb)</t>
        </is>
      </c>
      <c r="C55" s="4" t="inlineStr">
        <is>
          <t>Beleuchtung</t>
        </is>
      </c>
      <c r="D55" s="4" t="inlineStr">
        <is>
          <t>K – Fahrkorb</t>
        </is>
      </c>
      <c r="E55" s="4" t="inlineStr">
        <is>
          <t>MAXIMUM</t>
        </is>
      </c>
      <c r="F55" s="4" t="inlineStr">
        <is>
          <t>Gefährdung durch Arbeitsumgebungsbedingungen (unzureichende Beleuchtung)</t>
        </is>
      </c>
      <c r="G55" s="4" t="inlineStr">
        <is>
          <t>Nutzer</t>
        </is>
      </c>
      <c r="H55" s="4" t="inlineStr">
        <is>
          <t>8.29 Beleuchtung im Fahrkorb (Normalbetrieb) [Auslöser · Pflicht]
8.29a Mindestens zwei parallel geschaltete Lampen im Fahrkorb? [Modifier · Pflicht]
8.29b Fahrkorb ständig beleuchtet (Ausnahme: Parken mit geschlossenen Türen)? [Modifier · Pflicht]</t>
        </is>
      </c>
      <c r="I55" s="4" t="inlineStr">
        <is>
          <t>DIN EN 81-20 5.4.10.1; DIN EN 81-20 5.4.10.2; DIN EN 81-20 5.4.10.3</t>
        </is>
      </c>
      <c r="J55" s="4" t="inlineStr"/>
      <c r="K55" s="4" t="n">
        <v>5</v>
      </c>
    </row>
    <row r="56">
      <c r="A56" s="2" t="inlineStr">
        <is>
          <t>MF-F01</t>
        </is>
      </c>
      <c r="B56" s="2" t="inlineStr">
        <is>
          <t>Fehlende oder unzureichende Absturzsicherung auf dem Fahrkorbdach</t>
        </is>
      </c>
      <c r="C56" s="2" t="inlineStr">
        <is>
          <t>Fahrkorbdach und Schachtkopf</t>
        </is>
      </c>
      <c r="D56" s="2" t="inlineStr">
        <is>
          <t>F – Fahrkorbdach und Schachtkopf</t>
        </is>
      </c>
      <c r="E56" s="2" t="inlineStr">
        <is>
          <t>MAXIMUM</t>
        </is>
      </c>
      <c r="F56" s="2" t="inlineStr">
        <is>
          <t>Mechanische Gefährdung durch Absturz in den Schacht</t>
        </is>
      </c>
      <c r="G56" s="2" t="inlineStr">
        <is>
          <t>Wartungspersonal</t>
        </is>
      </c>
      <c r="H56" s="2" t="inlineStr">
        <is>
          <t>9.1 Größter horizontaler Abstand zwischen Fahrkorbdachkante und Schachtwand [mm] [Auslöser · Pflicht]
9.2 Geländer auf dem Fahrkorbdach vorhanden? [Kompensation · bedingt Pflicht]
9.3 Geländerhöhe [mm] [Kompensation · bedingt Pflicht]
9.4 Fußleiste (mind. 100 mm) am Rand des Fahrkorbdachs vorhanden? [Auslöser · Pflicht]</t>
        </is>
      </c>
      <c r="I56" s="2" t="inlineStr">
        <is>
          <t>DIN EN 81-20 5.4.7.3; DIN EN 81-20 5.4.7.4; TRBS 3121 Anh. 1 Nr. 15 (Fahrkorbdachumwehrung)</t>
        </is>
      </c>
      <c r="J56" s="2" t="inlineStr">
        <is>
          <t>K-F01, K-F02</t>
        </is>
      </c>
      <c r="K56" s="2" t="n">
        <v>6</v>
      </c>
    </row>
    <row r="57">
      <c r="A57" s="4" t="inlineStr">
        <is>
          <t>MF-F02</t>
        </is>
      </c>
      <c r="B57" s="4" t="inlineStr">
        <is>
          <t>Einzugsgefahr an Rollen im Schachtkopf / auf dem Fahrkorbdach</t>
        </is>
      </c>
      <c r="C57" s="4" t="inlineStr">
        <is>
          <t>Fahrkorbdach und Schachtkopf</t>
        </is>
      </c>
      <c r="D57" s="4" t="inlineStr">
        <is>
          <t>F – Fahrkorbdach und Schachtkopf</t>
        </is>
      </c>
      <c r="E57" s="4" t="inlineStr">
        <is>
          <t>MAXIMUM</t>
        </is>
      </c>
      <c r="F57" s="4" t="inlineStr">
        <is>
          <t>Mechanische Gefährdung durch rotierende Teile (Erfassen, Einziehen)</t>
        </is>
      </c>
      <c r="G57" s="4" t="inlineStr">
        <is>
          <t>Wartungspersonal</t>
        </is>
      </c>
      <c r="H57" s="4" t="inlineStr">
        <is>
          <t>9.5 Einzugstellen im Schachtkopf / auf dem Fahrkorbdach vorhanden (Umlenkrollen, Heberrolle, Seilrollen)? [Auslöser · Pflicht]
9.5a Abdeckung der Einzugstellen [Auslöser · bedingt Pflicht]</t>
        </is>
      </c>
      <c r="I57" s="4" t="inlineStr">
        <is>
          <t>DIN EN 81-20 5.5.7</t>
        </is>
      </c>
      <c r="J57" s="4" t="inlineStr"/>
      <c r="K57" s="4" t="n">
        <v>3</v>
      </c>
    </row>
    <row r="58">
      <c r="A58" s="2" t="inlineStr">
        <is>
          <t>MF-F03</t>
        </is>
      </c>
      <c r="B58" s="2" t="inlineStr">
        <is>
          <t>Gefährdung durch Nachbaraufzug oder dessen Gegengewicht (Fahrkorbdach)</t>
        </is>
      </c>
      <c r="C58" s="2" t="inlineStr">
        <is>
          <t>Fahrkorbdach und Schachtkopf</t>
        </is>
      </c>
      <c r="D58" s="2" t="inlineStr">
        <is>
          <t>F – Fahrkorbdach und Schachtkopf</t>
        </is>
      </c>
      <c r="E58" s="2" t="inlineStr">
        <is>
          <t>NONE</t>
        </is>
      </c>
      <c r="F58" s="2" t="inlineStr">
        <is>
          <t>Mechanische Gefährdung durch bewegte Teile (Quetschen, Scheren, Einziehen)</t>
        </is>
      </c>
      <c r="G58" s="2" t="inlineStr">
        <is>
          <t>Wartungspersonal</t>
        </is>
      </c>
      <c r="H58" s="2" t="inlineStr">
        <is>
          <t>4.8 Mehrere Aufzüge in einem gemeinsamen Schacht? [Filter]
9.6 Abtrennung zum Nachbaraufzug / Nachbar-Gegengewicht im Bereich des Fahrkorbdachs [Auslöser · Pflicht]</t>
        </is>
      </c>
      <c r="I58" s="2" t="inlineStr">
        <is>
          <t>DIN EN 81-20 5.2.5.5.2.2; TRBS 3121 Anh. 1 Nr. 4 (Benachbarte Aufzüge im Fahrschacht)</t>
        </is>
      </c>
      <c r="J58" s="2" t="inlineStr"/>
      <c r="K58" s="2" t="n">
        <v>4</v>
      </c>
    </row>
    <row r="59">
      <c r="A59" s="4" t="inlineStr">
        <is>
          <t>MF-F04</t>
        </is>
      </c>
      <c r="B59" s="4" t="inlineStr">
        <is>
          <t>Unzureichender Schutzraum / Kopffreiheit im Schachtkopf</t>
        </is>
      </c>
      <c r="C59" s="4" t="inlineStr">
        <is>
          <t>Fahrkorbdach und Schachtkopf</t>
        </is>
      </c>
      <c r="D59" s="4" t="inlineStr">
        <is>
          <t>F – Fahrkorbdach und Schachtkopf</t>
        </is>
      </c>
      <c r="E59" s="4" t="inlineStr">
        <is>
          <t>MAXIMUM</t>
        </is>
      </c>
      <c r="F59" s="4" t="inlineStr">
        <is>
          <t>Mechanische Gefährdung durch Quetschen zwischen Fahrkorb und Schacht</t>
        </is>
      </c>
      <c r="G59" s="4" t="inlineStr">
        <is>
          <t>Wartungspersonal</t>
        </is>
      </c>
      <c r="H59" s="4" t="inlineStr">
        <is>
          <t>9.7 Schutzraum im Schachtkopf [Auslöser · Pflicht]
9.7a Warnkennzeichnung zur reduzierten Kopffreiheit vorhanden? [Auslöser · bedingt Pflicht]</t>
        </is>
      </c>
      <c r="I59" s="4" t="inlineStr">
        <is>
          <t>DIN EN 81-20 5.2.5.7; DIN EN 81-20 5.2.5.8; TRBS 3121 Anh. 1 Nr. 5 (Schutzräume in Grube und Schachtkopf)</t>
        </is>
      </c>
      <c r="J59" s="4" t="inlineStr">
        <is>
          <t>K-F03, K-F05</t>
        </is>
      </c>
      <c r="K59" s="4" t="n">
        <v>5</v>
      </c>
    </row>
    <row r="60">
      <c r="A60" s="2" t="inlineStr">
        <is>
          <t>MF-F05</t>
        </is>
      </c>
      <c r="B60" s="2" t="inlineStr">
        <is>
          <t>Fehlende oder unzulängliche Inspektionssteuerung auf dem Fahrkorbdach</t>
        </is>
      </c>
      <c r="C60" s="2" t="inlineStr">
        <is>
          <t>Sicherheitskomponenten</t>
        </is>
      </c>
      <c r="D60" s="2" t="inlineStr">
        <is>
          <t>F – Fahrkorbdach und Schachtkopf</t>
        </is>
      </c>
      <c r="E60" s="2" t="inlineStr">
        <is>
          <t>MAXIMUM</t>
        </is>
      </c>
      <c r="F60" s="2" t="inlineStr">
        <is>
          <t>Gefährdung durch unbeabsichtigtes Betätigen von Befehlsgebern</t>
        </is>
      </c>
      <c r="G60" s="2" t="inlineStr">
        <is>
          <t>Wartungspersonal</t>
        </is>
      </c>
      <c r="H60" s="2" t="inlineStr">
        <is>
          <t>9.8 Inspektionssteuerung auf dem Fahrkorbdach vorhanden? [Auslöser · Pflicht]
9.8a Inspektionssteuerung gegen unbeabsichtigtes Betätigen geschützt? [Auslöser · bedingt Pflicht]
9.8b Inspektionssteuerung vom Zugang aus gut erreichbar? [Auslöser · bedingt Pflicht]
9.8c Inspektionsgeschwindigkeit max. 0,63 m/s? [Auslöser · bedingt Pflicht]</t>
        </is>
      </c>
      <c r="I60" s="2" t="inlineStr">
        <is>
          <t>DIN EN 81-20 5.12.1.5.1.1; DIN EN 81-20 5.12.1.5.2; TRBS 3121 Anh. 1 Nr. 22 (Inspektionssteuerung und Stoppeinrichtung auf dem Fahrkorbdach)</t>
        </is>
      </c>
      <c r="J60" s="2" t="inlineStr"/>
      <c r="K60" s="2" t="n">
        <v>5</v>
      </c>
    </row>
    <row r="61">
      <c r="A61" s="4" t="inlineStr">
        <is>
          <t>MF-F06</t>
        </is>
      </c>
      <c r="B61" s="4" t="inlineStr">
        <is>
          <t>Fehlender oder unwirksamer Not-Halt auf dem Fahrkorbdach</t>
        </is>
      </c>
      <c r="C61" s="4" t="inlineStr">
        <is>
          <t>Sicherheitskomponenten</t>
        </is>
      </c>
      <c r="D61" s="4" t="inlineStr">
        <is>
          <t>F – Fahrkorbdach und Schachtkopf</t>
        </is>
      </c>
      <c r="E61" s="4" t="inlineStr">
        <is>
          <t>MAXIMUM</t>
        </is>
      </c>
      <c r="F61" s="4" t="inlineStr">
        <is>
          <t>Gefährdung durch unbeabsichtigtes Betätigen von Befehlsgebern</t>
        </is>
      </c>
      <c r="G61" s="4" t="inlineStr">
        <is>
          <t>Wartungspersonal</t>
        </is>
      </c>
      <c r="H61" s="4" t="inlineStr">
        <is>
          <t>9.9 Notbremsschalter (Not-Halt) auf dem Fahrkorbdach vorhanden? [Auslöser · Pflicht]
9.9a Not-Halt vom Zugang aus erreichbar? [Auslöser · bedingt Pflicht]
9.9b Not-Halt wirksam (Funktion geprüft)? [Auslöser · bedingt Pflicht]</t>
        </is>
      </c>
      <c r="I61" s="4" t="inlineStr">
        <is>
          <t>DIN EN 81-20 5.4.8; DIN EN 81-20 5.12.1.11; TRBS 3121 Anh. 1 Nr. 22 (Inspektionssteuerung und Stoppeinrichtung auf dem Fahrkorbdach)</t>
        </is>
      </c>
      <c r="J61" s="4" t="inlineStr"/>
      <c r="K61" s="4" t="n">
        <v>4</v>
      </c>
    </row>
    <row r="62">
      <c r="A62" s="2" t="inlineStr">
        <is>
          <t>MF-F07</t>
        </is>
      </c>
      <c r="B62" s="2" t="inlineStr">
        <is>
          <t>Nicht tragfähiges Fahrkorbdach oder unüberwachte Dachklappe</t>
        </is>
      </c>
      <c r="C62" s="2" t="inlineStr">
        <is>
          <t>Fahrkorbdach und Schachtkopf</t>
        </is>
      </c>
      <c r="D62" s="2" t="inlineStr">
        <is>
          <t>F – Fahrkorbdach und Schachtkopf</t>
        </is>
      </c>
      <c r="E62" s="2" t="inlineStr">
        <is>
          <t>MAXIMUM</t>
        </is>
      </c>
      <c r="F62" s="2" t="inlineStr">
        <is>
          <t>Mechanische Gefährdung durch Absturz in den Schacht</t>
        </is>
      </c>
      <c r="G62" s="2" t="inlineStr">
        <is>
          <t>Wartungspersonal</t>
        </is>
      </c>
      <c r="H62" s="2" t="inlineStr">
        <is>
          <t>9.10 Fahrkorbdach tragfähig (200 kg auf 0,30 m × 0,30 m)? [Auslöser · Pflicht]
9.11 Klappe / Notausstieg im Fahrkorbdach vorhanden? [Auslöser · Pflicht]
9.11a Klappe elektrisch überwacht (Sicherheitskreis)? [Auslöser · bedingt Pflicht]
1.28 Regelwerk bei Inverkehrbringen / letzter Modernisierung [Dokumentation]</t>
        </is>
      </c>
      <c r="I62" s="2" t="inlineStr">
        <is>
          <t>DIN EN 81-20 5.4.7.1; DIN EN 81-20 5.4.6.2</t>
        </is>
      </c>
      <c r="J62" s="2" t="inlineStr"/>
      <c r="K62" s="2" t="n">
        <v>3</v>
      </c>
    </row>
    <row r="63">
      <c r="A63" s="4" t="inlineStr">
        <is>
          <t>MF-F08</t>
        </is>
      </c>
      <c r="B63" s="4" t="inlineStr">
        <is>
          <t>Fehlende Notbeleuchtung auf dem Fahrkorbdach</t>
        </is>
      </c>
      <c r="C63" s="4" t="inlineStr">
        <is>
          <t>Beleuchtung</t>
        </is>
      </c>
      <c r="D63" s="4" t="inlineStr">
        <is>
          <t>F – Fahrkorbdach und Schachtkopf</t>
        </is>
      </c>
      <c r="E63" s="4" t="inlineStr">
        <is>
          <t>NONE</t>
        </is>
      </c>
      <c r="F63" s="4" t="inlineStr">
        <is>
          <t>Gefährdung durch Arbeitsumgebungsbedingungen (unzureichende Beleuchtung)</t>
        </is>
      </c>
      <c r="G63" s="4" t="inlineStr">
        <is>
          <t>Wartungspersonal</t>
        </is>
      </c>
      <c r="H63" s="4" t="inlineStr">
        <is>
          <t>9.12 Notbeleuchtung auf dem Fahrkorbdach (mind. 5 Lux, 1 h) vorhanden? [Auslöser · Pflicht]</t>
        </is>
      </c>
      <c r="I63" s="4" t="inlineStr">
        <is>
          <t>DIN EN 81-20 5.4.10.4</t>
        </is>
      </c>
      <c r="J63" s="4" t="inlineStr">
        <is>
          <t>K-F04</t>
        </is>
      </c>
      <c r="K63" s="4" t="n">
        <v>2</v>
      </c>
    </row>
    <row r="64">
      <c r="A64" s="2" t="inlineStr">
        <is>
          <t>MF-F09</t>
        </is>
      </c>
      <c r="B64" s="2" t="inlineStr">
        <is>
          <t>Fehlender Notruf auf dem Fahrkorbdach</t>
        </is>
      </c>
      <c r="C64" s="2" t="inlineStr">
        <is>
          <t>Notruf und Personenbefreiung</t>
        </is>
      </c>
      <c r="D64" s="2" t="inlineStr">
        <is>
          <t>F – Fahrkorbdach und Schachtkopf</t>
        </is>
      </c>
      <c r="E64" s="2" t="inlineStr">
        <is>
          <t>NONE</t>
        </is>
      </c>
      <c r="F64" s="2" t="inlineStr">
        <is>
          <t>Sonstige Gefährdung durch fehlende oder unzureichende Notfallorganisation</t>
        </is>
      </c>
      <c r="G64" s="2" t="inlineStr">
        <is>
          <t>Wartungspersonal</t>
        </is>
      </c>
      <c r="H64" s="2" t="inlineStr">
        <is>
          <t>9.13 Eindeutig erkennbarer Auslöser für den (Fern-)Notruf auf dem Fahrkorbdach vorhanden? [Auslöser · Pflicht]</t>
        </is>
      </c>
      <c r="I64" s="2" t="inlineStr">
        <is>
          <t>DIN EN 81-20 5.12.3.2</t>
        </is>
      </c>
      <c r="J64" s="2" t="inlineStr"/>
      <c r="K64" s="2" t="n">
        <v>2</v>
      </c>
    </row>
    <row r="65">
      <c r="A65" s="4" t="inlineStr">
        <is>
          <t>MF-S01</t>
        </is>
      </c>
      <c r="B65" s="4" t="inlineStr">
        <is>
          <t>Unzureichende Schachtbeleuchtung</t>
        </is>
      </c>
      <c r="C65" s="4" t="inlineStr">
        <is>
          <t>Beleuchtung</t>
        </is>
      </c>
      <c r="D65" s="4" t="inlineStr">
        <is>
          <t>S – Schacht</t>
        </is>
      </c>
      <c r="E65" s="4" t="inlineStr">
        <is>
          <t>MAXIMUM</t>
        </is>
      </c>
      <c r="F65" s="4" t="inlineStr">
        <is>
          <t>Gefährdung durch Arbeitsumgebungsbedingungen (unzureichende Beleuchtung)</t>
        </is>
      </c>
      <c r="G65" s="4" t="inlineStr">
        <is>
          <t>Wartungspersonal</t>
        </is>
      </c>
      <c r="H65" s="4" t="inlineStr">
        <is>
          <t>10.1 Schachtbeleuchtung vorhanden? [Auslöser · Pflicht]
10.1a Schachtbeleuchtung ausreichend (mind. 20 Lux, auch auf dem Fahrkorbdach)? [Auslöser · bedingt Pflicht]
10.1b Leuchten im Schacht mit Splitterschutz und an geeigneter Stelle? [Auslöser · bedingt Pflicht]</t>
        </is>
      </c>
      <c r="I65" s="4" t="inlineStr">
        <is>
          <t>DIN EN 81-20 5.2.1.4.1; TRBS 3121 Anh. 1 Nr. 8 (Schachtbeleuchtung)</t>
        </is>
      </c>
      <c r="J65" s="4" t="inlineStr"/>
      <c r="K65" s="4" t="n">
        <v>4</v>
      </c>
    </row>
    <row r="66">
      <c r="A66" s="2" t="inlineStr">
        <is>
          <t>MF-S02</t>
        </is>
      </c>
      <c r="B66" s="2" t="inlineStr">
        <is>
          <t>Unzureichende Beleuchtung an den Schachtzugängen</t>
        </is>
      </c>
      <c r="C66" s="2" t="inlineStr">
        <is>
          <t>Beleuchtung</t>
        </is>
      </c>
      <c r="D66" s="2" t="inlineStr">
        <is>
          <t>S – Schacht</t>
        </is>
      </c>
      <c r="E66" s="2" t="inlineStr">
        <is>
          <t>NONE</t>
        </is>
      </c>
      <c r="F66" s="2" t="inlineStr">
        <is>
          <t>Gefährdung durch Arbeitsumgebungsbedingungen (unzureichende Beleuchtung)</t>
        </is>
      </c>
      <c r="G66" s="2" t="inlineStr">
        <is>
          <t>Nutzer</t>
        </is>
      </c>
      <c r="H66" s="2" t="inlineStr">
        <is>
          <t>10.2 Beleuchtung an den Schachtzugängen (Haltestellen) mind. 75 Lux? [Auslöser · Pflicht]</t>
        </is>
      </c>
      <c r="I66" s="2" t="inlineStr">
        <is>
          <t>DIN EN 81-20 5.3.7.1</t>
        </is>
      </c>
      <c r="J66" s="2" t="inlineStr"/>
      <c r="K66" s="2" t="n">
        <v>2</v>
      </c>
    </row>
    <row r="67">
      <c r="A67" s="4" t="inlineStr">
        <is>
          <t>MF-S03</t>
        </is>
      </c>
      <c r="B67" s="4" t="inlineStr">
        <is>
          <t>Unzureichende Schachtumwehrung oder Schachtwände</t>
        </is>
      </c>
      <c r="C67" s="4" t="inlineStr">
        <is>
          <t>Schacht und Gegengewicht</t>
        </is>
      </c>
      <c r="D67" s="4" t="inlineStr">
        <is>
          <t>S – Schacht</t>
        </is>
      </c>
      <c r="E67" s="4" t="inlineStr">
        <is>
          <t>MAXIMUM</t>
        </is>
      </c>
      <c r="F67" s="4" t="inlineStr">
        <is>
          <t>Mechanische Gefährdung durch Absturz in den Schacht</t>
        </is>
      </c>
      <c r="G67" s="4" t="inlineStr">
        <is>
          <t>Nutzer, Wartungspersonal</t>
        </is>
      </c>
      <c r="H67" s="4" t="inlineStr">
        <is>
          <t>10.3 Schacht vollständig umwehrt (Wände, Decke, Boden)? [Auslöser · Pflicht]
10.3a Teilumwehrung nach EN 81-20 5.2.5.2.3 zulässig ausgeführt (Höhen, Abstände)? [Kompensation · bedingt Pflicht]
10.4 Schachtwände ausreichend fest (100 kg auf 0,30 m × 0,30 m, keine Durchbrüche)? [Auslöser · Pflicht]
10.5 Nachweis Verbundsicherheitsglas für die Schachtverglasung vorhanden? [Auslöser · bedingt Pflicht]
4.2 Schacht oder Schachtgerüst mit Glas? [optional]</t>
        </is>
      </c>
      <c r="I67" s="4" t="inlineStr">
        <is>
          <t>DIN EN 81-20 5.2.5; DIN EN 81-20 5.2.5.2.3</t>
        </is>
      </c>
      <c r="J67" s="4" t="inlineStr">
        <is>
          <t>K-S05</t>
        </is>
      </c>
      <c r="K67" s="4" t="n">
        <v>5</v>
      </c>
    </row>
    <row r="68">
      <c r="A68" s="2" t="inlineStr">
        <is>
          <t>MF-S04</t>
        </is>
      </c>
      <c r="B68" s="2" t="inlineStr">
        <is>
          <t>Führungsschienen nicht aus Stahl</t>
        </is>
      </c>
      <c r="C68" s="2" t="inlineStr">
        <is>
          <t>Schacht und Gegengewicht</t>
        </is>
      </c>
      <c r="D68" s="2" t="inlineStr">
        <is>
          <t>S – Schacht</t>
        </is>
      </c>
      <c r="E68" s="2" t="inlineStr">
        <is>
          <t>NONE</t>
        </is>
      </c>
      <c r="F68" s="2" t="inlineStr">
        <is>
          <t>Mechanische Gefährdung durch Beschleunigung und Abbremsung (kinetische Energie)</t>
        </is>
      </c>
      <c r="G68" s="2" t="inlineStr">
        <is>
          <t>Nutzer</t>
        </is>
      </c>
      <c r="H68" s="2" t="inlineStr">
        <is>
          <t>10.6 Führungsschienen für Fahrkorb und Gegengewicht aus Stahl? [Auslöser · Pflicht]</t>
        </is>
      </c>
      <c r="I68" s="2" t="inlineStr">
        <is>
          <t>DIN EN 81-20 5.7.1</t>
        </is>
      </c>
      <c r="J68" s="2" t="inlineStr"/>
      <c r="K68" s="2" t="n">
        <v>2</v>
      </c>
    </row>
    <row r="69">
      <c r="A69" s="4" t="inlineStr">
        <is>
          <t>MF-S05</t>
        </is>
      </c>
      <c r="B69" s="4" t="inlineStr">
        <is>
          <t>Fehlende oder ungeprüfte Fangvorrichtung, Geschwindigkeitsbegrenzer oder Schlaffseilsicherung</t>
        </is>
      </c>
      <c r="C69" s="4" t="inlineStr">
        <is>
          <t>Sicherheitskomponenten</t>
        </is>
      </c>
      <c r="D69" s="4" t="inlineStr">
        <is>
          <t>S – Schacht</t>
        </is>
      </c>
      <c r="E69" s="4" t="inlineStr">
        <is>
          <t>MAXIMUM</t>
        </is>
      </c>
      <c r="F69" s="4" t="inlineStr">
        <is>
          <t>Mechanische Gefährdung durch Beschleunigung und Abbremsung (kinetische Energie)</t>
        </is>
      </c>
      <c r="G69" s="4" t="inlineStr">
        <is>
          <t>Nutzer</t>
        </is>
      </c>
      <c r="H69" s="4" t="inlineStr">
        <is>
          <t>3.1 Aufzugsart [Filter]
10.7 Fangvorrichtung am Fahrkorb vorhanden? [Auslöser · Pflicht]
10.8 Geschwindigkeitsbegrenzer vorhanden? [Auslöser · Pflicht]
10.9 Prüfung von Fangvorrichtung und Begrenzer dokumentiert? [Auslöser · bedingt Pflicht]
10.10 Spanngewicht des Begrenzerseils mit Schlaffseilschalter? [Auslöser · bedingt Pflicht]
10.11 Schlaffseil-/Schlaffkettensicherung vorhanden? [Auslöser · bedingt Pflicht]</t>
        </is>
      </c>
      <c r="I69" s="4" t="inlineStr">
        <is>
          <t>DIN EN 81-20 5.6.2; DIN EN 81-20 5.6.2.2.1.6; DIN EN 81-20 5.5.5.3; TRBS 3121 Anh. 1 Nr. 16 (UCM und Aufwärts-Übergeschwindigkeit bei Seilaufzügen)</t>
        </is>
      </c>
      <c r="J69" s="4" t="inlineStr"/>
      <c r="K69" s="4" t="n">
        <v>6</v>
      </c>
    </row>
    <row r="70">
      <c r="A70" s="2" t="inlineStr">
        <is>
          <t>MF-S06</t>
        </is>
      </c>
      <c r="B70" s="2" t="inlineStr">
        <is>
          <t>Aufzugsfremde Einrichtungen im Schacht</t>
        </is>
      </c>
      <c r="C70" s="2" t="inlineStr">
        <is>
          <t>Schacht und Gegengewicht</t>
        </is>
      </c>
      <c r="D70" s="2" t="inlineStr">
        <is>
          <t>S – Schacht</t>
        </is>
      </c>
      <c r="E70" s="2" t="inlineStr">
        <is>
          <t>NONE</t>
        </is>
      </c>
      <c r="F70" s="2" t="inlineStr">
        <is>
          <t>Mechanische Gefährdung durch Stolpern, Rutschen, Stürzen</t>
        </is>
      </c>
      <c r="G70" s="2" t="inlineStr">
        <is>
          <t>Wartungspersonal</t>
        </is>
      </c>
      <c r="H70" s="2" t="inlineStr">
        <is>
          <t>10.12 Schacht frei von aufzugsfremden Einrichtungen? [Auslöser · Pflicht]
10.12a Aufzugsfremde Leitungen fachgerecht verlegt und gekennzeichnet? [Kompensation · bedingt Pflicht]
10.12b Behindern aufzugsfremde Einrichtungen Arbeiten oder Rettungswege im Schacht? [Auslöser · bedingt Pflicht]</t>
        </is>
      </c>
      <c r="I70" s="2" t="inlineStr">
        <is>
          <t>DIN EN 81-20 5.2.1.2</t>
        </is>
      </c>
      <c r="J70" s="2" t="inlineStr">
        <is>
          <t>K-S03</t>
        </is>
      </c>
      <c r="K70" s="2" t="n">
        <v>4</v>
      </c>
    </row>
    <row r="71">
      <c r="A71" s="4" t="inlineStr">
        <is>
          <t>MF-S07</t>
        </is>
      </c>
      <c r="B71" s="4" t="inlineStr">
        <is>
          <t>Zugänge zum Schacht und zugehörige Schalteinrichtungen nicht frei und sicher begehbar</t>
        </is>
      </c>
      <c r="C71" s="4" t="inlineStr">
        <is>
          <t>Zugang und Verkehrswege</t>
        </is>
      </c>
      <c r="D71" s="4" t="inlineStr">
        <is>
          <t>S – Schacht</t>
        </is>
      </c>
      <c r="E71" s="4" t="inlineStr">
        <is>
          <t>NONE</t>
        </is>
      </c>
      <c r="F71" s="4" t="inlineStr">
        <is>
          <t>Mechanische Gefährdung durch Stolpern, Rutschen, Stürzen</t>
        </is>
      </c>
      <c r="G71" s="4" t="inlineStr">
        <is>
          <t>Beauftragte Person, Wartungspersonal</t>
        </is>
      </c>
      <c r="H71" s="4" t="inlineStr">
        <is>
          <t>10.13 Zugänge zum Schacht (Schachttüren, Inspektionstüren) und die zugehörigen Schalteinrichtungen frei und sicher begehbar? [Auslöser · Pflicht]</t>
        </is>
      </c>
      <c r="I71" s="4" t="inlineStr">
        <is>
          <t>DIN EN 81-20 5.2.2.1</t>
        </is>
      </c>
      <c r="J71" s="4" t="inlineStr"/>
      <c r="K71" s="4" t="n">
        <v>2</v>
      </c>
    </row>
    <row r="72">
      <c r="A72" s="2" t="inlineStr">
        <is>
          <t>MF-G01</t>
        </is>
      </c>
      <c r="B72" s="2" t="inlineStr">
        <is>
          <t>Unzureichende Beleuchtung in der Schachtgrube</t>
        </is>
      </c>
      <c r="C72" s="2" t="inlineStr">
        <is>
          <t>Beleuchtung</t>
        </is>
      </c>
      <c r="D72" s="2" t="inlineStr">
        <is>
          <t>G – Schachtgrube</t>
        </is>
      </c>
      <c r="E72" s="2" t="inlineStr">
        <is>
          <t>MAXIMUM</t>
        </is>
      </c>
      <c r="F72" s="2" t="inlineStr">
        <is>
          <t>Gefährdung durch Arbeitsumgebungsbedingungen (unzureichende Beleuchtung)</t>
        </is>
      </c>
      <c r="G72" s="2" t="inlineStr">
        <is>
          <t>Wartungspersonal</t>
        </is>
      </c>
      <c r="H72" s="2" t="inlineStr">
        <is>
          <t>11.2 Beleuchtung in der Schachtgrube vorhanden? [Auslöser · Pflicht]
11.2a Grubenbeleuchtung ausreichend (mind. 50 Lux), Leuchten geeignet angeordnet? [Auslöser · bedingt Pflicht]</t>
        </is>
      </c>
      <c r="I72" s="2" t="inlineStr">
        <is>
          <t>DIN EN 81-20 5.2.1.4.1; TRBS 3121 Anh. 1 Nr. 8 (Schachtbeleuchtung)</t>
        </is>
      </c>
      <c r="J72" s="2" t="inlineStr"/>
      <c r="K72" s="2" t="n">
        <v>3</v>
      </c>
    </row>
    <row r="73">
      <c r="A73" s="4" t="inlineStr">
        <is>
          <t>MF-G02</t>
        </is>
      </c>
      <c r="B73" s="4" t="inlineStr">
        <is>
          <t>Unzureichender Schutzraum in der Schachtgrube</t>
        </is>
      </c>
      <c r="C73" s="4" t="inlineStr">
        <is>
          <t>Schachtgrube</t>
        </is>
      </c>
      <c r="D73" s="4" t="inlineStr">
        <is>
          <t>G – Schachtgrube</t>
        </is>
      </c>
      <c r="E73" s="4" t="inlineStr">
        <is>
          <t>NONE</t>
        </is>
      </c>
      <c r="F73" s="4" t="inlineStr">
        <is>
          <t>Mechanische Gefährdung durch Quetschen zwischen Fahrkorb und Schacht</t>
        </is>
      </c>
      <c r="G73" s="4" t="inlineStr">
        <is>
          <t>Wartungspersonal</t>
        </is>
      </c>
      <c r="H73" s="4" t="inlineStr">
        <is>
          <t>11.3 Schutzraum in der Schachtgrube [Auslöser · Pflicht]</t>
        </is>
      </c>
      <c r="I73" s="4" t="inlineStr">
        <is>
          <t>DIN EN 81-20 5.2.5.8; TRBS 3121 Anh. 1 Nr. 5 (Schutzräume in Grube und Schachtkopf)</t>
        </is>
      </c>
      <c r="J73" s="4" t="inlineStr">
        <is>
          <t>K-F03, K-F05</t>
        </is>
      </c>
      <c r="K73" s="4" t="n">
        <v>4</v>
      </c>
    </row>
    <row r="74">
      <c r="A74" s="2" t="inlineStr">
        <is>
          <t>MF-G03</t>
        </is>
      </c>
      <c r="B74" s="2" t="inlineStr">
        <is>
          <t>Fehlender Not-Halt oder fehlende Inspektionssteuerung in der Schachtgrube</t>
        </is>
      </c>
      <c r="C74" s="2" t="inlineStr">
        <is>
          <t>Sicherheitskomponenten</t>
        </is>
      </c>
      <c r="D74" s="2" t="inlineStr">
        <is>
          <t>G – Schachtgrube</t>
        </is>
      </c>
      <c r="E74" s="2" t="inlineStr">
        <is>
          <t>MAXIMUM</t>
        </is>
      </c>
      <c r="F74" s="2" t="inlineStr">
        <is>
          <t>Gefährdung durch unbeabsichtigtes Betätigen von Befehlsgebern</t>
        </is>
      </c>
      <c r="G74" s="2" t="inlineStr">
        <is>
          <t>Wartungspersonal</t>
        </is>
      </c>
      <c r="H74" s="2" t="inlineStr">
        <is>
          <t>11.4 Notbremsschalter in der Schachtgrube vorhanden? [Auslöser · Pflicht]
11.4a Notbremsschalter von der Schachttür aus erreichbar? [Auslöser · bedingt Pflicht]
11.4b Bei Grubentiefe über 1,60 m: zweiter Notbremsschalter am Grubenboden vorhanden? [Auslöser · bedingt Pflicht]
11.5 Inspektionssteuerung in der Schachtgrube vorhanden? [Auslöser · Pflicht]
11.1 Schachtgrubentiefe [m] [Modifier]</t>
        </is>
      </c>
      <c r="I74" s="2" t="inlineStr">
        <is>
          <t>DIN EN 81-20 5.2.1.5.1; DIN EN 81-20 5.12.1.5.1.1; TRBS 3121 Anh. 1 Nr. 7 (Stoppeinrichtungen in Grube und Rollenraum)</t>
        </is>
      </c>
      <c r="J74" s="2" t="inlineStr">
        <is>
          <t>K-S01</t>
        </is>
      </c>
      <c r="K74" s="2" t="n">
        <v>5</v>
      </c>
    </row>
    <row r="75">
      <c r="A75" s="4" t="inlineStr">
        <is>
          <t>MF-G04</t>
        </is>
      </c>
      <c r="B75" s="4" t="inlineStr">
        <is>
          <t>Unsicherer Zugang zur Schachtgrube (Leiter, Grubenzugangstür)</t>
        </is>
      </c>
      <c r="C75" s="4" t="inlineStr">
        <is>
          <t>Zugang und Verkehrswege</t>
        </is>
      </c>
      <c r="D75" s="4" t="inlineStr">
        <is>
          <t>G – Schachtgrube</t>
        </is>
      </c>
      <c r="E75" s="4" t="inlineStr">
        <is>
          <t>MAXIMUM</t>
        </is>
      </c>
      <c r="F75" s="4" t="inlineStr">
        <is>
          <t>Mechanische Gefährdung durch Absturz</t>
        </is>
      </c>
      <c r="G75" s="4" t="inlineStr">
        <is>
          <t>Wartungspersonal, Beauftragte Person</t>
        </is>
      </c>
      <c r="H75" s="4" t="inlineStr">
        <is>
          <t>11.6 Grubenleiter [Auslöser · Pflicht]
11.7 Separate Grubenzugangstür vorhanden? [Auslöser · Pflicht]
11.7a Elektrische Sicherheitseinrichtung an der Grubenzugangstür? [Auslöser · bedingt Pflicht]</t>
        </is>
      </c>
      <c r="I75" s="4" t="inlineStr">
        <is>
          <t>DIN EN 81-20 5.2.2.4; DIN EN 81-20 5.2.3.3; TRBS 3121 Anh. 1 Nr. 6 (Zugang zur Schachtgrube)</t>
        </is>
      </c>
      <c r="J75" s="4" t="inlineStr">
        <is>
          <t>K-S02</t>
        </is>
      </c>
      <c r="K75" s="4" t="n">
        <v>6</v>
      </c>
    </row>
    <row r="76">
      <c r="A76" s="2" t="inlineStr">
        <is>
          <t>MF-G05</t>
        </is>
      </c>
      <c r="B76" s="2" t="inlineStr">
        <is>
          <t>Keine Selbstbefreiung aus der Schachtgrube und kein Notruf in der Grube</t>
        </is>
      </c>
      <c r="C76" s="2" t="inlineStr">
        <is>
          <t>Notruf und Personenbefreiung</t>
        </is>
      </c>
      <c r="D76" s="2" t="inlineStr">
        <is>
          <t>G – Schachtgrube</t>
        </is>
      </c>
      <c r="E76" s="2" t="inlineStr">
        <is>
          <t>NONE</t>
        </is>
      </c>
      <c r="F76" s="2" t="inlineStr">
        <is>
          <t>Sonstige Gefährdung durch fehlende oder unzureichende Notfallorganisation</t>
        </is>
      </c>
      <c r="G76" s="2" t="inlineStr">
        <is>
          <t>Wartungspersonal</t>
        </is>
      </c>
      <c r="H76" s="2" t="inlineStr">
        <is>
          <t>11.8 Selbstbefreiung aus der Grube über die Schachttür möglich (Verschluss innerhalb 1,80 m Höhe / 0,80 m horizontal)? [Auslöser · Pflicht]
11.9 Notrufeinrichtung in der Schachtgrube vorhanden? [Auslöser · Pflicht]</t>
        </is>
      </c>
      <c r="I76" s="2" t="inlineStr">
        <is>
          <t>DIN EN 81-20 5.3.9.3.5; DIN EN 81-20 5.12.3.2</t>
        </is>
      </c>
      <c r="J76" s="2" t="inlineStr"/>
      <c r="K76" s="2" t="n">
        <v>4</v>
      </c>
    </row>
    <row r="77">
      <c r="A77" s="4" t="inlineStr">
        <is>
          <t>MF-G06</t>
        </is>
      </c>
      <c r="B77" s="4" t="inlineStr">
        <is>
          <t>Fehlende, beschädigte oder ungeeignete Puffer</t>
        </is>
      </c>
      <c r="C77" s="4" t="inlineStr">
        <is>
          <t>Schachtgrube</t>
        </is>
      </c>
      <c r="D77" s="4" t="inlineStr">
        <is>
          <t>G – Schachtgrube</t>
        </is>
      </c>
      <c r="E77" s="4" t="inlineStr">
        <is>
          <t>MAXIMUM</t>
        </is>
      </c>
      <c r="F77" s="4" t="inlineStr">
        <is>
          <t>Mechanische Gefährdung durch Stoß (fehlende Endbegrenzung, Aufprall)</t>
        </is>
      </c>
      <c r="G77" s="4" t="inlineStr">
        <is>
          <t>Nutzer, Wartungspersonal</t>
        </is>
      </c>
      <c r="H77" s="4" t="inlineStr">
        <is>
          <t>11.10 Puffer für Fahrkorb und Gegengewicht vorhanden? [Auslöser · Pflicht]
11.10a Puffer unbeschädigt und nicht verschlissen? [Auslöser · bedingt Pflicht]
11.10b Bauart der Puffer [Auslöser · bedingt Pflicht]
11.10c Ölstand hydraulischer Puffer prüfbar und Kennzeichnung vorhanden? [Auslöser · bedingt Pflicht]
3.1a Nenngeschwindigkeit [m/s] [Modifier · Pflicht]</t>
        </is>
      </c>
      <c r="I77" s="4" t="inlineStr">
        <is>
          <t>DIN EN 81-20 5.8.1.1; DIN EN 81-20 5.8.2.1; TRBS 3121 Anh. 1 Nr. 18 (Puffer in den Endlagen)</t>
        </is>
      </c>
      <c r="J77" s="4" t="inlineStr">
        <is>
          <t>K-S04</t>
        </is>
      </c>
      <c r="K77" s="4" t="n">
        <v>5</v>
      </c>
    </row>
    <row r="78">
      <c r="A78" s="2" t="inlineStr">
        <is>
          <t>MF-G07</t>
        </is>
      </c>
      <c r="B78" s="2" t="inlineStr">
        <is>
          <t>Fehlende oder unzulängliche Abtrennung und Sicherung des Gegengewichts</t>
        </is>
      </c>
      <c r="C78" s="2" t="inlineStr">
        <is>
          <t>Schacht und Gegengewicht</t>
        </is>
      </c>
      <c r="D78" s="2" t="inlineStr">
        <is>
          <t>G – Schachtgrube</t>
        </is>
      </c>
      <c r="E78" s="2" t="inlineStr">
        <is>
          <t>MAXIMUM</t>
        </is>
      </c>
      <c r="F78" s="2" t="inlineStr">
        <is>
          <t>Mechanische Gefährdung durch bewegte Teile (Quetschen, Scheren, Einziehen)</t>
        </is>
      </c>
      <c r="G78" s="2" t="inlineStr">
        <is>
          <t>Wartungspersonal</t>
        </is>
      </c>
      <c r="H78" s="2" t="inlineStr">
        <is>
          <t>3.1 Aufzugsart [Filter]
3.1b Gegengewicht oder Ausgleichsgewicht vorhanden? [Filter]
11.11 Abtrennung der Gegengewichtsfahrbahn in der Grube [Auslöser · Pflicht]
11.11a Höhe der Gegengewichtsabtrennung [mm] [Dokumentation]
11.12 Gegengewichtsfüllung gegen Herausfallen gesichert (Rahmen)? [Auslöser · Pflicht]
11.13 Fangvorrichtung am Gegengewicht (oder durchgehendes Fundament) bei betretbarem Raum unter der Grube? [Auslöser · bedingt Pflicht]
4.8a Betretbarer Raum unterhalb der Schachtgrube? [Modifier]</t>
        </is>
      </c>
      <c r="I78" s="2" t="inlineStr">
        <is>
          <t>DIN EN 81-20 5.2.5.5.1; DIN EN 81-20 5.2.5.5.2; TRBS 3121 Anh. 1 Nr. 2 (Gegen- und Ausgleichsgewichtsumwehrung)</t>
        </is>
      </c>
      <c r="J78" s="2" t="inlineStr"/>
      <c r="K78" s="2" t="n">
        <v>5</v>
      </c>
    </row>
    <row r="79">
      <c r="A79" s="4" t="inlineStr">
        <is>
          <t>MF-G08</t>
        </is>
      </c>
      <c r="B79" s="4" t="inlineStr">
        <is>
          <t>Fehlende Abtrennung zum Nachbaraufzug in der Schachtgrube</t>
        </is>
      </c>
      <c r="C79" s="4" t="inlineStr">
        <is>
          <t>Schacht und Gegengewicht</t>
        </is>
      </c>
      <c r="D79" s="4" t="inlineStr">
        <is>
          <t>G – Schachtgrube</t>
        </is>
      </c>
      <c r="E79" s="4" t="inlineStr">
        <is>
          <t>NONE</t>
        </is>
      </c>
      <c r="F79" s="4" t="inlineStr">
        <is>
          <t>Mechanische Gefährdung durch bewegte Teile (Quetschen, Scheren, Einziehen)</t>
        </is>
      </c>
      <c r="G79" s="4" t="inlineStr">
        <is>
          <t>Wartungspersonal</t>
        </is>
      </c>
      <c r="H79" s="4" t="inlineStr">
        <is>
          <t>4.8 Mehrere Aufzüge in einem gemeinsamen Schacht? [Filter]
11.14 Abtrennung zum Nachbaraufzug in der Schachtgrube vorhanden? [Auslöser · Pflicht]</t>
        </is>
      </c>
      <c r="I79" s="4" t="inlineStr">
        <is>
          <t>DIN EN 81-20 5.2.5.5.2.1; TRBS 3121 Anh. 1 Nr. 3 (Benachbarte Aufzüge in der Schachtgrube)</t>
        </is>
      </c>
      <c r="J79" s="4" t="inlineStr"/>
      <c r="K79" s="4" t="n">
        <v>2</v>
      </c>
    </row>
    <row r="80">
      <c r="A80" s="2" t="inlineStr">
        <is>
          <t>MF-U01</t>
        </is>
      </c>
      <c r="B80" s="2" t="inlineStr">
        <is>
          <t>Asbesthaltige oder andere schädliche Baustoffe im Bereich der Anlage</t>
        </is>
      </c>
      <c r="C80" s="2" t="inlineStr">
        <is>
          <t>Umfeld und Gefahrstoffe</t>
        </is>
      </c>
      <c r="D80" s="2" t="inlineStr">
        <is>
          <t>U – Umfeld, Gebäude und Nutzung</t>
        </is>
      </c>
      <c r="E80" s="2" t="inlineStr">
        <is>
          <t>ANY</t>
        </is>
      </c>
      <c r="F80" s="2" t="inlineStr">
        <is>
          <t>Gefährdung durch Gefahrstoffe und biologische Arbeitsstoffe</t>
        </is>
      </c>
      <c r="G80" s="2" t="inlineStr">
        <is>
          <t>Wartungspersonal, Beauftragte Person</t>
        </is>
      </c>
      <c r="H80" s="2" t="inlineStr">
        <is>
          <t>5.60 Asbesthaltige oder andere schädliche Baustoffe im Zugangsbereich zum Triebwerksraum (Bremsbeläge, Dichtungen, Brandschutzplatten, Isolierungen)? [Auslöser · Pflicht]
5.61 Asbesthaltige oder andere schädliche Baustoffe im Triebwerks-/Maschinenraum (Bremsbeläge, Dichtungen, Brandschutzplatten, Isolierungen)? [Auslöser · bedingt Pflicht]
10.20 Asbesthaltige oder andere schädliche Baustoffe im Schacht / am Fahrkorb (Bremsbeläge, Dichtungen, Brandschutzplatten, Isolierungen)? [Auslöser · Pflicht]
11.20 Asbesthaltige oder andere schädliche Baustoffe in der Schachtgrube (Bremsbeläge, Dichtungen, Brandschutzplatten, Isolierungen)? [Auslöser · Pflicht]
15.11 Ist die Asbest-/Schadstoffsituation der Anlage unbekannt (Baujahr vor 1995, keine Unterlagen, keine Beprobung)? [Auslöser · Pflicht]</t>
        </is>
      </c>
      <c r="I80" s="2" t="inlineStr">
        <is>
          <t>GefStoffV § 6; TRGS 519</t>
        </is>
      </c>
      <c r="J80" s="2" t="inlineStr">
        <is>
          <t>K-U01</t>
        </is>
      </c>
      <c r="K80" s="2" t="n">
        <v>6</v>
      </c>
    </row>
    <row r="81">
      <c r="A81" s="4" t="inlineStr">
        <is>
          <t>MF-U02</t>
        </is>
      </c>
      <c r="B81" s="4" t="inlineStr">
        <is>
          <t>Erhebliche Verschmutzungen im Bereich der Anlage</t>
        </is>
      </c>
      <c r="C81" s="4" t="inlineStr">
        <is>
          <t>Umfeld und Gefahrstoffe</t>
        </is>
      </c>
      <c r="D81" s="4" t="inlineStr">
        <is>
          <t>U – Umfeld, Gebäude und Nutzung</t>
        </is>
      </c>
      <c r="E81" s="4" t="inlineStr">
        <is>
          <t>ANY</t>
        </is>
      </c>
      <c r="F81" s="4" t="inlineStr">
        <is>
          <t>Gefährdung durch Gefahrstoffe und biologische Arbeitsstoffe</t>
        </is>
      </c>
      <c r="G81" s="4" t="inlineStr">
        <is>
          <t>Wartungspersonal, Beauftragte Person</t>
        </is>
      </c>
      <c r="H81" s="4" t="inlineStr">
        <is>
          <t>5.62 Erhebliche Verschmutzungen (Taubenkot, Unrat, Schimmel, Ablagerungen) im Zugangsbereich zum Triebwerksraum? [Auslöser · Pflicht]
5.63 Erhebliche Verschmutzungen (Taubenkot, Unrat, Schimmel, Ablagerungen) im Triebwerks-/Maschinenraum? [Auslöser · bedingt Pflicht]
10.21 Erhebliche Verschmutzungen (Taubenkot, Unrat, Schimmel, Ablagerungen) im Schacht / am Fahrkorb? [Auslöser · Pflicht]
11.21 Erhebliche Verschmutzungen (Taubenkot, Unrat, Schimmel, Ablagerungen) in der Schachtgrube? [Auslöser · Pflicht]</t>
        </is>
      </c>
      <c r="I81" s="4" t="inlineStr">
        <is>
          <t>BioStoffV</t>
        </is>
      </c>
      <c r="J81" s="4" t="inlineStr">
        <is>
          <t>K-U01</t>
        </is>
      </c>
      <c r="K81" s="4" t="n">
        <v>5</v>
      </c>
    </row>
    <row r="82">
      <c r="A82" s="2" t="inlineStr">
        <is>
          <t>MF-U03</t>
        </is>
      </c>
      <c r="B82" s="2" t="inlineStr">
        <is>
          <t>Lagerung brennbarer oder leicht entzündlicher Stoffe im Bereich der Anlage</t>
        </is>
      </c>
      <c r="C82" s="2" t="inlineStr">
        <is>
          <t>Umfeld und Gefahrstoffe</t>
        </is>
      </c>
      <c r="D82" s="2" t="inlineStr">
        <is>
          <t>U – Umfeld, Gebäude und Nutzung</t>
        </is>
      </c>
      <c r="E82" s="2" t="inlineStr">
        <is>
          <t>ANY</t>
        </is>
      </c>
      <c r="F82" s="2" t="inlineStr">
        <is>
          <t>Brand- und Explosionsgefährdung</t>
        </is>
      </c>
      <c r="G82" s="2" t="inlineStr">
        <is>
          <t>Nutzer, Wartungspersonal, Beauftragte Person</t>
        </is>
      </c>
      <c r="H82" s="2" t="inlineStr">
        <is>
          <t>5.64 Lagerung brennbarer oder leicht entzündlicher Stoffe im Zugangsbereich zum Triebwerksraum? [Auslöser · Pflicht]
5.65 Lagerung brennbarer oder leicht entzündlicher Stoffe im Triebwerks-/Maschinenraum? [Auslöser · bedingt Pflicht]
10.22 Lagerung brennbarer oder leicht entzündlicher Stoffe im Schacht / am Fahrkorb? [Auslöser · Pflicht]
11.22 Lagerung brennbarer oder leicht entzündlicher Stoffe in der Schachtgrube? [Auslöser · Pflicht]</t>
        </is>
      </c>
      <c r="I82" s="2" t="inlineStr">
        <is>
          <t>BetrSichV § 3; TRGS 800</t>
        </is>
      </c>
      <c r="J82" s="2" t="inlineStr">
        <is>
          <t>K-U01</t>
        </is>
      </c>
      <c r="K82" s="2" t="n">
        <v>5</v>
      </c>
    </row>
    <row r="83">
      <c r="A83" s="4" t="inlineStr">
        <is>
          <t>MF-U04</t>
        </is>
      </c>
      <c r="B83" s="4" t="inlineStr">
        <is>
          <t>Chemische oder biologische Gefahrstoffe in unmittelbarer Nähe der Anlage gelagert</t>
        </is>
      </c>
      <c r="C83" s="4" t="inlineStr">
        <is>
          <t>Umfeld und Gefahrstoffe</t>
        </is>
      </c>
      <c r="D83" s="4" t="inlineStr">
        <is>
          <t>U – Umfeld, Gebäude und Nutzung</t>
        </is>
      </c>
      <c r="E83" s="4" t="inlineStr">
        <is>
          <t>MAXIMUM</t>
        </is>
      </c>
      <c r="F83" s="4" t="inlineStr">
        <is>
          <t>Gefährdung durch Gefahrstoffe und biologische Arbeitsstoffe</t>
        </is>
      </c>
      <c r="G83" s="4" t="inlineStr">
        <is>
          <t>Wartungspersonal, Beauftragte Person</t>
        </is>
      </c>
      <c r="H83" s="4" t="inlineStr">
        <is>
          <t>15.28 Chemische Gefahrstoffe in unmittelbarer Nähe der Anlage gelagert? [Auslöser · Pflicht]
15.29 Biologische Arbeitsstoffe (Labor, Klinik, Entsorgung) in unmittelbarer Nähe der Anlage? [Auslöser · Pflicht]</t>
        </is>
      </c>
      <c r="I83" s="4" t="inlineStr">
        <is>
          <t>GefStoffV; BioStoffV</t>
        </is>
      </c>
      <c r="J83" s="4" t="inlineStr">
        <is>
          <t>K-U02</t>
        </is>
      </c>
      <c r="K83" s="4" t="n">
        <v>3</v>
      </c>
    </row>
    <row r="84">
      <c r="A84" s="2" t="inlineStr">
        <is>
          <t>MF-U05</t>
        </is>
      </c>
      <c r="B84" s="2" t="inlineStr">
        <is>
          <t>Transport von Gefahrstoffen mit der Aufzugsanlage</t>
        </is>
      </c>
      <c r="C84" s="2" t="inlineStr">
        <is>
          <t>Umfeld und Gefahrstoffe</t>
        </is>
      </c>
      <c r="D84" s="2" t="inlineStr">
        <is>
          <t>U – Umfeld, Gebäude und Nutzung</t>
        </is>
      </c>
      <c r="E84" s="2" t="inlineStr">
        <is>
          <t>MAXIMUM</t>
        </is>
      </c>
      <c r="F84" s="2" t="inlineStr">
        <is>
          <t>Gefährdung durch Gefahrstoffe und biologische Arbeitsstoffe</t>
        </is>
      </c>
      <c r="G84" s="2" t="inlineStr">
        <is>
          <t>Nutzer, Wartungspersonal</t>
        </is>
      </c>
      <c r="H84" s="2" t="inlineStr">
        <is>
          <t>15.32 Transport chemischer Gefahrstoffe mit dem Aufzug? [Auslöser · Pflicht]
15.33 Transport biologischer Arbeitsstoffe / infektiöser Stoffe mit dem Aufzug? [Auslöser · Pflicht]
15.34 Transport brennbarer oder leicht entzündlicher Stoffe mit dem Aufzug? [Auslöser · Pflicht]
15.35 Transport radioaktiver Stoffe mit dem Aufzug? [Auslöser · Pflicht]</t>
        </is>
      </c>
      <c r="I84" s="2" t="inlineStr">
        <is>
          <t>GefStoffV; StrlSchV; BioStoffV</t>
        </is>
      </c>
      <c r="J84" s="2" t="inlineStr"/>
      <c r="K84" s="2" t="n">
        <v>5</v>
      </c>
    </row>
    <row r="85">
      <c r="A85" s="4" t="inlineStr">
        <is>
          <t>MF-U06</t>
        </is>
      </c>
      <c r="B85" s="4" t="inlineStr">
        <is>
          <t>Explosionsfähiges Gemisch kann durch die Aufzugsanlage gezündet werden</t>
        </is>
      </c>
      <c r="C85" s="4" t="inlineStr">
        <is>
          <t>Umfeld und Gefahrstoffe</t>
        </is>
      </c>
      <c r="D85" s="4" t="inlineStr">
        <is>
          <t>U – Umfeld, Gebäude und Nutzung</t>
        </is>
      </c>
      <c r="E85" s="4" t="inlineStr">
        <is>
          <t>NONE</t>
        </is>
      </c>
      <c r="F85" s="4" t="inlineStr">
        <is>
          <t>Brand- und Explosionsgefährdung</t>
        </is>
      </c>
      <c r="G85" s="4" t="inlineStr">
        <is>
          <t>Nutzer, Wartungspersonal</t>
        </is>
      </c>
      <c r="H85" s="4" t="inlineStr">
        <is>
          <t>15.25 Kann sich im Bereich der Anlage ein explosionsfähiges Gemisch bilden (Gase, Dämpfe, Stäube)? [Auslöser · Pflicht]
15.25a Explosionsschutz für die Aufzugsanlage bewertet und dokumentiert (Explosionsschutzdokument)? [Kompensation · bedingt Pflicht]</t>
        </is>
      </c>
      <c r="I85" s="4" t="inlineStr">
        <is>
          <t>GefStoffV § 6 Abs. 9; TRBS 2152; TRGS 720</t>
        </is>
      </c>
      <c r="J85" s="4" t="inlineStr">
        <is>
          <t>K-U03</t>
        </is>
      </c>
      <c r="K85" s="4" t="n">
        <v>3</v>
      </c>
    </row>
    <row r="86">
      <c r="A86" s="2" t="inlineStr">
        <is>
          <t>MF-U07</t>
        </is>
      </c>
      <c r="B86" s="2" t="inlineStr">
        <is>
          <t>Umgebungsbedingungen: Temperatur, Feuchtigkeit, Wasser, Korrosion</t>
        </is>
      </c>
      <c r="C86" s="2" t="inlineStr">
        <is>
          <t>Umfeld und Gefahrstoffe</t>
        </is>
      </c>
      <c r="D86" s="2" t="inlineStr">
        <is>
          <t>U – Umfeld, Gebäude und Nutzung</t>
        </is>
      </c>
      <c r="E86" s="2" t="inlineStr">
        <is>
          <t>MAXIMUM</t>
        </is>
      </c>
      <c r="F86" s="2" t="inlineStr">
        <is>
          <t>Gefährdung durch Arbeitsumgebungsbedingungen (Klima, Lärm, Emissionen)</t>
        </is>
      </c>
      <c r="G86" s="2" t="inlineStr">
        <is>
          <t>Wartungspersonal, Nutzer</t>
        </is>
      </c>
      <c r="H86" s="2" t="inlineStr">
        <is>
          <t>15.23 Unzulässige Temperaturen im Triebwerksraum oder Schacht möglich (Überhitzung über 40 °C, Frost)? [Auslöser · Pflicht]
15.23a Feuchtigkeit oder Kondensat an sicherheitsrelevanten Bauteilen (Steuerung, Bremse, Türverriegelung)? [Auslöser · Pflicht]
15.23b Massive Korrosion, Betonabplatzungen oder andere bauliche Schäden am Schacht oder Triebwerksraum? [Auslöser · Pflicht]
11.15 Wasser oder Feuchtigkeit in der Schachtgrube? [Auslöser · Pflicht]
11.16 Öl oder wassergefährdende Stoffe in der Grube ohne Auffangmöglichkeit? [Auslöser · Pflicht]</t>
        </is>
      </c>
      <c r="I86" s="2" t="inlineStr">
        <is>
          <t>DIN EN 81-20 5.2.1.2; DIN EN 81-20 5.2.6.1; TRBS 1201 Teil 4 Anhang 4</t>
        </is>
      </c>
      <c r="J86" s="2" t="inlineStr"/>
      <c r="K86" s="2" t="n">
        <v>6</v>
      </c>
    </row>
    <row r="87">
      <c r="A87" s="4" t="inlineStr">
        <is>
          <t>MF-U08</t>
        </is>
      </c>
      <c r="B87" s="4" t="inlineStr">
        <is>
          <t>Bauliche Änderungen ohne Bewertung, Statik und baulicher Zustand</t>
        </is>
      </c>
      <c r="C87" s="4" t="inlineStr">
        <is>
          <t>Brandschutz und Gebäudeschnittstelle</t>
        </is>
      </c>
      <c r="D87" s="4" t="inlineStr">
        <is>
          <t>U – Umfeld, Gebäude und Nutzung</t>
        </is>
      </c>
      <c r="E87" s="4" t="inlineStr">
        <is>
          <t>MAXIMUM</t>
        </is>
      </c>
      <c r="F87" s="4" t="inlineStr">
        <is>
          <t>Mechanische Gefährdung durch herabfallende oder kippende Lasten</t>
        </is>
      </c>
      <c r="G87" s="4" t="inlineStr">
        <is>
          <t>Nutzer, Wartungspersonal</t>
        </is>
      </c>
      <c r="H87" s="4" t="inlineStr">
        <is>
          <t>15.26 Bauliche Änderungen am Schacht / Triebwerksraum ohne statische und sicherheitstechnische Bewertung? [Auslöser · Pflicht]
15.26a Nachträgliche Verkleidungen oder Änderungen, die den Sicherheitszustand verschlechtern (Schutzräume, Lüftung, Zugänge)? [Auslöser · Pflicht]</t>
        </is>
      </c>
      <c r="I87" s="4" t="inlineStr">
        <is>
          <t>TRBS 1201 Teil 4 Anhang 4; TRBS 3121 Anhang 4</t>
        </is>
      </c>
      <c r="J87" s="4" t="inlineStr"/>
      <c r="K87" s="4" t="n">
        <v>3</v>
      </c>
    </row>
    <row r="88">
      <c r="A88" s="2" t="inlineStr">
        <is>
          <t>MF-U09</t>
        </is>
      </c>
      <c r="B88" s="2" t="inlineStr">
        <is>
          <t>Brandmeldeanlage, Brandfall- und Evakuierungssteuerung nicht abgestimmt</t>
        </is>
      </c>
      <c r="C88" s="2" t="inlineStr">
        <is>
          <t>Brandschutz und Gebäudeschnittstelle</t>
        </is>
      </c>
      <c r="D88" s="2" t="inlineStr">
        <is>
          <t>U – Umfeld, Gebäude und Nutzung</t>
        </is>
      </c>
      <c r="E88" s="2" t="inlineStr">
        <is>
          <t>MAXIMUM</t>
        </is>
      </c>
      <c r="F88" s="2" t="inlineStr">
        <is>
          <t>Brand- und Explosionsgefährdung</t>
        </is>
      </c>
      <c r="G88" s="2" t="inlineStr">
        <is>
          <t>Nutzer, Feuerwehr</t>
        </is>
      </c>
      <c r="H88" s="2" t="inlineStr">
        <is>
          <t>15.8 Brandmeldeanlage (BMA) im Gebäude vorhanden? [Filter]
15.8a Schnittstelle Brandmeldeanlage – Aufzug bekannt und abgestimmt (Brandfallsteuerung, Rückholung, Evakuierung)? [Auslöser · Pflicht]
15.8b Funktion der Schnittstelle BMA – Aufzug geprüft (Nachweis)? [Auslöser · bedingt Pflicht]
15.8c Evakuierungs-/Sonderfunktion des Aufzugs in dieser Gefährdungsbeurteilung berücksichtigt? [Auslöser · Pflicht]
15.8d Behindert eine Brandschutzeinrichtung (Brandschutztür, Abschottung) den Aufzugsbetrieb oder die Personenrettung? [Auslöser · Pflicht]</t>
        </is>
      </c>
      <c r="I88" s="2" t="inlineStr">
        <is>
          <t>TRBS 1201 Teil 4 Anhang 4; TRBS 3121 Anhang 4; DIN EN 81-73</t>
        </is>
      </c>
      <c r="J88" s="2" t="inlineStr"/>
      <c r="K88" s="2" t="n">
        <v>5</v>
      </c>
    </row>
    <row r="89">
      <c r="A89" s="4" t="inlineStr">
        <is>
          <t>MF-U10</t>
        </is>
      </c>
      <c r="B89" s="4" t="inlineStr">
        <is>
          <t>Schachtentrauchung, Lüftung und RWA unklar oder verändert</t>
        </is>
      </c>
      <c r="C89" s="4" t="inlineStr">
        <is>
          <t>Brandschutz und Gebäudeschnittstelle</t>
        </is>
      </c>
      <c r="D89" s="4" t="inlineStr">
        <is>
          <t>U – Umfeld, Gebäude und Nutzung</t>
        </is>
      </c>
      <c r="E89" s="4" t="inlineStr">
        <is>
          <t>NONE</t>
        </is>
      </c>
      <c r="F89" s="4" t="inlineStr">
        <is>
          <t>Brand- und Explosionsgefährdung</t>
        </is>
      </c>
      <c r="G89" s="4" t="inlineStr">
        <is>
          <t>Nutzer, Feuerwehr</t>
        </is>
      </c>
      <c r="H89" s="4" t="inlineStr">
        <is>
          <t>15.9 Schachtentrauchung / RWA / Lüftungsöffnung im Schachtkopf vorhanden? [Filter]
15.9a Zustand der Schachtentrauchung / RWA / Lüftungsöffnung [Auslöser · Pflicht]</t>
        </is>
      </c>
      <c r="I89" s="4" t="inlineStr">
        <is>
          <t>TRBS 1201 Teil 4 Anhang 4; DIN EN 81-20 5.2.1.4.1</t>
        </is>
      </c>
      <c r="J89" s="4" t="inlineStr"/>
      <c r="K89" s="4" t="n">
        <v>4</v>
      </c>
    </row>
    <row r="90">
      <c r="A90" s="2" t="inlineStr">
        <is>
          <t>MF-U11</t>
        </is>
      </c>
      <c r="B90" s="2" t="inlineStr">
        <is>
          <t>Löschanlage / Sprinkler ohne Bewertung der Wechselwirkung mit dem Aufzug</t>
        </is>
      </c>
      <c r="C90" s="2" t="inlineStr">
        <is>
          <t>Brandschutz und Gebäudeschnittstelle</t>
        </is>
      </c>
      <c r="D90" s="2" t="inlineStr">
        <is>
          <t>U – Umfeld, Gebäude und Nutzung</t>
        </is>
      </c>
      <c r="E90" s="2" t="inlineStr">
        <is>
          <t>NONE</t>
        </is>
      </c>
      <c r="F90" s="2" t="inlineStr">
        <is>
          <t>Elektrische Gefährdung durch Berühren spannungsführender Teile</t>
        </is>
      </c>
      <c r="G90" s="2" t="inlineStr">
        <is>
          <t>Nutzer, Feuerwehr</t>
        </is>
      </c>
      <c r="H90" s="2" t="inlineStr">
        <is>
          <t>15.10 Löschanlage / Sprinkler im Schacht oder Triebwerksraum vorhanden? [Filter]
15.10a Wechselwirkung der Löschanlage mit der Aufzugsanlage (Wasserbeaufschlagung, Abschaltung) bewertet? [Auslöser · Pflicht]</t>
        </is>
      </c>
      <c r="I90" s="2" t="inlineStr">
        <is>
          <t>TRBS 1201 Teil 4 Anhang 4; VdS CEA 4001</t>
        </is>
      </c>
      <c r="J90" s="2" t="inlineStr"/>
      <c r="K90" s="2" t="n">
        <v>2</v>
      </c>
    </row>
    <row r="91">
      <c r="A91" s="4" t="inlineStr">
        <is>
          <t>MF-U12</t>
        </is>
      </c>
      <c r="B91" s="4" t="inlineStr">
        <is>
          <t>Fremdgewerke und Reinigungspersonal ohne Zugangs- und Schutzkonzept</t>
        </is>
      </c>
      <c r="C91" s="4" t="inlineStr">
        <is>
          <t>Umfeld und Gefahrstoffe</t>
        </is>
      </c>
      <c r="D91" s="4" t="inlineStr">
        <is>
          <t>U – Umfeld, Gebäude und Nutzung</t>
        </is>
      </c>
      <c r="E91" s="4" t="inlineStr">
        <is>
          <t>MAXIMUM</t>
        </is>
      </c>
      <c r="F91" s="4" t="inlineStr">
        <is>
          <t>Mechanische Gefährdung durch bewegte Teile (Quetschen, Scheren, Einziehen)</t>
        </is>
      </c>
      <c r="G91" s="4" t="inlineStr">
        <is>
          <t>Fremdfirmen, Reinigungspersonal</t>
        </is>
      </c>
      <c r="H91" s="4" t="inlineStr">
        <is>
          <t>15.36 Müssen Fremdgewerke (Lüftung, Elektro, Reinigung) für ihre Arbeiten in den Aufzugsbereich (Schacht, Triebwerksraum) eindringen? [Auslöser · Pflicht]
15.36a Zugangs- und Schutzkonzept für Fremdgewerke / Reinigungspersonal vorhanden? [Kompensation · bedingt Pflicht]</t>
        </is>
      </c>
      <c r="I91" s="4" t="inlineStr">
        <is>
          <t>TRBS 3121 4.5; DGUV Information 209-085</t>
        </is>
      </c>
      <c r="J91" s="4" t="inlineStr"/>
      <c r="K91" s="4" t="n">
        <v>3</v>
      </c>
    </row>
    <row r="92">
      <c r="A92" s="2" t="inlineStr">
        <is>
          <t>MF-U13</t>
        </is>
      </c>
      <c r="B92" s="2" t="inlineStr">
        <is>
          <t>Fehlende Prüfnachweise und unklare Zuständigkeiten an den Gewerkeschnittstellen</t>
        </is>
      </c>
      <c r="C92" s="2" t="inlineStr">
        <is>
          <t>Brandschutz und Gebäudeschnittstelle</t>
        </is>
      </c>
      <c r="D92" s="2" t="inlineStr">
        <is>
          <t>U – Umfeld, Gebäude und Nutzung</t>
        </is>
      </c>
      <c r="E92" s="2" t="inlineStr">
        <is>
          <t>MAXIMUM</t>
        </is>
      </c>
      <c r="F92" s="2" t="inlineStr">
        <is>
          <t>Gefährdung durch organisatorische Mängel (Unterlagen, Unterweisung, Zuständigkeit)</t>
        </is>
      </c>
      <c r="G92" s="2" t="inlineStr">
        <is>
          <t>Betreiber</t>
        </is>
      </c>
      <c r="H92" s="2" t="inlineStr">
        <is>
          <t>15.37 Prüfnachweise der angrenzenden Gewerke (BMA, RWA, Ersatzstrom, Löschanlage) verfügbar? [Auslöser · Pflicht]
15.38 Zuständigkeiten zwischen den Gewerken für Maßnahmen an den Schnittstellen geregelt? [Auslöser · Pflicht]</t>
        </is>
      </c>
      <c r="I92" s="2" t="inlineStr">
        <is>
          <t>TRBS 1201 Teil 4 Anhang 4; BetrSichV § 13</t>
        </is>
      </c>
      <c r="J92" s="2" t="inlineStr"/>
      <c r="K92" s="2" t="n">
        <v>3</v>
      </c>
    </row>
    <row r="93">
      <c r="A93" s="4" t="inlineStr">
        <is>
          <t>MF-U14</t>
        </is>
      </c>
      <c r="B93" s="4" t="inlineStr">
        <is>
          <t>Aufzugszugang grenzt an Fahrwege / Verkehrsflächen</t>
        </is>
      </c>
      <c r="C93" s="4" t="inlineStr">
        <is>
          <t>Umfeld und Gefahrstoffe</t>
        </is>
      </c>
      <c r="D93" s="4" t="inlineStr">
        <is>
          <t>U – Umfeld, Gebäude und Nutzung</t>
        </is>
      </c>
      <c r="E93" s="4" t="inlineStr">
        <is>
          <t>NONE</t>
        </is>
      </c>
      <c r="F93" s="4" t="inlineStr">
        <is>
          <t>Mechanische Gefährdung durch Stoß (fehlende Endbegrenzung, Aufprall)</t>
        </is>
      </c>
      <c r="G93" s="4" t="inlineStr">
        <is>
          <t>Nutzer</t>
        </is>
      </c>
      <c r="H93" s="4" t="inlineStr">
        <is>
          <t>15.27 Grenzt der Aufzugszugang unmittelbar an Fahrwege oder Verkehrsflächen (Tiefgarage, Anlieferung, Flurförderzeuge)? [Auslöser · Pflicht]
4.9 Nutzung durch Personen mit eingeschränkter Mobilität (Rollstuhl, Rollator, Sehbehinderung) zu erwarten? [Modifier · Pflicht]</t>
        </is>
      </c>
      <c r="I93" s="4" t="inlineStr">
        <is>
          <t>ASR A1.8</t>
        </is>
      </c>
      <c r="J93" s="4" t="inlineStr">
        <is>
          <t>K-U05</t>
        </is>
      </c>
      <c r="K93" s="4" t="n">
        <v>3</v>
      </c>
    </row>
    <row r="94">
      <c r="A94" s="2" t="inlineStr">
        <is>
          <t>MF-U15</t>
        </is>
      </c>
      <c r="B94" s="2" t="inlineStr">
        <is>
          <t>Abgase und Emissionen im Aufstellbereich (Lärm und Ereignishistorie dokumentiert)</t>
        </is>
      </c>
      <c r="C94" s="2" t="inlineStr">
        <is>
          <t>Umfeld und Gefahrstoffe</t>
        </is>
      </c>
      <c r="D94" s="2" t="inlineStr">
        <is>
          <t>U – Umfeld, Gebäude und Nutzung</t>
        </is>
      </c>
      <c r="E94" s="2" t="inlineStr">
        <is>
          <t>NONE</t>
        </is>
      </c>
      <c r="F94" s="2" t="inlineStr">
        <is>
          <t>Gefährdung durch Arbeitsumgebungsbedingungen (Klima, Lärm, Emissionen)</t>
        </is>
      </c>
      <c r="G94" s="2" t="inlineStr">
        <is>
          <t>Wartungspersonal, Beauftragte Person</t>
        </is>
      </c>
      <c r="H94" s="2" t="inlineStr">
        <is>
          <t>15.24 Abgase oder Emissionen im Aufstellbereich (Tiefgarage, Werkstatt, Notstromaggregat)? [Auslöser · Pflicht]
15.22 Erhöhte Lärmbelastung im Triebwerksraum oder am Aufzug (über 85 dB(A))? [Dokumentation]
15.30 Unfälle oder gefährliche Ereignisse an der Anlage in den letzten Jahren [Dokumentation]
15.4 Kritisches soziales Umfeld (Vandalismus, Missbrauch der Anlage)? [Dokumentation]</t>
        </is>
      </c>
      <c r="I94" s="2" t="inlineStr">
        <is>
          <t>LärmVibrationsArbSchV; ASR A3.6; BetrSichV § 3 Abs. 7</t>
        </is>
      </c>
      <c r="J94" s="2" t="inlineStr"/>
      <c r="K94" s="2" t="n">
        <v>2</v>
      </c>
    </row>
    <row r="95">
      <c r="A95" s="4" t="inlineStr">
        <is>
          <t>MF-SF01</t>
        </is>
      </c>
      <c r="B95" s="4" t="inlineStr">
        <is>
          <t>Feuerwehraufzug / gebäudeseitige Sonderfunktionen nicht nachgewiesen</t>
        </is>
      </c>
      <c r="C95" s="4" t="inlineStr">
        <is>
          <t>Sonderfunktionen</t>
        </is>
      </c>
      <c r="D95" s="4" t="inlineStr">
        <is>
          <t>SF – Sonderfunktionen</t>
        </is>
      </c>
      <c r="E95" s="4" t="inlineStr">
        <is>
          <t>MAXIMUM</t>
        </is>
      </c>
      <c r="F95" s="4" t="inlineStr">
        <is>
          <t>Brand- und Explosionsgefährdung</t>
        </is>
      </c>
      <c r="G95" s="4" t="inlineStr">
        <is>
          <t>Feuerwehr, Nutzer, Betreiber</t>
        </is>
      </c>
      <c r="H95" s="4" t="inlineStr">
        <is>
          <t>15.6 Feuerwehraufzug oder Aufzug mit Brandfall-Sonderbetrieb (EN 81-72 / EN 81-73 Evakuierung)? [Filter]
16.1 Anforderungen und Unterlagen des Feuerwehraufzugs (EN 81-72, Brandschutzkonzept) vorhanden und erfüllt? [Auslöser · Pflicht]
16.2 Brandmeldeanlage und Feuerwehraufzugsfunktion aufeinander abgestimmt? [Auslöser · Pflicht]
16.3 Druckbelüftungs-/Rauchschutzanlagen für Schacht und Vorräume vorhanden und geprüft? [Auslöser · Pflicht]
16.4 Löschwasser-/Pumpeneinrichtungen mit Schnittstelle zum Aufzug berücksichtigt? [Auslöser · Pflicht]
16.5 Sicherheits-/Ersatzstromversorgung vorhanden und geprüft? [Auslöser · Pflicht]
16.6 Funktion des Aufzugs unter Ersatzstrombedingungen geprüft? [Auslöser · Pflicht]
16.7 Erforderliche Prüfnachweise der Fremdgewerke verfügbar? [Auslöser · Pflicht]
16.8 Schnittstellen zur Feuerwehr / Brandschutzdienststelle dokumentiert (Feuerwehrplan, Schlüsseldepot)? [Auslöser · Pflicht]
16.9 Betreiberorganisation auf den Sonderbetrieb abgestimmt (Zuständigkeit, Unterweisung, Übungen)? [Auslöser · Pflicht]
16.10 Cyber-Auswirkungen auf die Feuerwehrfunktionen gesondert betrachtet? [Auslöser · Pflicht]</t>
        </is>
      </c>
      <c r="I95" s="4" t="inlineStr">
        <is>
          <t>DIN EN 81-72; TRBS 3121 Anhang 3; TRBS 1201 Teil 4 Anhang 4</t>
        </is>
      </c>
      <c r="J95" s="4" t="inlineStr">
        <is>
          <t>K-SF1</t>
        </is>
      </c>
      <c r="K95" s="4" t="n">
        <v>11</v>
      </c>
    </row>
    <row r="96">
      <c r="A96" s="2" t="inlineStr">
        <is>
          <t>MF-D01</t>
        </is>
      </c>
      <c r="B96" s="2" t="inlineStr">
        <is>
          <t>Notfallplan unvollständig oder nicht vorhanden</t>
        </is>
      </c>
      <c r="C96" s="2" t="inlineStr">
        <is>
          <t>Notruf und Personenbefreiung</t>
        </is>
      </c>
      <c r="D96" s="2" t="inlineStr">
        <is>
          <t>D – Unterlagen und Betreiberorganisation</t>
        </is>
      </c>
      <c r="E96" s="2" t="inlineStr">
        <is>
          <t>NONE</t>
        </is>
      </c>
      <c r="F96" s="2" t="inlineStr">
        <is>
          <t>Sonstige Gefährdung durch fehlende oder unzureichende Notfallorganisation</t>
        </is>
      </c>
      <c r="G96" s="2" t="inlineStr">
        <is>
          <t>Nutzer, Betreiber</t>
        </is>
      </c>
      <c r="H96" s="2" t="inlineStr">
        <is>
          <t>3.2 Notfallplan für die Anlage vorhanden und aktuell (Ansprechpartner, Befreiungsdienst, Meldewege)? [Auslöser · Pflicht]</t>
        </is>
      </c>
      <c r="I96" s="2" t="inlineStr">
        <is>
          <t>BetrSichV Anh. 1 Nr. 4.1; TRBS 3121 4.4</t>
        </is>
      </c>
      <c r="J96" s="2" t="inlineStr">
        <is>
          <t>K-D01</t>
        </is>
      </c>
      <c r="K96" s="2" t="n">
        <v>2</v>
      </c>
    </row>
    <row r="97">
      <c r="A97" s="4" t="inlineStr">
        <is>
          <t>MF-D02</t>
        </is>
      </c>
      <c r="B97" s="4" t="inlineStr">
        <is>
          <t>Keine oder unpassende Notbefreiungsanleitung</t>
        </is>
      </c>
      <c r="C97" s="4" t="inlineStr">
        <is>
          <t>Notruf und Personenbefreiung</t>
        </is>
      </c>
      <c r="D97" s="4" t="inlineStr">
        <is>
          <t>D – Unterlagen und Betreiberorganisation</t>
        </is>
      </c>
      <c r="E97" s="4" t="inlineStr">
        <is>
          <t>NONE</t>
        </is>
      </c>
      <c r="F97" s="4" t="inlineStr">
        <is>
          <t>Sonstige Gefährdung durch fehlende oder unzureichende Notfallorganisation</t>
        </is>
      </c>
      <c r="G97" s="4" t="inlineStr">
        <is>
          <t>Nutzer, Beauftragte Person</t>
        </is>
      </c>
      <c r="H97" s="4" t="inlineStr">
        <is>
          <t>3.3 Anlagenbezogene Notbefreiungs-/Evakuierungsanleitung [Auslöser · Pflicht]</t>
        </is>
      </c>
      <c r="I97" s="4" t="inlineStr">
        <is>
          <t>BetrSichV Anh. 1 Nr. 4.1; DIN EN 81-20 7.2.2</t>
        </is>
      </c>
      <c r="J97" s="4" t="inlineStr">
        <is>
          <t>K-M07</t>
        </is>
      </c>
      <c r="K97" s="4" t="n">
        <v>3</v>
      </c>
    </row>
    <row r="98">
      <c r="A98" s="2" t="inlineStr">
        <is>
          <t>MF-D03</t>
        </is>
      </c>
      <c r="B98" s="2" t="inlineStr">
        <is>
          <t>Wartungsunterlagen fehlen oder keine regelmäßige Instandhaltung</t>
        </is>
      </c>
      <c r="C98" s="2" t="inlineStr">
        <is>
          <t>Beschilderung und Unterlagen</t>
        </is>
      </c>
      <c r="D98" s="2" t="inlineStr">
        <is>
          <t>D – Unterlagen und Betreiberorganisation</t>
        </is>
      </c>
      <c r="E98" s="2" t="inlineStr">
        <is>
          <t>MAXIMUM</t>
        </is>
      </c>
      <c r="F98" s="2" t="inlineStr">
        <is>
          <t>Gefährdung durch organisatorische Mängel (Unterlagen, Unterweisung, Zuständigkeit)</t>
        </is>
      </c>
      <c r="G98" s="2" t="inlineStr">
        <is>
          <t>Betreiber, Nutzer</t>
        </is>
      </c>
      <c r="H98" s="2" t="inlineStr">
        <is>
          <t>3.9 Wartungsunterlagen und Prüfbuch vorhanden und aktuell? [Auslöser · Pflicht]
3.10 Wird die Anlage regelmäßig durch ein Fachunternehmen instand gehalten (Wartungsvertrag)? [Auslöser · Pflicht]</t>
        </is>
      </c>
      <c r="I98" s="2" t="inlineStr">
        <is>
          <t>BetrSichV § 10; BetrSichV § 17; TRBS 3121 4.6</t>
        </is>
      </c>
      <c r="J98" s="2" t="inlineStr">
        <is>
          <t>K-D02</t>
        </is>
      </c>
      <c r="K98" s="2" t="n">
        <v>3</v>
      </c>
    </row>
    <row r="99">
      <c r="A99" s="4" t="inlineStr">
        <is>
          <t>MF-D04</t>
        </is>
      </c>
      <c r="B99" s="4" t="inlineStr">
        <is>
          <t>Prüfplakette fehlt oder Prüffrist der ZÜS überschritten</t>
        </is>
      </c>
      <c r="C99" s="4" t="inlineStr">
        <is>
          <t>Beschilderung und Unterlagen</t>
        </is>
      </c>
      <c r="D99" s="4" t="inlineStr">
        <is>
          <t>D – Unterlagen und Betreiberorganisation</t>
        </is>
      </c>
      <c r="E99" s="4" t="inlineStr">
        <is>
          <t>MAXIMUM</t>
        </is>
      </c>
      <c r="F99" s="4" t="inlineStr">
        <is>
          <t>Gefährdung durch organisatorische Mängel (Unterlagen, Unterweisung, Zuständigkeit)</t>
        </is>
      </c>
      <c r="G99" s="4" t="inlineStr">
        <is>
          <t>Betreiber, Nutzer</t>
        </is>
      </c>
      <c r="H99" s="4" t="inlineStr">
        <is>
          <t>3.6 Prüfplakette der ZÜS vorhanden und lesbar? [Auslöser · Pflicht]
3.8 Prüffrist der wiederkehrenden Prüfung (ZÜS) überschritten? [Auslöser · Pflicht]</t>
        </is>
      </c>
      <c r="I99" s="4" t="inlineStr">
        <is>
          <t>BetrSichV § 16; BetrSichV § 17 Abs. 3; BetrSichV Anh. 2 Abschn. 2</t>
        </is>
      </c>
      <c r="J99" s="4" t="inlineStr">
        <is>
          <t>K-D03</t>
        </is>
      </c>
      <c r="K99" s="4" t="n">
        <v>3</v>
      </c>
    </row>
    <row r="100">
      <c r="A100" s="2" t="inlineStr">
        <is>
          <t>MF-D05</t>
        </is>
      </c>
      <c r="B100" s="2" t="inlineStr">
        <is>
          <t>Betreiberorganisation: beauftragte Person, Unterweisung, Betriebsanweisung, Zutrittsregelung</t>
        </is>
      </c>
      <c r="C100" s="2" t="inlineStr">
        <is>
          <t>Betreiberorganisation</t>
        </is>
      </c>
      <c r="D100" s="2" t="inlineStr">
        <is>
          <t>D – Unterlagen und Betreiberorganisation</t>
        </is>
      </c>
      <c r="E100" s="2" t="inlineStr">
        <is>
          <t>MAXIMUM</t>
        </is>
      </c>
      <c r="F100" s="2" t="inlineStr">
        <is>
          <t>Gefährdung durch organisatorische Mängel (Unterlagen, Unterweisung, Zuständigkeit)</t>
        </is>
      </c>
      <c r="G100" s="2" t="inlineStr">
        <is>
          <t>Betreiber, Beauftragte Person</t>
        </is>
      </c>
      <c r="H100" s="2" t="inlineStr">
        <is>
          <t>E1 Beauftragte Person für die Aufzugsanlage (Aufzugswärter) schriftlich benannt? [Auslöser · Pflicht]
E2 Unterweisung der beauftragten Person dokumentiert? [Auslöser · bedingt Pflicht]
E3 Betriebsanweisung für die Anlage vorhanden und ausgehängt? [Auslöser · Pflicht]
E4 Zutritt zum Triebwerksraum / Steuerschrank organisatorisch geregelt (Schlüsselverwaltung, nur befugte Personen)? [Auslöser · Pflicht]
E5 Liegt für die Anlage bereits eine dokumentierte Gefährdungsbeurteilung des Betreibers vor? [Dokumentation]</t>
        </is>
      </c>
      <c r="I100" s="2" t="inlineStr">
        <is>
          <t>BetrSichV § 12; BetrSichV Anh. 1 Nr. 4; TRBS 3121 4.2; TRBS 1116</t>
        </is>
      </c>
      <c r="J100" s="2" t="inlineStr">
        <is>
          <t>K-D04</t>
        </is>
      </c>
      <c r="K100" s="2" t="n">
        <v>5</v>
      </c>
    </row>
  </sheetData>
  <autoFilter ref="A1:K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30" customWidth="1" min="3" max="3"/>
    <col width="60" customWidth="1" min="4" max="4"/>
    <col width="9" customWidth="1" min="5" max="5"/>
    <col width="44" customWidth="1" min="6" max="6"/>
    <col width="40" customWidth="1" min="7" max="7"/>
    <col width="40" customWidth="1" min="8" max="8"/>
    <col width="30" customWidth="1" min="9" max="9"/>
  </cols>
  <sheetData>
    <row r="1" ht="30" customHeight="1">
      <c r="A1" s="1" t="inlineStr">
        <is>
          <t>Code</t>
        </is>
      </c>
      <c r="B1" s="1" t="inlineStr">
        <is>
          <t>Nr.</t>
        </is>
      </c>
      <c r="C1" s="1" t="inlineStr">
        <is>
          <t>Erhebungsbereich</t>
        </is>
      </c>
      <c r="D1" s="1" t="inlineStr">
        <is>
          <t>Frage</t>
        </is>
      </c>
      <c r="E1" s="1" t="inlineStr">
        <is>
          <t>Typ</t>
        </is>
      </c>
      <c r="F1" s="1" t="inlineStr">
        <is>
          <t>Antwortoptionen</t>
        </is>
      </c>
      <c r="G1" s="1" t="inlineStr">
        <is>
          <t>Hilfetext</t>
        </is>
      </c>
      <c r="H1" s="1" t="inlineStr">
        <is>
          <t>Sichtbar wenn</t>
        </is>
      </c>
      <c r="I1" s="1" t="inlineStr">
        <is>
          <t>Gefährdungen</t>
        </is>
      </c>
    </row>
    <row r="2">
      <c r="A2" s="2" t="inlineStr">
        <is>
          <t>qa_aufzugsart</t>
        </is>
      </c>
      <c r="B2" s="2" t="inlineStr">
        <is>
          <t>3.1</t>
        </is>
      </c>
      <c r="C2" s="2" t="inlineStr">
        <is>
          <t>A – Anlagenmerkmale</t>
        </is>
      </c>
      <c r="D2" s="2" t="inlineStr">
        <is>
          <t>Aufzugsart</t>
        </is>
      </c>
      <c r="E2" s="2" t="inlineStr">
        <is>
          <t>SELECT</t>
        </is>
      </c>
      <c r="F2" s="2" t="inlineStr">
        <is>
          <t>Seil-/Riemenaufzug (Treibscheibe)
Trommel- oder Kettenaufzug
Hydraulikaufzug
Seil-Hydraulikaufzug (indirekt)</t>
        </is>
      </c>
      <c r="G2" s="2" t="inlineStr">
        <is>
          <t>Steuert, welche Gefährdungen überhaupt bewertet werden (z. B. Bremse und Gegengewicht nur bei Seilanlagen, Hydraulikeinrichtungen nur bei Hydraulik).</t>
        </is>
      </c>
      <c r="H2" s="2" t="inlineStr"/>
      <c r="I2" s="2" t="inlineStr">
        <is>
          <t>MF-G07, MF-K12, MF-K13, MF-K14, MF-M03, MF-M08, MF-M13, MF-S05</t>
        </is>
      </c>
    </row>
    <row r="3">
      <c r="A3" s="4" t="inlineStr">
        <is>
          <t>qa_antrieb</t>
        </is>
      </c>
      <c r="B3" s="4" t="inlineStr">
        <is>
          <t>6.1</t>
        </is>
      </c>
      <c r="C3" s="4" t="inlineStr">
        <is>
          <t>A – Anlagenmerkmale</t>
        </is>
      </c>
      <c r="D3" s="4" t="inlineStr">
        <is>
          <t>Antriebssystem / Regelung</t>
        </is>
      </c>
      <c r="E3" s="4" t="inlineStr">
        <is>
          <t>SELECT</t>
        </is>
      </c>
      <c r="F3" s="4" t="inlineStr">
        <is>
          <t>Eingeschwindigkeitsantrieb
Zweigeschwindigkeitsantrieb
Geregelter Antrieb (Frequenzumrichter)
Hydraulischer Antrieb</t>
        </is>
      </c>
      <c r="G3" s="4" t="inlineStr"/>
      <c r="H3" s="4" t="inlineStr"/>
      <c r="I3" s="4" t="inlineStr">
        <is>
          <t>MF-M10, MF-M12</t>
        </is>
      </c>
    </row>
    <row r="4">
      <c r="A4" s="2" t="inlineStr">
        <is>
          <t>qa_nenngeschwindigkeit</t>
        </is>
      </c>
      <c r="B4" s="2" t="inlineStr">
        <is>
          <t>3.1a</t>
        </is>
      </c>
      <c r="C4" s="2" t="inlineStr">
        <is>
          <t>A – Anlagenmerkmale</t>
        </is>
      </c>
      <c r="D4" s="2" t="inlineStr">
        <is>
          <t>Nenngeschwindigkeit [m/s]</t>
        </is>
      </c>
      <c r="E4" s="2" t="inlineStr">
        <is>
          <t>NUMBER</t>
        </is>
      </c>
      <c r="F4" s="2" t="inlineStr"/>
      <c r="G4" s="2" t="inlineStr">
        <is>
          <t>Für die Pufferbewertung (energiespeichernde Puffer nur bis 1,0 m/s).</t>
        </is>
      </c>
      <c r="H4" s="2" t="inlineStr"/>
      <c r="I4" s="2" t="inlineStr">
        <is>
          <t>MF-G06</t>
        </is>
      </c>
    </row>
    <row r="5">
      <c r="A5" s="4" t="inlineStr">
        <is>
          <t>qa_gegengewicht</t>
        </is>
      </c>
      <c r="B5" s="4" t="inlineStr">
        <is>
          <t>3.1b</t>
        </is>
      </c>
      <c r="C5" s="4" t="inlineStr">
        <is>
          <t>A – Anlagenmerkmale</t>
        </is>
      </c>
      <c r="D5" s="4" t="inlineStr">
        <is>
          <t>Gegengewicht oder Ausgleichsgewicht vorhanden?</t>
        </is>
      </c>
      <c r="E5" s="4" t="inlineStr">
        <is>
          <t>YES_NO</t>
        </is>
      </c>
      <c r="F5" s="4" t="inlineStr"/>
      <c r="G5" s="4" t="inlineStr">
        <is>
          <t>Trommelaufzüge ohne Gegengewicht: Nein. Schaltet Abtrennung und Sicherung des Gegengewichts sowie die Sturzverhinderung nach oben.</t>
        </is>
      </c>
      <c r="H5" s="4" t="inlineStr">
        <is>
          <t>3.1 Aufzugsart in [„Seil-/Riemenaufzug (Treibscheibe)", „Trommel- oder Kettenaufzug", „Seil-Hydraulikaufzug (indirekt)"]</t>
        </is>
      </c>
      <c r="I5" s="4" t="inlineStr">
        <is>
          <t>MF-G07, MF-K13</t>
        </is>
      </c>
    </row>
    <row r="6">
      <c r="A6" s="2" t="inlineStr">
        <is>
          <t>qa_maschinenraum</t>
        </is>
      </c>
      <c r="B6" s="2" t="inlineStr">
        <is>
          <t>4.7</t>
        </is>
      </c>
      <c r="C6" s="2" t="inlineStr">
        <is>
          <t>A – Anlagenmerkmale</t>
        </is>
      </c>
      <c r="D6" s="2" t="inlineStr">
        <is>
          <t>Eigener Triebwerks-/Maschinenraum vorhanden?</t>
        </is>
      </c>
      <c r="E6" s="2" t="inlineStr">
        <is>
          <t>YES_NO</t>
        </is>
      </c>
      <c r="F6" s="2" t="inlineStr"/>
      <c r="G6" s="2" t="inlineStr">
        <is>
          <t>Nein = maschinenraumlose Anlage (Antrieb im Schacht, Steuerung im Schaltschrank). Raumbezogene Gefährdungen entfallen dann.</t>
        </is>
      </c>
      <c r="H6" s="2" t="inlineStr"/>
      <c r="I6" s="2" t="inlineStr">
        <is>
          <t>MF-M01, MF-M04, MF-M05, MF-M06, MF-M14, MF-M18, MF-M19, MF-Z07</t>
        </is>
      </c>
    </row>
    <row r="7">
      <c r="A7" s="4" t="inlineStr">
        <is>
          <t>qa_rollenraum</t>
        </is>
      </c>
      <c r="B7" s="4" t="inlineStr">
        <is>
          <t>4.7a</t>
        </is>
      </c>
      <c r="C7" s="4" t="inlineStr">
        <is>
          <t>A – Anlagenmerkmale</t>
        </is>
      </c>
      <c r="D7" s="4" t="inlineStr">
        <is>
          <t>Zusätzlicher Rollenraum vorhanden?</t>
        </is>
      </c>
      <c r="E7" s="4" t="inlineStr">
        <is>
          <t>YES_NO</t>
        </is>
      </c>
      <c r="F7" s="4" t="inlineStr"/>
      <c r="G7" s="4" t="inlineStr"/>
      <c r="H7" s="4" t="inlineStr">
        <is>
          <t>4.7 Eigener Triebwerks-/Maschinenraum vorhanden? = Ja</t>
        </is>
      </c>
      <c r="I7" s="4" t="inlineStr">
        <is>
          <t>MF-M20</t>
        </is>
      </c>
    </row>
    <row r="8">
      <c r="A8" s="2" t="inlineStr">
        <is>
          <t>qa_mehrere_aufzuege</t>
        </is>
      </c>
      <c r="B8" s="2" t="inlineStr">
        <is>
          <t>4.8</t>
        </is>
      </c>
      <c r="C8" s="2" t="inlineStr">
        <is>
          <t>A – Anlagenmerkmale</t>
        </is>
      </c>
      <c r="D8" s="2" t="inlineStr">
        <is>
          <t>Mehrere Aufzüge in einem gemeinsamen Schacht?</t>
        </is>
      </c>
      <c r="E8" s="2" t="inlineStr">
        <is>
          <t>YES_NO</t>
        </is>
      </c>
      <c r="F8" s="2" t="inlineStr"/>
      <c r="G8" s="2" t="inlineStr"/>
      <c r="H8" s="2" t="inlineStr"/>
      <c r="I8" s="2" t="inlineStr">
        <is>
          <t>MF-F03, MF-G08</t>
        </is>
      </c>
    </row>
    <row r="9">
      <c r="A9" s="4" t="inlineStr">
        <is>
          <t>qa_raum_unter_schacht</t>
        </is>
      </c>
      <c r="B9" s="4" t="inlineStr">
        <is>
          <t>4.8a</t>
        </is>
      </c>
      <c r="C9" s="4" t="inlineStr">
        <is>
          <t>A – Anlagenmerkmale</t>
        </is>
      </c>
      <c r="D9" s="4" t="inlineStr">
        <is>
          <t>Betretbarer Raum unterhalb der Schachtgrube?</t>
        </is>
      </c>
      <c r="E9" s="4" t="inlineStr">
        <is>
          <t>YES_NO</t>
        </is>
      </c>
      <c r="F9" s="4" t="inlineStr"/>
      <c r="G9" s="4" t="inlineStr">
        <is>
          <t>Zum Beispiel Keller, Technikraum oder Tiefgarage unter der Grube. Dann ist eine Fangvorrichtung am Gegengewicht oder ein durchgehendes Fundament erforderlich.</t>
        </is>
      </c>
      <c r="H9" s="4" t="inlineStr"/>
      <c r="I9" s="4" t="inlineStr">
        <is>
          <t>MF-G07</t>
        </is>
      </c>
    </row>
    <row r="10">
      <c r="A10" s="2" t="inlineStr">
        <is>
          <t>qa_fahrkorbtuer</t>
        </is>
      </c>
      <c r="B10" s="2" t="inlineStr">
        <is>
          <t>8.6</t>
        </is>
      </c>
      <c r="C10" s="2" t="inlineStr">
        <is>
          <t>A – Anlagenmerkmale</t>
        </is>
      </c>
      <c r="D10" s="2" t="inlineStr">
        <is>
          <t>Fahrkorbabschlusstür vorhanden?</t>
        </is>
      </c>
      <c r="E10" s="2" t="inlineStr">
        <is>
          <t>YES_NO</t>
        </is>
      </c>
      <c r="F10" s="2" t="inlineStr"/>
      <c r="G10" s="2" t="inlineStr"/>
      <c r="H10" s="2" t="inlineStr"/>
      <c r="I10" s="2" t="inlineStr">
        <is>
          <t>MF-T06</t>
        </is>
      </c>
    </row>
    <row r="11">
      <c r="A11" s="4" t="inlineStr">
        <is>
          <t>qa_glas_schachttueren</t>
        </is>
      </c>
      <c r="B11" s="4" t="inlineStr">
        <is>
          <t>4.1</t>
        </is>
      </c>
      <c r="C11" s="4" t="inlineStr">
        <is>
          <t>A – Anlagenmerkmale</t>
        </is>
      </c>
      <c r="D11" s="4" t="inlineStr">
        <is>
          <t>Schachttüren mit Glas?</t>
        </is>
      </c>
      <c r="E11" s="4" t="inlineStr">
        <is>
          <t>YES_NO</t>
        </is>
      </c>
      <c r="F11" s="4" t="inlineStr"/>
      <c r="G11" s="4" t="inlineStr"/>
      <c r="H11" s="4" t="inlineStr"/>
      <c r="I11" s="4" t="inlineStr">
        <is>
          <t>MF-T04</t>
        </is>
      </c>
    </row>
    <row r="12">
      <c r="A12" s="2" t="inlineStr">
        <is>
          <t>qa_glas_fahrkorbtueren</t>
        </is>
      </c>
      <c r="B12" s="2" t="inlineStr">
        <is>
          <t>4.3</t>
        </is>
      </c>
      <c r="C12" s="2" t="inlineStr">
        <is>
          <t>A – Anlagenmerkmale</t>
        </is>
      </c>
      <c r="D12" s="2" t="inlineStr">
        <is>
          <t>Fahrkorbtüren mit Glas?</t>
        </is>
      </c>
      <c r="E12" s="2" t="inlineStr">
        <is>
          <t>YES_NO</t>
        </is>
      </c>
      <c r="F12" s="2" t="inlineStr"/>
      <c r="G12" s="2" t="inlineStr"/>
      <c r="H12" s="2" t="inlineStr"/>
      <c r="I12" s="2" t="inlineStr">
        <is>
          <t>MF-T04</t>
        </is>
      </c>
    </row>
    <row r="13">
      <c r="A13" s="4" t="inlineStr">
        <is>
          <t>qa_glas_schacht</t>
        </is>
      </c>
      <c r="B13" s="4" t="inlineStr">
        <is>
          <t>4.2</t>
        </is>
      </c>
      <c r="C13" s="4" t="inlineStr">
        <is>
          <t>A – Anlagenmerkmale</t>
        </is>
      </c>
      <c r="D13" s="4" t="inlineStr">
        <is>
          <t>Schacht oder Schachtgerüst mit Glas?</t>
        </is>
      </c>
      <c r="E13" s="4" t="inlineStr">
        <is>
          <t>YES_NO</t>
        </is>
      </c>
      <c r="F13" s="4" t="inlineStr"/>
      <c r="G13" s="4" t="inlineStr"/>
      <c r="H13" s="4" t="inlineStr"/>
      <c r="I13" s="4" t="inlineStr">
        <is>
          <t>MF-S03</t>
        </is>
      </c>
    </row>
    <row r="14">
      <c r="A14" s="2" t="inlineStr">
        <is>
          <t>qa_nutzungsart</t>
        </is>
      </c>
      <c r="B14" s="2" t="inlineStr">
        <is>
          <t>2.1</t>
        </is>
      </c>
      <c r="C14" s="2" t="inlineStr">
        <is>
          <t>A – Anlagenmerkmale</t>
        </is>
      </c>
      <c r="D14" s="2" t="inlineStr">
        <is>
          <t>Nutzungsart der Anlage</t>
        </is>
      </c>
      <c r="E14" s="2" t="inlineStr">
        <is>
          <t>SELECT</t>
        </is>
      </c>
      <c r="F14" s="2" t="inlineStr">
        <is>
          <t>Personenaufzug
Personen- und Lastenaufzug
Lastenaufzug mit Personenbegleitung
Güteraufzug ohne Personenbeförderung</t>
        </is>
      </c>
      <c r="G14" s="2" t="inlineStr"/>
      <c r="H14" s="2" t="inlineStr"/>
      <c r="I14" s="2" t="inlineStr">
        <is>
          <t>MF-K06</t>
        </is>
      </c>
    </row>
    <row r="15">
      <c r="A15" s="4" t="inlineStr">
        <is>
          <t>qa_nutzung_pmem</t>
        </is>
      </c>
      <c r="B15" s="4" t="inlineStr">
        <is>
          <t>4.9</t>
        </is>
      </c>
      <c r="C15" s="4" t="inlineStr">
        <is>
          <t>A – Anlagenmerkmale</t>
        </is>
      </c>
      <c r="D15" s="4" t="inlineStr">
        <is>
          <t>Nutzung durch Personen mit eingeschränkter Mobilität (Rollstuhl, Rollator, Sehbehinderung) zu erwarten?</t>
        </is>
      </c>
      <c r="E15" s="4" t="inlineStr">
        <is>
          <t>YES_NO</t>
        </is>
      </c>
      <c r="F15" s="4" t="inlineStr"/>
      <c r="G15" s="4" t="inlineStr">
        <is>
          <t>Wirkt als Verschärfung (Modifier) bei Haltegenauigkeit, Türen und Zugang und schaltet die Barrierefreiheits-Gefährdung.</t>
        </is>
      </c>
      <c r="H15" s="4" t="inlineStr"/>
      <c r="I15" s="4" t="inlineStr">
        <is>
          <t>MF-K03, MF-K10, MF-T06, MF-U14</t>
        </is>
      </c>
    </row>
    <row r="16">
      <c r="A16" s="2" t="inlineStr">
        <is>
          <t>qa_nutzung_kinder</t>
        </is>
      </c>
      <c r="B16" s="2" t="inlineStr">
        <is>
          <t>4.12</t>
        </is>
      </c>
      <c r="C16" s="2" t="inlineStr">
        <is>
          <t>A – Anlagenmerkmale</t>
        </is>
      </c>
      <c r="D16" s="2" t="inlineStr">
        <is>
          <t>Nutzung durch unbeaufsichtigte Kinder zu erwarten (Schule, Kita, Wohnanlage)?</t>
        </is>
      </c>
      <c r="E16" s="2" t="inlineStr">
        <is>
          <t>YES_NO</t>
        </is>
      </c>
      <c r="F16" s="2" t="inlineStr"/>
      <c r="G16" s="2" t="inlineStr"/>
      <c r="H16" s="2" t="inlineStr"/>
      <c r="I16" s="2" t="inlineStr">
        <is>
          <t>MF-T04, MF-T06</t>
        </is>
      </c>
    </row>
    <row r="17">
      <c r="A17" s="4" t="inlineStr">
        <is>
          <t>qa_nutzung_flurfoerderzeug</t>
        </is>
      </c>
      <c r="B17" s="4" t="inlineStr">
        <is>
          <t>4.10</t>
        </is>
      </c>
      <c r="C17" s="4" t="inlineStr">
        <is>
          <t>A – Anlagenmerkmale</t>
        </is>
      </c>
      <c r="D17" s="4" t="inlineStr">
        <is>
          <t>Beladung mit Flurförderzeugen oder Transportwagen?</t>
        </is>
      </c>
      <c r="E17" s="4" t="inlineStr">
        <is>
          <t>YES_NO</t>
        </is>
      </c>
      <c r="F17" s="4" t="inlineStr"/>
      <c r="G17" s="4" t="inlineStr"/>
      <c r="H17" s="4" t="inlineStr"/>
      <c r="I17" s="4" t="inlineStr">
        <is>
          <t>MF-K06</t>
        </is>
      </c>
    </row>
    <row r="18">
      <c r="A18" s="2" t="inlineStr">
        <is>
          <t>qa_oeffentlich</t>
        </is>
      </c>
      <c r="B18" s="2" t="inlineStr">
        <is>
          <t>2.2</t>
        </is>
      </c>
      <c r="C18" s="2" t="inlineStr">
        <is>
          <t>A – Anlagenmerkmale</t>
        </is>
      </c>
      <c r="D18" s="2" t="inlineStr">
        <is>
          <t>Öffentlich zugängliche Anlage (Publikumsverkehr)?</t>
        </is>
      </c>
      <c r="E18" s="2" t="inlineStr">
        <is>
          <t>YES_NO</t>
        </is>
      </c>
      <c r="F18" s="2" t="inlineStr"/>
      <c r="G18" s="2" t="inlineStr"/>
      <c r="H18" s="2" t="inlineStr"/>
      <c r="I18" s="2" t="inlineStr">
        <is>
          <t>MF-K11</t>
        </is>
      </c>
    </row>
    <row r="19">
      <c r="A19" s="4" t="inlineStr">
        <is>
          <t>qa_norm_inverkehrbringen</t>
        </is>
      </c>
      <c r="B19" s="4" t="inlineStr">
        <is>
          <t>1.28</t>
        </is>
      </c>
      <c r="C19" s="4" t="inlineStr">
        <is>
          <t>A – Anlagenmerkmale</t>
        </is>
      </c>
      <c r="D19" s="4" t="inlineStr">
        <is>
          <t>Regelwerk bei Inverkehrbringen / letzter Modernisierung</t>
        </is>
      </c>
      <c r="E19" s="4" t="inlineStr">
        <is>
          <t>SELECT</t>
        </is>
      </c>
      <c r="F19" s="4" t="inlineStr">
        <is>
          <t>TRA 200 / TRA 102 (vor 1999)
DIN EN 81-1 / 81-2 (1999–2017)
DIN EN 81-20 (ab 2017)
Unbekannt / keine Unterlagen</t>
        </is>
      </c>
      <c r="G19" s="4" t="inlineStr">
        <is>
          <t>Nur Dokumentation und Hinweis für die Beurteilung – keine automatische Stufenänderung.</t>
        </is>
      </c>
      <c r="H19" s="4" t="inlineStr"/>
      <c r="I19" s="4" t="inlineStr">
        <is>
          <t>MF-F07</t>
        </is>
      </c>
    </row>
    <row r="20">
      <c r="A20" s="2" t="inlineStr">
        <is>
          <t>qa_feuerwehraufzug</t>
        </is>
      </c>
      <c r="B20" s="2" t="inlineStr">
        <is>
          <t>15.6</t>
        </is>
      </c>
      <c r="C20" s="2" t="inlineStr">
        <is>
          <t>A – Anlagenmerkmale</t>
        </is>
      </c>
      <c r="D20" s="2" t="inlineStr">
        <is>
          <t>Feuerwehraufzug oder Aufzug mit Brandfall-Sonderbetrieb (EN 81-72 / EN 81-73 Evakuierung)?</t>
        </is>
      </c>
      <c r="E20" s="2" t="inlineStr">
        <is>
          <t>YES_NO</t>
        </is>
      </c>
      <c r="F20" s="2" t="inlineStr"/>
      <c r="G20" s="2" t="inlineStr"/>
      <c r="H20" s="2" t="inlineStr"/>
      <c r="I20" s="2" t="inlineStr">
        <is>
          <t>MF-SF01</t>
        </is>
      </c>
    </row>
    <row r="21">
      <c r="A21" s="4" t="inlineStr">
        <is>
          <t>qa_bfs_gefordert</t>
        </is>
      </c>
      <c r="B21" s="4" t="inlineStr">
        <is>
          <t>4.11</t>
        </is>
      </c>
      <c r="C21" s="4" t="inlineStr">
        <is>
          <t>A – Anlagenmerkmale</t>
        </is>
      </c>
      <c r="D21" s="4" t="inlineStr">
        <is>
          <t>Fordert das Brandschutzkonzept des Gebäudes eine Brandfallsteuerung?</t>
        </is>
      </c>
      <c r="E21" s="4" t="inlineStr">
        <is>
          <t>YES_NO</t>
        </is>
      </c>
      <c r="F21" s="4" t="inlineStr"/>
      <c r="G21" s="4" t="inlineStr">
        <is>
          <t>Unbekannt = Ja wählen und in K prüfen lassen.</t>
        </is>
      </c>
      <c r="H21" s="4" t="inlineStr"/>
      <c r="I21" s="4" t="inlineStr">
        <is>
          <t>MF-K08</t>
        </is>
      </c>
    </row>
    <row r="22">
      <c r="A22" s="2" t="inlineStr">
        <is>
          <t>qa_bma_vorhanden</t>
        </is>
      </c>
      <c r="B22" s="2" t="inlineStr">
        <is>
          <t>15.8</t>
        </is>
      </c>
      <c r="C22" s="2" t="inlineStr">
        <is>
          <t>A – Anlagenmerkmale</t>
        </is>
      </c>
      <c r="D22" s="2" t="inlineStr">
        <is>
          <t>Brandmeldeanlage (BMA) im Gebäude vorhanden?</t>
        </is>
      </c>
      <c r="E22" s="2" t="inlineStr">
        <is>
          <t>YES_NO</t>
        </is>
      </c>
      <c r="F22" s="2" t="inlineStr"/>
      <c r="G22" s="2" t="inlineStr"/>
      <c r="H22" s="2" t="inlineStr"/>
      <c r="I22" s="2" t="inlineStr">
        <is>
          <t>MF-U09</t>
        </is>
      </c>
    </row>
    <row r="23">
      <c r="A23" s="4" t="inlineStr">
        <is>
          <t>qa_entrauchung_vorhanden</t>
        </is>
      </c>
      <c r="B23" s="4" t="inlineStr">
        <is>
          <t>15.9</t>
        </is>
      </c>
      <c r="C23" s="4" t="inlineStr">
        <is>
          <t>A – Anlagenmerkmale</t>
        </is>
      </c>
      <c r="D23" s="4" t="inlineStr">
        <is>
          <t>Schachtentrauchung / RWA / Lüftungsöffnung im Schachtkopf vorhanden?</t>
        </is>
      </c>
      <c r="E23" s="4" t="inlineStr">
        <is>
          <t>YES_NO</t>
        </is>
      </c>
      <c r="F23" s="4" t="inlineStr"/>
      <c r="G23" s="4" t="inlineStr"/>
      <c r="H23" s="4" t="inlineStr"/>
      <c r="I23" s="4" t="inlineStr">
        <is>
          <t>MF-U10</t>
        </is>
      </c>
    </row>
    <row r="24">
      <c r="A24" s="2" t="inlineStr">
        <is>
          <t>qa_sprinkler_vorhanden</t>
        </is>
      </c>
      <c r="B24" s="2" t="inlineStr">
        <is>
          <t>15.10</t>
        </is>
      </c>
      <c r="C24" s="2" t="inlineStr">
        <is>
          <t>A – Anlagenmerkmale</t>
        </is>
      </c>
      <c r="D24" s="2" t="inlineStr">
        <is>
          <t>Löschanlage / Sprinkler im Schacht oder Triebwerksraum vorhanden?</t>
        </is>
      </c>
      <c r="E24" s="2" t="inlineStr">
        <is>
          <t>YES_NO</t>
        </is>
      </c>
      <c r="F24" s="2" t="inlineStr"/>
      <c r="G24" s="2" t="inlineStr"/>
      <c r="H24" s="2" t="inlineStr"/>
      <c r="I24" s="2" t="inlineStr">
        <is>
          <t>MF-U11</t>
        </is>
      </c>
    </row>
    <row r="25">
      <c r="A25" s="4" t="inlineStr">
        <is>
          <t>qa_ucm_a3</t>
        </is>
      </c>
      <c r="B25" s="4" t="inlineStr">
        <is>
          <t>4.5</t>
        </is>
      </c>
      <c r="C25" s="4" t="inlineStr">
        <is>
          <t>A – Anlagenmerkmale</t>
        </is>
      </c>
      <c r="D25" s="4" t="inlineStr">
        <is>
          <t>UCM-Schutz (unbeabsichtigte Fahrkorbbewegung, A3 / EN 81-20 5.6.7) vorhanden?</t>
        </is>
      </c>
      <c r="E25" s="4" t="inlineStr">
        <is>
          <t>YES_NO</t>
        </is>
      </c>
      <c r="F25" s="4" t="inlineStr"/>
      <c r="G25" s="4" t="inlineStr"/>
      <c r="H25" s="4" t="inlineStr"/>
      <c r="I25" s="4" t="inlineStr">
        <is>
          <t>MF-K12</t>
        </is>
      </c>
    </row>
    <row r="26">
      <c r="A26" s="2" t="inlineStr">
        <is>
          <t>qa_lagerung_statisch_bestimmt</t>
        </is>
      </c>
      <c r="B26" s="2" t="inlineStr">
        <is>
          <t>4.6</t>
        </is>
      </c>
      <c r="C26" s="2" t="inlineStr">
        <is>
          <t>A – Anlagenmerkmale</t>
        </is>
      </c>
      <c r="D26" s="2" t="inlineStr">
        <is>
          <t>Antriebswelle statisch bestimmt gelagert (keine 3-Punkt-Lagerung)?</t>
        </is>
      </c>
      <c r="E26" s="2" t="inlineStr">
        <is>
          <t>YES_NO</t>
        </is>
      </c>
      <c r="F26" s="2" t="inlineStr"/>
      <c r="G26" s="2" t="inlineStr"/>
      <c r="H26" s="2" t="inlineStr">
        <is>
          <t>3.1 Aufzugsart in [„Seil-/Riemenaufzug (Treibscheibe)", „Trommel- oder Kettenaufzug", „Seil-Hydraulikaufzug (indirekt)"]</t>
        </is>
      </c>
      <c r="I26" s="2" t="inlineStr">
        <is>
          <t>MF-K12, MF-K14</t>
        </is>
      </c>
    </row>
    <row r="27">
      <c r="A27" s="4" t="inlineStr">
        <is>
          <t>qa_grubentiefe</t>
        </is>
      </c>
      <c r="B27" s="4" t="inlineStr">
        <is>
          <t>11.1</t>
        </is>
      </c>
      <c r="C27" s="4" t="inlineStr">
        <is>
          <t>A – Anlagenmerkmale</t>
        </is>
      </c>
      <c r="D27" s="4" t="inlineStr">
        <is>
          <t>Schachtgrubentiefe [m]</t>
        </is>
      </c>
      <c r="E27" s="4" t="inlineStr">
        <is>
          <t>NUMBER</t>
        </is>
      </c>
      <c r="F27" s="4" t="inlineStr"/>
      <c r="G27" s="4" t="inlineStr"/>
      <c r="H27" s="4" t="inlineStr"/>
      <c r="I27" s="4" t="inlineStr">
        <is>
          <t>MF-G03</t>
        </is>
      </c>
    </row>
    <row r="28">
      <c r="A28" s="2" t="inlineStr">
        <is>
          <t>qz_bel_vorhanden</t>
        </is>
      </c>
      <c r="B28" s="2" t="inlineStr">
        <is>
          <t>5.1</t>
        </is>
      </c>
      <c r="C28" s="2" t="inlineStr">
        <is>
          <t>Z – Zugang zum Triebwerks-/Steuerungsraum</t>
        </is>
      </c>
      <c r="D28" s="2" t="inlineStr">
        <is>
          <t>Beleuchtung an den Zuwegen zum Triebwerks-/Steuerungsraum vorhanden?</t>
        </is>
      </c>
      <c r="E28" s="2" t="inlineStr">
        <is>
          <t>YES_NO</t>
        </is>
      </c>
      <c r="F28" s="2" t="inlineStr"/>
      <c r="G28" s="2" t="inlineStr"/>
      <c r="H28" s="2" t="inlineStr"/>
      <c r="I28" s="2" t="inlineStr">
        <is>
          <t>MF-Z01</t>
        </is>
      </c>
    </row>
    <row r="29">
      <c r="A29" s="4" t="inlineStr">
        <is>
          <t>qz_bel_ausreichend</t>
        </is>
      </c>
      <c r="B29" s="4" t="inlineStr">
        <is>
          <t>5.2</t>
        </is>
      </c>
      <c r="C29" s="4" t="inlineStr">
        <is>
          <t>Z – Zugang zum Triebwerks-/Steuerungsraum</t>
        </is>
      </c>
      <c r="D29" s="4" t="inlineStr">
        <is>
          <t>Beleuchtung an den Zuwegen ausreichend (mind. 50 Lux, funktionsfähig, Leuchten an geeigneter Stelle)?</t>
        </is>
      </c>
      <c r="E29" s="4" t="inlineStr">
        <is>
          <t>YES_NO</t>
        </is>
      </c>
      <c r="F29" s="4" t="inlineStr"/>
      <c r="G29" s="4" t="inlineStr"/>
      <c r="H29" s="4" t="inlineStr">
        <is>
          <t>5.1 Beleuchtung an den Zuwegen zum Triebwerks-/Steuerungsraum vorhanden? = Ja</t>
        </is>
      </c>
      <c r="I29" s="4" t="inlineStr">
        <is>
          <t>MF-Z01</t>
        </is>
      </c>
    </row>
    <row r="30">
      <c r="A30" s="2" t="inlineStr">
        <is>
          <t>qz_bel_defekt</t>
        </is>
      </c>
      <c r="B30" s="2" t="inlineStr">
        <is>
          <t>5.2a</t>
        </is>
      </c>
      <c r="C30" s="2" t="inlineStr">
        <is>
          <t>Z – Zugang zum Triebwerks-/Steuerungsraum</t>
        </is>
      </c>
      <c r="D30" s="2" t="inlineStr">
        <is>
          <t>Defekte Leuchten oder Leuchtkörper an den Zuwegen?</t>
        </is>
      </c>
      <c r="E30" s="2" t="inlineStr">
        <is>
          <t>YES_NO</t>
        </is>
      </c>
      <c r="F30" s="2" t="inlineStr"/>
      <c r="G30" s="2" t="inlineStr"/>
      <c r="H30" s="2" t="inlineStr">
        <is>
          <t>5.1 Beleuchtung an den Zuwegen zum Triebwerks-/Steuerungsraum vorhanden? = Ja</t>
        </is>
      </c>
      <c r="I30" s="2" t="inlineStr">
        <is>
          <t>MF-Z01</t>
        </is>
      </c>
    </row>
    <row r="31">
      <c r="A31" s="4" t="inlineStr">
        <is>
          <t>qz_weg_sicher</t>
        </is>
      </c>
      <c r="B31" s="4" t="inlineStr">
        <is>
          <t>5.3</t>
        </is>
      </c>
      <c r="C31" s="4" t="inlineStr">
        <is>
          <t>Z – Zugang zum Triebwerks-/Steuerungsraum</t>
        </is>
      </c>
      <c r="D31" s="4" t="inlineStr">
        <is>
          <t>Sicherer, freier Verkehrsweg zum Triebwerks-/Steuerungsraum (trocken, sauber, ohne Stolperstellen, ohne Absturzkante)?</t>
        </is>
      </c>
      <c r="E31" s="4" t="inlineStr">
        <is>
          <t>YES_NO</t>
        </is>
      </c>
      <c r="F31" s="4" t="inlineStr"/>
      <c r="G31" s="4" t="inlineStr"/>
      <c r="H31" s="4" t="inlineStr"/>
      <c r="I31" s="4" t="inlineStr">
        <is>
          <t>MF-Z02</t>
        </is>
      </c>
    </row>
    <row r="32">
      <c r="A32" s="2" t="inlineStr">
        <is>
          <t>qz_weg_rutschig</t>
        </is>
      </c>
      <c r="B32" s="2" t="inlineStr">
        <is>
          <t>5.3a</t>
        </is>
      </c>
      <c r="C32" s="2" t="inlineStr">
        <is>
          <t>Z – Zugang zum Triebwerks-/Steuerungsraum</t>
        </is>
      </c>
      <c r="D32" s="2" t="inlineStr">
        <is>
          <t>Verkehrsweg rutschig, glatt oder verschmutzt?</t>
        </is>
      </c>
      <c r="E32" s="2" t="inlineStr">
        <is>
          <t>YES_NO</t>
        </is>
      </c>
      <c r="F32" s="2" t="inlineStr"/>
      <c r="G32" s="2" t="inlineStr"/>
      <c r="H32" s="2" t="inlineStr">
        <is>
          <t>5.3 Sicherer, freier Verkehrsweg zum Triebwerks-/Steuerungsraum (trocken, sauber, ohne Stolperstellen, ohne Absturzkante)? = Nein</t>
        </is>
      </c>
      <c r="I32" s="2" t="inlineStr">
        <is>
          <t>MF-Z02</t>
        </is>
      </c>
    </row>
    <row r="33">
      <c r="A33" s="4" t="inlineStr">
        <is>
          <t>qz_weg_stolper</t>
        </is>
      </c>
      <c r="B33" s="4" t="inlineStr">
        <is>
          <t>5.3b</t>
        </is>
      </c>
      <c r="C33" s="4" t="inlineStr">
        <is>
          <t>Z – Zugang zum Triebwerks-/Steuerungsraum</t>
        </is>
      </c>
      <c r="D33" s="4" t="inlineStr">
        <is>
          <t>Stolperstellen auf dem Verkehrsweg?</t>
        </is>
      </c>
      <c r="E33" s="4" t="inlineStr">
        <is>
          <t>YES_NO</t>
        </is>
      </c>
      <c r="F33" s="4" t="inlineStr"/>
      <c r="G33" s="4" t="inlineStr"/>
      <c r="H33" s="4" t="inlineStr">
        <is>
          <t>5.3 Sicherer, freier Verkehrsweg zum Triebwerks-/Steuerungsraum (trocken, sauber, ohne Stolperstellen, ohne Absturzkante)? = Nein</t>
        </is>
      </c>
      <c r="I33" s="4" t="inlineStr">
        <is>
          <t>MF-Z02</t>
        </is>
      </c>
    </row>
    <row r="34">
      <c r="A34" s="2" t="inlineStr">
        <is>
          <t>qz_weg_eng</t>
        </is>
      </c>
      <c r="B34" s="2" t="inlineStr">
        <is>
          <t>5.4</t>
        </is>
      </c>
      <c r="C34" s="2" t="inlineStr">
        <is>
          <t>Z – Zugang zum Triebwerks-/Steuerungsraum</t>
        </is>
      </c>
      <c r="D34" s="2" t="inlineStr">
        <is>
          <t>Enge oder niedrige Durchgänge (Breite &lt; 0,60 m oder Höhe &lt; 2,00 m)?</t>
        </is>
      </c>
      <c r="E34" s="2" t="inlineStr">
        <is>
          <t>YES_NO</t>
        </is>
      </c>
      <c r="F34" s="2" t="inlineStr"/>
      <c r="G34" s="2" t="inlineStr"/>
      <c r="H34" s="2" t="inlineStr"/>
      <c r="I34" s="2" t="inlineStr">
        <is>
          <t>MF-Z02</t>
        </is>
      </c>
    </row>
    <row r="35">
      <c r="A35" s="4" t="inlineStr">
        <is>
          <t>qz_aufstieg</t>
        </is>
      </c>
      <c r="B35" s="4" t="inlineStr">
        <is>
          <t>5.5</t>
        </is>
      </c>
      <c r="C35" s="4" t="inlineStr">
        <is>
          <t>Z – Zugang zum Triebwerks-/Steuerungsraum</t>
        </is>
      </c>
      <c r="D35" s="4" t="inlineStr">
        <is>
          <t>Art des Aufstiegs zum Triebwerksraum</t>
        </is>
      </c>
      <c r="E35" s="4" t="inlineStr">
        <is>
          <t>SELECT</t>
        </is>
      </c>
      <c r="F35" s="4" t="inlineStr">
        <is>
          <t>Ebenerdig / kein Aufstieg nötig
Treppe mit Handlauf
Treppe ohne Handlauf
Ordnungsgemäße Zug-/Klapptreppe
Zug-/Klapptreppe nicht sicherheitsgerecht
Fest angebrachte Steigleiter mit Rückenschutz/Haltegriff
Nur mobile Leiter / Anlegeleiter
Kein sicherer Aufstieg vorhanden</t>
        </is>
      </c>
      <c r="G35" s="4" t="inlineStr"/>
      <c r="H35" s="4" t="inlineStr"/>
      <c r="I35" s="4" t="inlineStr">
        <is>
          <t>MF-Z03</t>
        </is>
      </c>
    </row>
    <row r="36">
      <c r="A36" s="2" t="inlineStr">
        <is>
          <t>qz_aufstieg_bruch</t>
        </is>
      </c>
      <c r="B36" s="2" t="inlineStr">
        <is>
          <t>5.6</t>
        </is>
      </c>
      <c r="C36" s="2" t="inlineStr">
        <is>
          <t>Z – Zugang zum Triebwerks-/Steuerungsraum</t>
        </is>
      </c>
      <c r="D36" s="2" t="inlineStr">
        <is>
          <t>Bruch- oder Kippgefahr am Aufstieg (beschädigte Stufen, lose Leiter, fehlende Befestigung)?</t>
        </is>
      </c>
      <c r="E36" s="2" t="inlineStr">
        <is>
          <t>YES_NO</t>
        </is>
      </c>
      <c r="F36" s="2" t="inlineStr"/>
      <c r="G36" s="2" t="inlineStr"/>
      <c r="H36" s="2" t="inlineStr">
        <is>
          <t>5.5 Art des Aufstiegs zum Triebwerksraum ≠ „Ebenerdig / kein Aufstieg nötig"</t>
        </is>
      </c>
      <c r="I36" s="2" t="inlineStr">
        <is>
          <t>MF-Z03</t>
        </is>
      </c>
    </row>
    <row r="37">
      <c r="A37" s="4" t="inlineStr">
        <is>
          <t>qz_absturzkante</t>
        </is>
      </c>
      <c r="B37" s="4" t="inlineStr">
        <is>
          <t>5.7</t>
        </is>
      </c>
      <c r="C37" s="4" t="inlineStr">
        <is>
          <t>Z – Zugang zum Triebwerks-/Steuerungsraum</t>
        </is>
      </c>
      <c r="D37" s="4" t="inlineStr">
        <is>
          <t>Führt der Zugang über eine Dachfläche, Dachkante, Empore oder eine andere Absturzkante?</t>
        </is>
      </c>
      <c r="E37" s="4" t="inlineStr">
        <is>
          <t>YES_NO</t>
        </is>
      </c>
      <c r="F37" s="4" t="inlineStr"/>
      <c r="G37" s="4" t="inlineStr"/>
      <c r="H37" s="4" t="inlineStr"/>
      <c r="I37" s="4" t="inlineStr">
        <is>
          <t>MF-Z04</t>
        </is>
      </c>
    </row>
    <row r="38">
      <c r="A38" s="2" t="inlineStr">
        <is>
          <t>qz_absturz_gesichert</t>
        </is>
      </c>
      <c r="B38" s="2" t="inlineStr">
        <is>
          <t>5.7a</t>
        </is>
      </c>
      <c r="C38" s="2" t="inlineStr">
        <is>
          <t>Z – Zugang zum Triebwerks-/Steuerungsraum</t>
        </is>
      </c>
      <c r="D38" s="2" t="inlineStr">
        <is>
          <t>Absturzkante durch Geländer oder Umwehrung dauerhaft gesichert?</t>
        </is>
      </c>
      <c r="E38" s="2" t="inlineStr">
        <is>
          <t>YES_NO</t>
        </is>
      </c>
      <c r="F38" s="2" t="inlineStr"/>
      <c r="G38" s="2" t="inlineStr"/>
      <c r="H38" s="2" t="inlineStr">
        <is>
          <t>5.7 Führt der Zugang über eine Dachfläche, Dachkante, Empore oder eine andere Absturzkante? = Ja</t>
        </is>
      </c>
      <c r="I38" s="2" t="inlineStr">
        <is>
          <t>MF-Z04</t>
        </is>
      </c>
    </row>
    <row r="39">
      <c r="A39" s="4" t="inlineStr">
        <is>
          <t>qz_absturz_gekennzeichnet</t>
        </is>
      </c>
      <c r="B39" s="4" t="inlineStr">
        <is>
          <t>5.7b</t>
        </is>
      </c>
      <c r="C39" s="4" t="inlineStr">
        <is>
          <t>Z – Zugang zum Triebwerks-/Steuerungsraum</t>
        </is>
      </c>
      <c r="D39" s="4" t="inlineStr">
        <is>
          <t>Verkehrsweg an der Absturzkante festgelegt und gekennzeichnet?</t>
        </is>
      </c>
      <c r="E39" s="4" t="inlineStr">
        <is>
          <t>YES_NO</t>
        </is>
      </c>
      <c r="F39" s="4" t="inlineStr"/>
      <c r="G39" s="4" t="inlineStr"/>
      <c r="H39" s="4" t="inlineStr">
        <is>
          <t>(5.7 Führt der Zugang über eine Dachfläche, Dachkante, Empore oder eine andere Absturzkante? = Ja UND 5.7a Absturzkante durch Geländer oder Umwehrung dauerhaft gesichert? = Nein)</t>
        </is>
      </c>
      <c r="I39" s="4" t="inlineStr">
        <is>
          <t>MF-Z04</t>
        </is>
      </c>
    </row>
    <row r="40">
      <c r="A40" s="2" t="inlineStr">
        <is>
          <t>qz_uebersteigen</t>
        </is>
      </c>
      <c r="B40" s="2" t="inlineStr">
        <is>
          <t>5.8</t>
        </is>
      </c>
      <c r="C40" s="2" t="inlineStr">
        <is>
          <t>Z – Zugang zum Triebwerks-/Steuerungsraum</t>
        </is>
      </c>
      <c r="D40" s="2" t="inlineStr">
        <is>
          <t>Muss ein Treppenauge, eine Brüstung oder ein Fenster überstiegen werden?</t>
        </is>
      </c>
      <c r="E40" s="2" t="inlineStr">
        <is>
          <t>YES_NO</t>
        </is>
      </c>
      <c r="F40" s="2" t="inlineStr"/>
      <c r="G40" s="2" t="inlineStr"/>
      <c r="H40" s="2" t="inlineStr"/>
      <c r="I40" s="2" t="inlineStr">
        <is>
          <t>MF-Z04</t>
        </is>
      </c>
    </row>
    <row r="41">
      <c r="A41" s="4" t="inlineStr">
        <is>
          <t>qz_von_innen</t>
        </is>
      </c>
      <c r="B41" s="4" t="inlineStr">
        <is>
          <t>5.9</t>
        </is>
      </c>
      <c r="C41" s="4" t="inlineStr">
        <is>
          <t>Z – Zugang zum Triebwerks-/Steuerungsraum</t>
        </is>
      </c>
      <c r="D41" s="4" t="inlineStr">
        <is>
          <t>Lässt sich der Zugangsbereich / Triebwerksraum jederzeit von innen verlassen?</t>
        </is>
      </c>
      <c r="E41" s="4" t="inlineStr">
        <is>
          <t>SELECT</t>
        </is>
      </c>
      <c r="F41" s="4" t="inlineStr">
        <is>
          <t>Ja, ohne Schlüssel (Panikfunktion, Drücker innen)
Nur mit Schlüssel, Schlüssel dauerhaft innen hinterlegt
Nein – Einschließen möglich</t>
        </is>
      </c>
      <c r="G41" s="4" t="inlineStr"/>
      <c r="H41" s="4" t="inlineStr"/>
      <c r="I41" s="4" t="inlineStr">
        <is>
          <t>MF-Z05</t>
        </is>
      </c>
    </row>
    <row r="42">
      <c r="A42" s="2" t="inlineStr">
        <is>
          <t>qz_durch_fremde</t>
        </is>
      </c>
      <c r="B42" s="2" t="inlineStr">
        <is>
          <t>5.10</t>
        </is>
      </c>
      <c r="C42" s="2" t="inlineStr">
        <is>
          <t>Z – Zugang zum Triebwerks-/Steuerungsraum</t>
        </is>
      </c>
      <c r="D42" s="2" t="inlineStr">
        <is>
          <t>Führt der Zugang durch fremde Räume?</t>
        </is>
      </c>
      <c r="E42" s="2" t="inlineStr">
        <is>
          <t>SELECT</t>
        </is>
      </c>
      <c r="F42" s="2" t="inlineStr">
        <is>
          <t>Nein, direkter Zugang
Durch Arbeits-, Lager- oder Technikräume Dritter
Durch eine Wohnung oder einen nur zeitweise zugänglichen Bereich</t>
        </is>
      </c>
      <c r="G42" s="2" t="inlineStr"/>
      <c r="H42" s="2" t="inlineStr"/>
      <c r="I42" s="2" t="inlineStr">
        <is>
          <t>MF-Z06</t>
        </is>
      </c>
    </row>
    <row r="43">
      <c r="A43" s="4" t="inlineStr">
        <is>
          <t>qz_material_erschwert</t>
        </is>
      </c>
      <c r="B43" s="4" t="inlineStr">
        <is>
          <t>5.11</t>
        </is>
      </c>
      <c r="C43" s="4" t="inlineStr">
        <is>
          <t>Z – Zugang zum Triebwerks-/Steuerungsraum</t>
        </is>
      </c>
      <c r="D43" s="4" t="inlineStr">
        <is>
          <t>Erschwert die Art des Zugangs den Transport von Material und Werkzeug (z. B. nur über Leiter, Dachluke, enge Wendeltreppe)?</t>
        </is>
      </c>
      <c r="E43" s="4" t="inlineStr">
        <is>
          <t>YES_NO</t>
        </is>
      </c>
      <c r="F43" s="4" t="inlineStr"/>
      <c r="G43" s="4" t="inlineStr"/>
      <c r="H43" s="4" t="inlineStr"/>
      <c r="I43" s="4" t="inlineStr">
        <is>
          <t>MF-Z06</t>
        </is>
      </c>
    </row>
    <row r="44">
      <c r="A44" s="2" t="inlineStr">
        <is>
          <t>qz_tuer_vorhanden</t>
        </is>
      </c>
      <c r="B44" s="2" t="inlineStr">
        <is>
          <t>5.12</t>
        </is>
      </c>
      <c r="C44" s="2" t="inlineStr">
        <is>
          <t>Z – Zugang zum Triebwerks-/Steuerungsraum</t>
        </is>
      </c>
      <c r="D44" s="2" t="inlineStr">
        <is>
          <t>Zugangstür zum Triebwerks-/Maschinenraum vorhanden?</t>
        </is>
      </c>
      <c r="E44" s="2" t="inlineStr">
        <is>
          <t>YES_NO</t>
        </is>
      </c>
      <c r="F44" s="2" t="inlineStr"/>
      <c r="G44" s="2" t="inlineStr"/>
      <c r="H44" s="2" t="inlineStr">
        <is>
          <t>4.7 Eigener Triebwerks-/Maschinenraum vorhanden? = Ja</t>
        </is>
      </c>
      <c r="I44" s="2" t="inlineStr">
        <is>
          <t>MF-Z07</t>
        </is>
      </c>
    </row>
    <row r="45">
      <c r="A45" s="4" t="inlineStr">
        <is>
          <t>qz_tuer_abschliessbar</t>
        </is>
      </c>
      <c r="B45" s="4" t="inlineStr">
        <is>
          <t>5.12a</t>
        </is>
      </c>
      <c r="C45" s="4" t="inlineStr">
        <is>
          <t>Z – Zugang zum Triebwerks-/Steuerungsraum</t>
        </is>
      </c>
      <c r="D45" s="4" t="inlineStr">
        <is>
          <t>Zugangstür abschließbar (Zutritt nur für befugte Personen)?</t>
        </is>
      </c>
      <c r="E45" s="4" t="inlineStr">
        <is>
          <t>YES_NO</t>
        </is>
      </c>
      <c r="F45" s="4" t="inlineStr"/>
      <c r="G45" s="4" t="inlineStr"/>
      <c r="H45" s="4" t="inlineStr">
        <is>
          <t>5.12 Zugangstür zum Triebwerks-/Maschinenraum vorhanden? = Ja</t>
        </is>
      </c>
      <c r="I45" s="4" t="inlineStr">
        <is>
          <t>MF-Z07</t>
        </is>
      </c>
    </row>
    <row r="46">
      <c r="A46" s="2" t="inlineStr">
        <is>
          <t>qz_tuer_zustand</t>
        </is>
      </c>
      <c r="B46" s="2" t="inlineStr">
        <is>
          <t>5.12b</t>
        </is>
      </c>
      <c r="C46" s="2" t="inlineStr">
        <is>
          <t>Z – Zugang zum Triebwerks-/Steuerungsraum</t>
        </is>
      </c>
      <c r="D46" s="2" t="inlineStr">
        <is>
          <t>Zugangstür unbeschädigt und leichtgängig?</t>
        </is>
      </c>
      <c r="E46" s="2" t="inlineStr">
        <is>
          <t>YES_NO</t>
        </is>
      </c>
      <c r="F46" s="2" t="inlineStr"/>
      <c r="G46" s="2" t="inlineStr"/>
      <c r="H46" s="2" t="inlineStr">
        <is>
          <t>5.12 Zugangstür zum Triebwerks-/Maschinenraum vorhanden? = Ja</t>
        </is>
      </c>
      <c r="I46" s="2" t="inlineStr">
        <is>
          <t>MF-Z07</t>
        </is>
      </c>
    </row>
    <row r="47">
      <c r="A47" s="4" t="inlineStr">
        <is>
          <t>qz_tuer_mass</t>
        </is>
      </c>
      <c r="B47" s="4" t="inlineStr">
        <is>
          <t>5.12c</t>
        </is>
      </c>
      <c r="C47" s="4" t="inlineStr">
        <is>
          <t>Z – Zugang zum Triebwerks-/Steuerungsraum</t>
        </is>
      </c>
      <c r="D47" s="4" t="inlineStr">
        <is>
          <t>Durchgangsmaß der Zugangstür ausreichend (mind. 2,00 m hoch, 0,60 m breit)?</t>
        </is>
      </c>
      <c r="E47" s="4" t="inlineStr">
        <is>
          <t>YES_NO</t>
        </is>
      </c>
      <c r="F47" s="4" t="inlineStr"/>
      <c r="G47" s="4" t="inlineStr"/>
      <c r="H47" s="4" t="inlineStr">
        <is>
          <t>5.12 Zugangstür zum Triebwerks-/Maschinenraum vorhanden? = Ja</t>
        </is>
      </c>
      <c r="I47" s="4" t="inlineStr">
        <is>
          <t>MF-Z07</t>
        </is>
      </c>
    </row>
    <row r="48">
      <c r="A48" s="2" t="inlineStr">
        <is>
          <t>qz_flucht_frei</t>
        </is>
      </c>
      <c r="B48" s="2" t="inlineStr">
        <is>
          <t>5.13</t>
        </is>
      </c>
      <c r="C48" s="2" t="inlineStr">
        <is>
          <t>Z – Zugang zum Triebwerks-/Steuerungsraum</t>
        </is>
      </c>
      <c r="D48" s="2" t="inlineStr">
        <is>
          <t>Flucht- und Rettungsweg vom Triebwerks-/Steuerungsraum frei und benutzbar?</t>
        </is>
      </c>
      <c r="E48" s="2" t="inlineStr">
        <is>
          <t>YES_NO</t>
        </is>
      </c>
      <c r="F48" s="2" t="inlineStr"/>
      <c r="G48" s="2" t="inlineStr"/>
      <c r="H48" s="2" t="inlineStr"/>
      <c r="I48" s="2" t="inlineStr">
        <is>
          <t>MF-Z08</t>
        </is>
      </c>
    </row>
    <row r="49">
      <c r="A49" s="4" t="inlineStr">
        <is>
          <t>qz_flucht_gekennz</t>
        </is>
      </c>
      <c r="B49" s="4" t="inlineStr">
        <is>
          <t>5.13a</t>
        </is>
      </c>
      <c r="C49" s="4" t="inlineStr">
        <is>
          <t>Z – Zugang zum Triebwerks-/Steuerungsraum</t>
        </is>
      </c>
      <c r="D49" s="4" t="inlineStr">
        <is>
          <t>Flucht- und Rettungsweg gekennzeichnet und beleuchtet?</t>
        </is>
      </c>
      <c r="E49" s="4" t="inlineStr">
        <is>
          <t>YES_NO</t>
        </is>
      </c>
      <c r="F49" s="4" t="inlineStr"/>
      <c r="G49" s="4" t="inlineStr"/>
      <c r="H49" s="4" t="inlineStr">
        <is>
          <t>5.13 Flucht- und Rettungsweg vom Triebwerks-/Steuerungsraum frei und benutzbar? = Ja</t>
        </is>
      </c>
      <c r="I49" s="4" t="inlineStr">
        <is>
          <t>MF-Z08</t>
        </is>
      </c>
    </row>
    <row r="50">
      <c r="A50" s="2" t="inlineStr">
        <is>
          <t>qz_flucht_eingeengt</t>
        </is>
      </c>
      <c r="B50" s="2" t="inlineStr">
        <is>
          <t>5.13b</t>
        </is>
      </c>
      <c r="C50" s="2" t="inlineStr">
        <is>
          <t>Z – Zugang zum Triebwerks-/Steuerungsraum</t>
        </is>
      </c>
      <c r="D50" s="2" t="inlineStr">
        <is>
          <t>Fluchtweg durch Lagerung eingeengt?</t>
        </is>
      </c>
      <c r="E50" s="2" t="inlineStr">
        <is>
          <t>YES_NO</t>
        </is>
      </c>
      <c r="F50" s="2" t="inlineStr"/>
      <c r="G50" s="2" t="inlineStr"/>
      <c r="H50" s="2" t="inlineStr">
        <is>
          <t>5.13 Flucht- und Rettungsweg vom Triebwerks-/Steuerungsraum frei und benutzbar? = Ja</t>
        </is>
      </c>
      <c r="I50" s="2" t="inlineStr">
        <is>
          <t>MF-Z08</t>
        </is>
      </c>
    </row>
    <row r="51">
      <c r="A51" s="4" t="inlineStr">
        <is>
          <t>qz_zugang_befreiung</t>
        </is>
      </c>
      <c r="B51" s="4" t="inlineStr">
        <is>
          <t>3.4</t>
        </is>
      </c>
      <c r="C51" s="4" t="inlineStr">
        <is>
          <t>Z – Zugang zum Triebwerks-/Steuerungsraum</t>
        </is>
      </c>
      <c r="D51" s="4" t="inlineStr">
        <is>
          <t>Zugang zur Anlage für die Personenbefreiung jederzeit gewährleistet?</t>
        </is>
      </c>
      <c r="E51" s="4" t="inlineStr">
        <is>
          <t>SELECT</t>
        </is>
      </c>
      <c r="F51" s="4" t="inlineStr">
        <is>
          <t>Ja, jederzeit (Schlüsseltresor / ständig besetzte Stelle vor Ort)
Nur über Schlüssel bei Leitwarte, Pforte oder Hausmeister
Nein, nicht jederzeit möglich</t>
        </is>
      </c>
      <c r="G51" s="4" t="inlineStr"/>
      <c r="H51" s="4" t="inlineStr"/>
      <c r="I51" s="4" t="inlineStr">
        <is>
          <t>MF-Z09</t>
        </is>
      </c>
    </row>
    <row r="52">
      <c r="A52" s="2" t="inlineStr">
        <is>
          <t>qz_asbest</t>
        </is>
      </c>
      <c r="B52" s="2" t="inlineStr">
        <is>
          <t>5.60</t>
        </is>
      </c>
      <c r="C52" s="2" t="inlineStr">
        <is>
          <t>Z – Zugang zum Triebwerks-/Steuerungsraum</t>
        </is>
      </c>
      <c r="D52" s="2" t="inlineStr">
        <is>
          <t>Asbesthaltige oder andere schädliche Baustoffe im Zugangsbereich zum Triebwerksraum (Bremsbeläge, Dichtungen, Brandschutzplatten, Isolierungen)?</t>
        </is>
      </c>
      <c r="E52" s="2" t="inlineStr">
        <is>
          <t>YES_NO</t>
        </is>
      </c>
      <c r="F52" s="2" t="inlineStr"/>
      <c r="G52" s="2" t="inlineStr"/>
      <c r="H52" s="2" t="inlineStr"/>
      <c r="I52" s="2" t="inlineStr">
        <is>
          <t>MF-U01</t>
        </is>
      </c>
    </row>
    <row r="53">
      <c r="A53" s="4" t="inlineStr">
        <is>
          <t>qz_verschmutzung</t>
        </is>
      </c>
      <c r="B53" s="4" t="inlineStr">
        <is>
          <t>5.62</t>
        </is>
      </c>
      <c r="C53" s="4" t="inlineStr">
        <is>
          <t>Z – Zugang zum Triebwerks-/Steuerungsraum</t>
        </is>
      </c>
      <c r="D53" s="4" t="inlineStr">
        <is>
          <t>Erhebliche Verschmutzungen (Taubenkot, Unrat, Schimmel, Ablagerungen) im Zugangsbereich zum Triebwerksraum?</t>
        </is>
      </c>
      <c r="E53" s="4" t="inlineStr">
        <is>
          <t>YES_NO</t>
        </is>
      </c>
      <c r="F53" s="4" t="inlineStr"/>
      <c r="G53" s="4" t="inlineStr"/>
      <c r="H53" s="4" t="inlineStr"/>
      <c r="I53" s="4" t="inlineStr">
        <is>
          <t>MF-U02</t>
        </is>
      </c>
    </row>
    <row r="54">
      <c r="A54" s="2" t="inlineStr">
        <is>
          <t>qz_brennbar_lager</t>
        </is>
      </c>
      <c r="B54" s="2" t="inlineStr">
        <is>
          <t>5.64</t>
        </is>
      </c>
      <c r="C54" s="2" t="inlineStr">
        <is>
          <t>Z – Zugang zum Triebwerks-/Steuerungsraum</t>
        </is>
      </c>
      <c r="D54" s="2" t="inlineStr">
        <is>
          <t>Lagerung brennbarer oder leicht entzündlicher Stoffe im Zugangsbereich zum Triebwerksraum?</t>
        </is>
      </c>
      <c r="E54" s="2" t="inlineStr">
        <is>
          <t>YES_NO</t>
        </is>
      </c>
      <c r="F54" s="2" t="inlineStr"/>
      <c r="G54" s="2" t="inlineStr"/>
      <c r="H54" s="2" t="inlineStr"/>
      <c r="I54" s="2" t="inlineStr">
        <is>
          <t>MF-U03</t>
        </is>
      </c>
    </row>
    <row r="55">
      <c r="A55" s="4" t="inlineStr">
        <is>
          <t>qm_bel_vorhanden</t>
        </is>
      </c>
      <c r="B55" s="4" t="inlineStr">
        <is>
          <t>5.20</t>
        </is>
      </c>
      <c r="C55" s="4" t="inlineStr">
        <is>
          <t>M – Triebwerks-/Maschinenraum und Steuerung</t>
        </is>
      </c>
      <c r="D55" s="4" t="inlineStr">
        <is>
          <t>Beleuchtung im Triebwerks-/Maschinenraum vorhanden?</t>
        </is>
      </c>
      <c r="E55" s="4" t="inlineStr">
        <is>
          <t>YES_NO</t>
        </is>
      </c>
      <c r="F55" s="4" t="inlineStr"/>
      <c r="G55" s="4" t="inlineStr"/>
      <c r="H55" s="4" t="inlineStr">
        <is>
          <t>4.7 Eigener Triebwerks-/Maschinenraum vorhanden? = Ja</t>
        </is>
      </c>
      <c r="I55" s="4" t="inlineStr">
        <is>
          <t>MF-M01</t>
        </is>
      </c>
    </row>
    <row r="56">
      <c r="A56" s="2" t="inlineStr">
        <is>
          <t>qm_bel_200lux</t>
        </is>
      </c>
      <c r="B56" s="2" t="inlineStr">
        <is>
          <t>5.21</t>
        </is>
      </c>
      <c r="C56" s="2" t="inlineStr">
        <is>
          <t>M – Triebwerks-/Maschinenraum und Steuerung</t>
        </is>
      </c>
      <c r="D56" s="2" t="inlineStr">
        <is>
          <t>Beleuchtungsstärke an den Arbeitsflächen (Antrieb, Steuerschrank) mind. 200 Lux, Leuchten funktionsfähig?</t>
        </is>
      </c>
      <c r="E56" s="2" t="inlineStr">
        <is>
          <t>YES_NO</t>
        </is>
      </c>
      <c r="F56" s="2" t="inlineStr"/>
      <c r="G56" s="2" t="inlineStr"/>
      <c r="H56" s="2" t="inlineStr">
        <is>
          <t>5.20 Beleuchtung im Triebwerks-/Maschinenraum vorhanden? = Ja</t>
        </is>
      </c>
      <c r="I56" s="2" t="inlineStr">
        <is>
          <t>MF-M01</t>
        </is>
      </c>
    </row>
    <row r="57">
      <c r="A57" s="4" t="inlineStr">
        <is>
          <t>qm_bel_geeignet</t>
        </is>
      </c>
      <c r="B57" s="4" t="inlineStr">
        <is>
          <t>5.22</t>
        </is>
      </c>
      <c r="C57" s="4" t="inlineStr">
        <is>
          <t>M – Triebwerks-/Maschinenraum und Steuerung</t>
        </is>
      </c>
      <c r="D57" s="4" t="inlineStr">
        <is>
          <t>Leuchten an geeigneter Stelle (Arbeitsflächen nicht abgeschattet)?</t>
        </is>
      </c>
      <c r="E57" s="4" t="inlineStr">
        <is>
          <t>YES_NO</t>
        </is>
      </c>
      <c r="F57" s="4" t="inlineStr"/>
      <c r="G57" s="4" t="inlineStr"/>
      <c r="H57" s="4" t="inlineStr">
        <is>
          <t>5.20 Beleuchtung im Triebwerks-/Maschinenraum vorhanden? = Ja</t>
        </is>
      </c>
      <c r="I57" s="4" t="inlineStr">
        <is>
          <t>MF-M01</t>
        </is>
      </c>
    </row>
    <row r="58">
      <c r="A58" s="2" t="inlineStr">
        <is>
          <t>qm_bel_splitterschutz</t>
        </is>
      </c>
      <c r="B58" s="2" t="inlineStr">
        <is>
          <t>5.23</t>
        </is>
      </c>
      <c r="C58" s="2" t="inlineStr">
        <is>
          <t>M – Triebwerks-/Maschinenraum und Steuerung</t>
        </is>
      </c>
      <c r="D58" s="2" t="inlineStr">
        <is>
          <t>Leuchten im Kopfbereich mit Splitterschutz / bruchsicher?</t>
        </is>
      </c>
      <c r="E58" s="2" t="inlineStr">
        <is>
          <t>YES_NO</t>
        </is>
      </c>
      <c r="F58" s="2" t="inlineStr"/>
      <c r="G58" s="2" t="inlineStr"/>
      <c r="H58" s="2" t="inlineStr">
        <is>
          <t>5.20 Beleuchtung im Triebwerks-/Maschinenraum vorhanden? = Ja</t>
        </is>
      </c>
      <c r="I58" s="2" t="inlineStr">
        <is>
          <t>MF-M01</t>
        </is>
      </c>
    </row>
    <row r="59">
      <c r="A59" s="4" t="inlineStr">
        <is>
          <t>qm_beruehrungssicher</t>
        </is>
      </c>
      <c r="B59" s="4" t="inlineStr">
        <is>
          <t>5.30</t>
        </is>
      </c>
      <c r="C59" s="4" t="inlineStr">
        <is>
          <t>M – Triebwerks-/Maschinenraum und Steuerung</t>
        </is>
      </c>
      <c r="D59" s="4" t="inlineStr">
        <is>
          <t>Alle spannungsführenden Teile berührungssicher (Abdeckungen vorhanden, Schaltschrank geschlossen)?</t>
        </is>
      </c>
      <c r="E59" s="4" t="inlineStr">
        <is>
          <t>YES_NO</t>
        </is>
      </c>
      <c r="F59" s="4" t="inlineStr"/>
      <c r="G59" s="4" t="inlineStr"/>
      <c r="H59" s="4" t="inlineStr"/>
      <c r="I59" s="4" t="inlineStr">
        <is>
          <t>MF-M02</t>
        </is>
      </c>
    </row>
    <row r="60">
      <c r="A60" s="2" t="inlineStr">
        <is>
          <t>qm_offene_schalttafel</t>
        </is>
      </c>
      <c r="B60" s="2" t="inlineStr">
        <is>
          <t>5.31</t>
        </is>
      </c>
      <c r="C60" s="2" t="inlineStr">
        <is>
          <t>M – Triebwerks-/Maschinenraum und Steuerung</t>
        </is>
      </c>
      <c r="D60" s="2" t="inlineStr">
        <is>
          <t>Offene Schalttafel ohne Schaltschrank vorhanden?</t>
        </is>
      </c>
      <c r="E60" s="2" t="inlineStr">
        <is>
          <t>YES_NO</t>
        </is>
      </c>
      <c r="F60" s="2" t="inlineStr"/>
      <c r="G60" s="2" t="inlineStr"/>
      <c r="H60" s="2" t="inlineStr">
        <is>
          <t>5.30 Alle spannungsführenden Teile berührungssicher (Abdeckungen vorhanden, Schaltschrank geschlossen)? = Nein</t>
        </is>
      </c>
      <c r="I60" s="2" t="inlineStr">
        <is>
          <t>MF-M02</t>
        </is>
      </c>
    </row>
    <row r="61">
      <c r="A61" s="4" t="inlineStr">
        <is>
          <t>qm_offene_schalter</t>
        </is>
      </c>
      <c r="B61" s="4" t="inlineStr">
        <is>
          <t>5.32</t>
        </is>
      </c>
      <c r="C61" s="4" t="inlineStr">
        <is>
          <t>M – Triebwerks-/Maschinenraum und Steuerung</t>
        </is>
      </c>
      <c r="D61" s="4" t="inlineStr">
        <is>
          <t>Offene Kontakte oder Schalter an Maschine, Kopierwerk oder Begrenzer?</t>
        </is>
      </c>
      <c r="E61" s="4" t="inlineStr">
        <is>
          <t>YES_NO</t>
        </is>
      </c>
      <c r="F61" s="4" t="inlineStr"/>
      <c r="G61" s="4" t="inlineStr"/>
      <c r="H61" s="4" t="inlineStr">
        <is>
          <t>5.30 Alle spannungsführenden Teile berührungssicher (Abdeckungen vorhanden, Schaltschrank geschlossen)? = Nein</t>
        </is>
      </c>
      <c r="I61" s="4" t="inlineStr">
        <is>
          <t>MF-M02</t>
        </is>
      </c>
    </row>
    <row r="62">
      <c r="A62" s="2" t="inlineStr">
        <is>
          <t>qm_schaltschrank_unsicher</t>
        </is>
      </c>
      <c r="B62" s="2" t="inlineStr">
        <is>
          <t>5.33</t>
        </is>
      </c>
      <c r="C62" s="2" t="inlineStr">
        <is>
          <t>M – Triebwerks-/Maschinenraum und Steuerung</t>
        </is>
      </c>
      <c r="D62" s="2" t="inlineStr">
        <is>
          <t>Nicht berührungssichere Bauteile im Schaltschrank (bei geöffneter Tür erreichbar)?</t>
        </is>
      </c>
      <c r="E62" s="2" t="inlineStr">
        <is>
          <t>YES_NO</t>
        </is>
      </c>
      <c r="F62" s="2" t="inlineStr"/>
      <c r="G62" s="2" t="inlineStr"/>
      <c r="H62" s="2" t="inlineStr">
        <is>
          <t>5.30 Alle spannungsführenden Teile berührungssicher (Abdeckungen vorhanden, Schaltschrank geschlossen)? = Nein</t>
        </is>
      </c>
      <c r="I62" s="2" t="inlineStr">
        <is>
          <t>MF-M02</t>
        </is>
      </c>
    </row>
    <row r="63">
      <c r="A63" s="4" t="inlineStr">
        <is>
          <t>qm_kennz_kontakte</t>
        </is>
      </c>
      <c r="B63" s="4" t="inlineStr">
        <is>
          <t>5.34</t>
        </is>
      </c>
      <c r="C63" s="4" t="inlineStr">
        <is>
          <t>M – Triebwerks-/Maschinenraum und Steuerung</t>
        </is>
      </c>
      <c r="D63" s="4" t="inlineStr">
        <is>
          <t>Warnkennzeichnung für offene elektrische Kontakte vorhanden?</t>
        </is>
      </c>
      <c r="E63" s="4" t="inlineStr">
        <is>
          <t>YES_NO</t>
        </is>
      </c>
      <c r="F63" s="4" t="inlineStr"/>
      <c r="G63" s="4" t="inlineStr"/>
      <c r="H63" s="4" t="inlineStr">
        <is>
          <t>5.30 Alle spannungsführenden Teile berührungssicher (Abdeckungen vorhanden, Schaltschrank geschlossen)? = Nein</t>
        </is>
      </c>
      <c r="I63" s="4" t="inlineStr">
        <is>
          <t>MF-M02</t>
        </is>
      </c>
    </row>
    <row r="64">
      <c r="A64" s="2" t="inlineStr">
        <is>
          <t>qm_dguv_v3</t>
        </is>
      </c>
      <c r="B64" s="2" t="inlineStr">
        <is>
          <t>5.35</t>
        </is>
      </c>
      <c r="C64" s="2" t="inlineStr">
        <is>
          <t>M – Triebwerks-/Maschinenraum und Steuerung</t>
        </is>
      </c>
      <c r="D64" s="2" t="inlineStr">
        <is>
          <t>Nachweis der elektrischen Prüfung nach DGUV Vorschrift 3 vorhanden (Prüfplakette / Protokoll aktuell)?</t>
        </is>
      </c>
      <c r="E64" s="2" t="inlineStr">
        <is>
          <t>YES_NO</t>
        </is>
      </c>
      <c r="F64" s="2" t="inlineStr"/>
      <c r="G64" s="2" t="inlineStr"/>
      <c r="H64" s="2" t="inlineStr"/>
      <c r="I64" s="2" t="inlineStr">
        <is>
          <t>MF-M02</t>
        </is>
      </c>
    </row>
    <row r="65">
      <c r="A65" s="4" t="inlineStr">
        <is>
          <t>qm_bauseitig_ok</t>
        </is>
      </c>
      <c r="B65" s="4" t="inlineStr">
        <is>
          <t>5.36</t>
        </is>
      </c>
      <c r="C65" s="4" t="inlineStr">
        <is>
          <t>M – Triebwerks-/Maschinenraum und Steuerung</t>
        </is>
      </c>
      <c r="D65" s="4" t="inlineStr">
        <is>
          <t>Bauseitige Elektroinstallation im Raum (Steckdosen, Schalter, Leitungen) unbeschädigt?</t>
        </is>
      </c>
      <c r="E65" s="4" t="inlineStr">
        <is>
          <t>YES_NO</t>
        </is>
      </c>
      <c r="F65" s="4" t="inlineStr"/>
      <c r="G65" s="4" t="inlineStr"/>
      <c r="H65" s="4" t="inlineStr"/>
      <c r="I65" s="4" t="inlineStr">
        <is>
          <t>MF-M16</t>
        </is>
      </c>
    </row>
    <row r="66">
      <c r="A66" s="2" t="inlineStr">
        <is>
          <t>qm_ortsfest_geprueft</t>
        </is>
      </c>
      <c r="B66" s="2" t="inlineStr">
        <is>
          <t>5.37</t>
        </is>
      </c>
      <c r="C66" s="2" t="inlineStr">
        <is>
          <t>M – Triebwerks-/Maschinenraum und Steuerung</t>
        </is>
      </c>
      <c r="D66" s="2" t="inlineStr">
        <is>
          <t>Prüfung der ortsfesten elektrischen Anlage nachgewiesen?</t>
        </is>
      </c>
      <c r="E66" s="2" t="inlineStr">
        <is>
          <t>YES_NO</t>
        </is>
      </c>
      <c r="F66" s="2" t="inlineStr"/>
      <c r="G66" s="2" t="inlineStr"/>
      <c r="H66" s="2" t="inlineStr"/>
      <c r="I66" s="2" t="inlineStr">
        <is>
          <t>MF-M16</t>
        </is>
      </c>
    </row>
    <row r="67">
      <c r="A67" s="4" t="inlineStr">
        <is>
          <t>qm_potenzialausgleich</t>
        </is>
      </c>
      <c r="B67" s="4" t="inlineStr">
        <is>
          <t>5.38</t>
        </is>
      </c>
      <c r="C67" s="4" t="inlineStr">
        <is>
          <t>M – Triebwerks-/Maschinenraum und Steuerung</t>
        </is>
      </c>
      <c r="D67" s="4" t="inlineStr">
        <is>
          <t>Hauptpotenzialausgleich an der Aufzugskonstruktion vorhanden?</t>
        </is>
      </c>
      <c r="E67" s="4" t="inlineStr">
        <is>
          <t>YES_NO</t>
        </is>
      </c>
      <c r="F67" s="4" t="inlineStr"/>
      <c r="G67" s="4" t="inlineStr"/>
      <c r="H67" s="4" t="inlineStr"/>
      <c r="I67" s="4" t="inlineStr">
        <is>
          <t>MF-M16</t>
        </is>
      </c>
    </row>
    <row r="68">
      <c r="A68" s="2" t="inlineStr">
        <is>
          <t>qm_einzug_treibscheibe</t>
        </is>
      </c>
      <c r="B68" s="2" t="inlineStr">
        <is>
          <t>5.40</t>
        </is>
      </c>
      <c r="C68" s="2" t="inlineStr">
        <is>
          <t>M – Triebwerks-/Maschinenraum und Steuerung</t>
        </is>
      </c>
      <c r="D68" s="2" t="inlineStr">
        <is>
          <t>Einzugsschutz an Treibscheibe, Umlenkrollen und Kopierwerk vorhanden?</t>
        </is>
      </c>
      <c r="E68" s="2" t="inlineStr">
        <is>
          <t>YES_NO</t>
        </is>
      </c>
      <c r="F68" s="2" t="inlineStr"/>
      <c r="G68" s="2" t="inlineStr"/>
      <c r="H68" s="2" t="inlineStr">
        <is>
          <t>3.1 Aufzugsart in [„Seil-/Riemenaufzug (Treibscheibe)", „Trommel- oder Kettenaufzug", „Seil-Hydraulikaufzug (indirekt)"]</t>
        </is>
      </c>
      <c r="I68" s="2" t="inlineStr">
        <is>
          <t>MF-M03</t>
        </is>
      </c>
    </row>
    <row r="69">
      <c r="A69" s="4" t="inlineStr">
        <is>
          <t>qm_einzug_begrenzer</t>
        </is>
      </c>
      <c r="B69" s="4" t="inlineStr">
        <is>
          <t>5.41</t>
        </is>
      </c>
      <c r="C69" s="4" t="inlineStr">
        <is>
          <t>M – Triebwerks-/Maschinenraum und Steuerung</t>
        </is>
      </c>
      <c r="D69" s="4" t="inlineStr">
        <is>
          <t>Einzugsschutz am Geschwindigkeitsbegrenzer vorhanden?</t>
        </is>
      </c>
      <c r="E69" s="4" t="inlineStr">
        <is>
          <t>YES_NO</t>
        </is>
      </c>
      <c r="F69" s="4" t="inlineStr"/>
      <c r="G69" s="4" t="inlineStr"/>
      <c r="H69" s="4" t="inlineStr">
        <is>
          <t>3.1 Aufzugsart in [„Seil-/Riemenaufzug (Treibscheibe)", „Trommel- oder Kettenaufzug", „Seil-Hydraulikaufzug (indirekt)"]</t>
        </is>
      </c>
      <c r="I69" s="4" t="inlineStr">
        <is>
          <t>MF-M03</t>
        </is>
      </c>
    </row>
    <row r="70">
      <c r="A70" s="2" t="inlineStr">
        <is>
          <t>qm_einzug_grad</t>
        </is>
      </c>
      <c r="B70" s="2" t="inlineStr">
        <is>
          <t>5.42</t>
        </is>
      </c>
      <c r="C70" s="2" t="inlineStr">
        <is>
          <t>M – Triebwerks-/Maschinenraum und Steuerung</t>
        </is>
      </c>
      <c r="D70" s="2" t="inlineStr">
        <is>
          <t>Abdeckung der Einzugstellen insgesamt</t>
        </is>
      </c>
      <c r="E70" s="2" t="inlineStr">
        <is>
          <t>SELECT</t>
        </is>
      </c>
      <c r="F70" s="2" t="inlineStr">
        <is>
          <t>Komplett abgedeckt
Teilweise abgedeckt
Einzugstellen offen</t>
        </is>
      </c>
      <c r="G70" s="2" t="inlineStr"/>
      <c r="H70" s="2" t="inlineStr">
        <is>
          <t>3.1 Aufzugsart in [„Seil-/Riemenaufzug (Treibscheibe)", „Trommel- oder Kettenaufzug", „Seil-Hydraulikaufzug (indirekt)"]</t>
        </is>
      </c>
      <c r="I70" s="2" t="inlineStr">
        <is>
          <t>MF-M03</t>
        </is>
      </c>
    </row>
    <row r="71">
      <c r="A71" s="4" t="inlineStr">
        <is>
          <t>qm_hoehe_180</t>
        </is>
      </c>
      <c r="B71" s="4" t="inlineStr">
        <is>
          <t>5.43</t>
        </is>
      </c>
      <c r="C71" s="4" t="inlineStr">
        <is>
          <t>M – Triebwerks-/Maschinenraum und Steuerung</t>
        </is>
      </c>
      <c r="D71" s="4" t="inlineStr">
        <is>
          <t>Lichte Höhe im Gehbereich mind. 1,80 m?</t>
        </is>
      </c>
      <c r="E71" s="4" t="inlineStr">
        <is>
          <t>YES_NO</t>
        </is>
      </c>
      <c r="F71" s="4" t="inlineStr"/>
      <c r="G71" s="4" t="inlineStr"/>
      <c r="H71" s="4" t="inlineStr">
        <is>
          <t>4.7 Eigener Triebwerks-/Maschinenraum vorhanden? = Ja</t>
        </is>
      </c>
      <c r="I71" s="4" t="inlineStr">
        <is>
          <t>MF-M04</t>
        </is>
      </c>
    </row>
    <row r="72">
      <c r="A72" s="2" t="inlineStr">
        <is>
          <t>qm_freiflaeche</t>
        </is>
      </c>
      <c r="B72" s="2" t="inlineStr">
        <is>
          <t>5.44</t>
        </is>
      </c>
      <c r="C72" s="2" t="inlineStr">
        <is>
          <t>M – Triebwerks-/Maschinenraum und Steuerung</t>
        </is>
      </c>
      <c r="D72" s="2" t="inlineStr">
        <is>
          <t>Freifläche für Notbetrieb/Handrad mind. 0,50 m × 0,60 m vor dem Antrieb vorhanden?</t>
        </is>
      </c>
      <c r="E72" s="2" t="inlineStr">
        <is>
          <t>YES_NO</t>
        </is>
      </c>
      <c r="F72" s="2" t="inlineStr"/>
      <c r="G72" s="2" t="inlineStr"/>
      <c r="H72" s="2" t="inlineStr">
        <is>
          <t>4.7 Eigener Triebwerks-/Maschinenraum vorhanden? = Ja</t>
        </is>
      </c>
      <c r="I72" s="2" t="inlineStr">
        <is>
          <t>MF-M04</t>
        </is>
      </c>
    </row>
    <row r="73">
      <c r="A73" s="4" t="inlineStr">
        <is>
          <t>qm_lagerung</t>
        </is>
      </c>
      <c r="B73" s="4" t="inlineStr">
        <is>
          <t>5.45</t>
        </is>
      </c>
      <c r="C73" s="4" t="inlineStr">
        <is>
          <t>M – Triebwerks-/Maschinenraum und Steuerung</t>
        </is>
      </c>
      <c r="D73" s="4" t="inlineStr">
        <is>
          <t>Bewegungsflächen durch Lagerung eingeengt?</t>
        </is>
      </c>
      <c r="E73" s="4" t="inlineStr">
        <is>
          <t>YES_NO</t>
        </is>
      </c>
      <c r="F73" s="4" t="inlineStr"/>
      <c r="G73" s="4" t="inlineStr"/>
      <c r="H73" s="4" t="inlineStr">
        <is>
          <t>4.7 Eigener Triebwerks-/Maschinenraum vorhanden? = Ja</t>
        </is>
      </c>
      <c r="I73" s="4" t="inlineStr">
        <is>
          <t>MF-M04</t>
        </is>
      </c>
    </row>
    <row r="74">
      <c r="A74" s="2" t="inlineStr">
        <is>
          <t>qm_niveau</t>
        </is>
      </c>
      <c r="B74" s="2" t="inlineStr">
        <is>
          <t>5.46</t>
        </is>
      </c>
      <c r="C74" s="2" t="inlineStr">
        <is>
          <t>M – Triebwerks-/Maschinenraum und Steuerung</t>
        </is>
      </c>
      <c r="D74" s="2" t="inlineStr">
        <is>
          <t>Niveauunterschiede über 0,50 m im Raum vorhanden?</t>
        </is>
      </c>
      <c r="E74" s="2" t="inlineStr">
        <is>
          <t>YES_NO</t>
        </is>
      </c>
      <c r="F74" s="2" t="inlineStr"/>
      <c r="G74" s="2" t="inlineStr"/>
      <c r="H74" s="2" t="inlineStr">
        <is>
          <t>4.7 Eigener Triebwerks-/Maschinenraum vorhanden? = Ja</t>
        </is>
      </c>
      <c r="I74" s="2" t="inlineStr">
        <is>
          <t>MF-M05</t>
        </is>
      </c>
    </row>
    <row r="75">
      <c r="A75" s="4" t="inlineStr">
        <is>
          <t>qm_niveau_gesichert</t>
        </is>
      </c>
      <c r="B75" s="4" t="inlineStr">
        <is>
          <t>5.46a</t>
        </is>
      </c>
      <c r="C75" s="4" t="inlineStr">
        <is>
          <t>M – Triebwerks-/Maschinenraum und Steuerung</t>
        </is>
      </c>
      <c r="D75" s="4" t="inlineStr">
        <is>
          <t>Niveauunterschied durch Treppe oder Leiter überwindbar?</t>
        </is>
      </c>
      <c r="E75" s="4" t="inlineStr">
        <is>
          <t>YES_NO</t>
        </is>
      </c>
      <c r="F75" s="4" t="inlineStr"/>
      <c r="G75" s="4" t="inlineStr"/>
      <c r="H75" s="4" t="inlineStr">
        <is>
          <t>5.46 Niveauunterschiede über 0,50 m im Raum vorhanden? = Ja</t>
        </is>
      </c>
      <c r="I75" s="4" t="inlineStr">
        <is>
          <t>MF-M05</t>
        </is>
      </c>
    </row>
    <row r="76">
      <c r="A76" s="2" t="inlineStr">
        <is>
          <t>qm_podest_absturz</t>
        </is>
      </c>
      <c r="B76" s="2" t="inlineStr">
        <is>
          <t>5.46b</t>
        </is>
      </c>
      <c r="C76" s="2" t="inlineStr">
        <is>
          <t>M – Triebwerks-/Maschinenraum und Steuerung</t>
        </is>
      </c>
      <c r="D76" s="2" t="inlineStr">
        <is>
          <t>Podest mit Absturzhöhe über 1,00 m ohne Geländer?</t>
        </is>
      </c>
      <c r="E76" s="2" t="inlineStr">
        <is>
          <t>YES_NO</t>
        </is>
      </c>
      <c r="F76" s="2" t="inlineStr"/>
      <c r="G76" s="2" t="inlineStr"/>
      <c r="H76" s="2" t="inlineStr">
        <is>
          <t>5.46 Niveauunterschiede über 0,50 m im Raum vorhanden? = Ja</t>
        </is>
      </c>
      <c r="I76" s="2" t="inlineStr">
        <is>
          <t>MF-M05</t>
        </is>
      </c>
    </row>
    <row r="77">
      <c r="A77" s="4" t="inlineStr">
        <is>
          <t>qm_bodenoeffnung</t>
        </is>
      </c>
      <c r="B77" s="4" t="inlineStr">
        <is>
          <t>5.47</t>
        </is>
      </c>
      <c r="C77" s="4" t="inlineStr">
        <is>
          <t>M – Triebwerks-/Maschinenraum und Steuerung</t>
        </is>
      </c>
      <c r="D77" s="4" t="inlineStr">
        <is>
          <t>Ungesicherte Bodenöffnung oder Vertiefung im Raum?</t>
        </is>
      </c>
      <c r="E77" s="4" t="inlineStr">
        <is>
          <t>YES_NO</t>
        </is>
      </c>
      <c r="F77" s="4" t="inlineStr"/>
      <c r="G77" s="4" t="inlineStr"/>
      <c r="H77" s="4" t="inlineStr">
        <is>
          <t>4.7 Eigener Triebwerks-/Maschinenraum vorhanden? = Ja</t>
        </is>
      </c>
      <c r="I77" s="4" t="inlineStr">
        <is>
          <t>MF-M05</t>
        </is>
      </c>
    </row>
    <row r="78">
      <c r="A78" s="2" t="inlineStr">
        <is>
          <t>qm_boden_rutschhemmend</t>
        </is>
      </c>
      <c r="B78" s="2" t="inlineStr">
        <is>
          <t>5.48</t>
        </is>
      </c>
      <c r="C78" s="2" t="inlineStr">
        <is>
          <t>M – Triebwerks-/Maschinenraum und Steuerung</t>
        </is>
      </c>
      <c r="D78" s="2" t="inlineStr">
        <is>
          <t>Boden rutschhemmend und sauber?</t>
        </is>
      </c>
      <c r="E78" s="2" t="inlineStr">
        <is>
          <t>YES_NO</t>
        </is>
      </c>
      <c r="F78" s="2" t="inlineStr"/>
      <c r="G78" s="2" t="inlineStr"/>
      <c r="H78" s="2" t="inlineStr">
        <is>
          <t>4.7 Eigener Triebwerks-/Maschinenraum vorhanden? = Ja</t>
        </is>
      </c>
      <c r="I78" s="2" t="inlineStr">
        <is>
          <t>MF-M06</t>
        </is>
      </c>
    </row>
    <row r="79">
      <c r="A79" s="4" t="inlineStr">
        <is>
          <t>qm_boden_oelfest</t>
        </is>
      </c>
      <c r="B79" s="4" t="inlineStr">
        <is>
          <t>5.49</t>
        </is>
      </c>
      <c r="C79" s="4" t="inlineStr">
        <is>
          <t>M – Triebwerks-/Maschinenraum und Steuerung</t>
        </is>
      </c>
      <c r="D79" s="4" t="inlineStr">
        <is>
          <t>Boden ölfest gestrichen und unbeschädigt?</t>
        </is>
      </c>
      <c r="E79" s="4" t="inlineStr">
        <is>
          <t>YES_NO</t>
        </is>
      </c>
      <c r="F79" s="4" t="inlineStr"/>
      <c r="G79" s="4" t="inlineStr"/>
      <c r="H79" s="4" t="inlineStr">
        <is>
          <t>4.7 Eigener Triebwerks-/Maschinenraum vorhanden? = Ja</t>
        </is>
      </c>
      <c r="I79" s="4" t="inlineStr">
        <is>
          <t>MF-M06</t>
        </is>
      </c>
    </row>
    <row r="80">
      <c r="A80" s="2" t="inlineStr">
        <is>
          <t>qm_oel_ausgetreten</t>
        </is>
      </c>
      <c r="B80" s="2" t="inlineStr">
        <is>
          <t>5.50</t>
        </is>
      </c>
      <c r="C80" s="2" t="inlineStr">
        <is>
          <t>M – Triebwerks-/Maschinenraum und Steuerung</t>
        </is>
      </c>
      <c r="D80" s="2" t="inlineStr">
        <is>
          <t>Ausgetretenes Öl / Hydrauliköl ohne Auffangmöglichkeit?</t>
        </is>
      </c>
      <c r="E80" s="2" t="inlineStr">
        <is>
          <t>YES_NO</t>
        </is>
      </c>
      <c r="F80" s="2" t="inlineStr"/>
      <c r="G80" s="2" t="inlineStr"/>
      <c r="H80" s="2" t="inlineStr"/>
      <c r="I80" s="2" t="inlineStr">
        <is>
          <t>MF-M06</t>
        </is>
      </c>
    </row>
    <row r="81">
      <c r="A81" s="4" t="inlineStr">
        <is>
          <t>qm_hauptschalter</t>
        </is>
      </c>
      <c r="B81" s="4" t="inlineStr">
        <is>
          <t>5.51</t>
        </is>
      </c>
      <c r="C81" s="4" t="inlineStr">
        <is>
          <t>M – Triebwerks-/Maschinenraum und Steuerung</t>
        </is>
      </c>
      <c r="D81" s="4" t="inlineStr">
        <is>
          <t>Hauptschalter vorhanden und Wirkung nachvollziehbar?</t>
        </is>
      </c>
      <c r="E81" s="4" t="inlineStr">
        <is>
          <t>YES_NO</t>
        </is>
      </c>
      <c r="F81" s="4" t="inlineStr"/>
      <c r="G81" s="4" t="inlineStr"/>
      <c r="H81" s="4" t="inlineStr"/>
      <c r="I81" s="4" t="inlineStr">
        <is>
          <t>MF-M07</t>
        </is>
      </c>
    </row>
    <row r="82">
      <c r="A82" s="2" t="inlineStr">
        <is>
          <t>qm_hauptschalter_abschliessbar</t>
        </is>
      </c>
      <c r="B82" s="2" t="inlineStr">
        <is>
          <t>5.51a</t>
        </is>
      </c>
      <c r="C82" s="2" t="inlineStr">
        <is>
          <t>M – Triebwerks-/Maschinenraum und Steuerung</t>
        </is>
      </c>
      <c r="D82" s="2" t="inlineStr">
        <is>
          <t>Hauptschalter abschließbar?</t>
        </is>
      </c>
      <c r="E82" s="2" t="inlineStr">
        <is>
          <t>YES_NO</t>
        </is>
      </c>
      <c r="F82" s="2" t="inlineStr"/>
      <c r="G82" s="2" t="inlineStr"/>
      <c r="H82" s="2" t="inlineStr">
        <is>
          <t>5.51 Hauptschalter vorhanden und Wirkung nachvollziehbar? = Ja</t>
        </is>
      </c>
      <c r="I82" s="2" t="inlineStr">
        <is>
          <t>MF-M07</t>
        </is>
      </c>
    </row>
    <row r="83">
      <c r="A83" s="4" t="inlineStr">
        <is>
          <t>qm_hauptschalter_gekennz</t>
        </is>
      </c>
      <c r="B83" s="4" t="inlineStr">
        <is>
          <t>5.51b</t>
        </is>
      </c>
      <c r="C83" s="4" t="inlineStr">
        <is>
          <t>M – Triebwerks-/Maschinenraum und Steuerung</t>
        </is>
      </c>
      <c r="D83" s="4" t="inlineStr">
        <is>
          <t>Hauptschalter eindeutig gekennzeichnet?</t>
        </is>
      </c>
      <c r="E83" s="4" t="inlineStr">
        <is>
          <t>YES_NO</t>
        </is>
      </c>
      <c r="F83" s="4" t="inlineStr"/>
      <c r="G83" s="4" t="inlineStr"/>
      <c r="H83" s="4" t="inlineStr">
        <is>
          <t>5.51 Hauptschalter vorhanden und Wirkung nachvollziehbar? = Ja</t>
        </is>
      </c>
      <c r="I83" s="4" t="inlineStr">
        <is>
          <t>MF-M07</t>
        </is>
      </c>
    </row>
    <row r="84">
      <c r="A84" s="2" t="inlineStr">
        <is>
          <t>qm_zweikreisbremse</t>
        </is>
      </c>
      <c r="B84" s="2" t="inlineStr">
        <is>
          <t>6.2</t>
        </is>
      </c>
      <c r="C84" s="2" t="inlineStr">
        <is>
          <t>M – Triebwerks-/Maschinenraum und Steuerung</t>
        </is>
      </c>
      <c r="D84" s="2" t="inlineStr">
        <is>
          <t>Zweikreisbremse (redundante Betriebsbremse) vorhanden?</t>
        </is>
      </c>
      <c r="E84" s="2" t="inlineStr">
        <is>
          <t>YES_NO</t>
        </is>
      </c>
      <c r="F84" s="2" t="inlineStr"/>
      <c r="G84" s="2" t="inlineStr"/>
      <c r="H84" s="2" t="inlineStr">
        <is>
          <t>3.1 Aufzugsart in [„Seil-/Riemenaufzug (Treibscheibe)", „Trommel- oder Kettenaufzug", „Seil-Hydraulikaufzug (indirekt)"]</t>
        </is>
      </c>
      <c r="I84" s="2" t="inlineStr">
        <is>
          <t>MF-K12, MF-M08</t>
        </is>
      </c>
    </row>
    <row r="85">
      <c r="A85" s="4" t="inlineStr">
        <is>
          <t>qm_bremse_ueberwacht</t>
        </is>
      </c>
      <c r="B85" s="4" t="inlineStr">
        <is>
          <t>6.2a</t>
        </is>
      </c>
      <c r="C85" s="4" t="inlineStr">
        <is>
          <t>M – Triebwerks-/Maschinenraum und Steuerung</t>
        </is>
      </c>
      <c r="D85" s="4" t="inlineStr">
        <is>
          <t>Bremse elektrisch überwacht (Bremskontrollschalter)?</t>
        </is>
      </c>
      <c r="E85" s="4" t="inlineStr">
        <is>
          <t>YES_NO</t>
        </is>
      </c>
      <c r="F85" s="4" t="inlineStr"/>
      <c r="G85" s="4" t="inlineStr"/>
      <c r="H85" s="4" t="inlineStr">
        <is>
          <t>6.2 Zweikreisbremse (redundante Betriebsbremse) vorhanden? = Ja</t>
        </is>
      </c>
      <c r="I85" s="4" t="inlineStr">
        <is>
          <t>MF-K12, MF-M08</t>
        </is>
      </c>
    </row>
    <row r="86">
      <c r="A86" s="2" t="inlineStr">
        <is>
          <t>qm_motorschutz</t>
        </is>
      </c>
      <c r="B86" s="2" t="inlineStr">
        <is>
          <t>6.3</t>
        </is>
      </c>
      <c r="C86" s="2" t="inlineStr">
        <is>
          <t>M – Triebwerks-/Maschinenraum und Steuerung</t>
        </is>
      </c>
      <c r="D86" s="2" t="inlineStr">
        <is>
          <t>Schutz gegen Überhitzen des Antriebsmotors vorhanden?</t>
        </is>
      </c>
      <c r="E86" s="2" t="inlineStr">
        <is>
          <t>YES_NO</t>
        </is>
      </c>
      <c r="F86" s="2" t="inlineStr"/>
      <c r="G86" s="2" t="inlineStr"/>
      <c r="H86" s="2" t="inlineStr"/>
      <c r="I86" s="2" t="inlineStr">
        <is>
          <t>MF-M09</t>
        </is>
      </c>
    </row>
    <row r="87">
      <c r="A87" s="4" t="inlineStr">
        <is>
          <t>qm_schuetze_unabhaengig</t>
        </is>
      </c>
      <c r="B87" s="4" t="inlineStr">
        <is>
          <t>6.4</t>
        </is>
      </c>
      <c r="C87" s="4" t="inlineStr">
        <is>
          <t>M – Triebwerks-/Maschinenraum und Steuerung</t>
        </is>
      </c>
      <c r="D87" s="4" t="inlineStr">
        <is>
          <t>Zwei unabhängige Fahrschütze / Abschaltwege vorhanden?</t>
        </is>
      </c>
      <c r="E87" s="4" t="inlineStr">
        <is>
          <t>YES_NO</t>
        </is>
      </c>
      <c r="F87" s="4" t="inlineStr"/>
      <c r="G87" s="4" t="inlineStr"/>
      <c r="H87" s="4" t="inlineStr">
        <is>
          <t>6.1 Antriebssystem / Regelung ≠ „Hydraulischer Antrieb"</t>
        </is>
      </c>
      <c r="I87" s="4" t="inlineStr">
        <is>
          <t>MF-M10</t>
        </is>
      </c>
    </row>
    <row r="88">
      <c r="A88" s="2" t="inlineStr">
        <is>
          <t>qm_steuerung_selbstueberw</t>
        </is>
      </c>
      <c r="B88" s="2" t="inlineStr">
        <is>
          <t>6.4a</t>
        </is>
      </c>
      <c r="C88" s="2" t="inlineStr">
        <is>
          <t>M – Triebwerks-/Maschinenraum und Steuerung</t>
        </is>
      </c>
      <c r="D88" s="2" t="inlineStr">
        <is>
          <t>Bei nur einem Schütz: selbstüberwachende Steuerung mit Baumusterprüfung?</t>
        </is>
      </c>
      <c r="E88" s="2" t="inlineStr">
        <is>
          <t>YES_NO</t>
        </is>
      </c>
      <c r="F88" s="2" t="inlineStr"/>
      <c r="G88" s="2" t="inlineStr"/>
      <c r="H88" s="2" t="inlineStr">
        <is>
          <t>6.4 Zwei unabhängige Fahrschütze / Abschaltwege vorhanden? = Nein</t>
        </is>
      </c>
      <c r="I88" s="2" t="inlineStr">
        <is>
          <t>MF-M10</t>
        </is>
      </c>
    </row>
    <row r="89">
      <c r="A89" s="4" t="inlineStr">
        <is>
          <t>qm_laufzeit</t>
        </is>
      </c>
      <c r="B89" s="4" t="inlineStr">
        <is>
          <t>6.5</t>
        </is>
      </c>
      <c r="C89" s="4" t="inlineStr">
        <is>
          <t>M – Triebwerks-/Maschinenraum und Steuerung</t>
        </is>
      </c>
      <c r="D89" s="4" t="inlineStr">
        <is>
          <t>Motor-Laufzeitüberwachung vorhanden?</t>
        </is>
      </c>
      <c r="E89" s="4" t="inlineStr">
        <is>
          <t>YES_NO</t>
        </is>
      </c>
      <c r="F89" s="4" t="inlineStr"/>
      <c r="G89" s="4" t="inlineStr"/>
      <c r="H89" s="4" t="inlineStr"/>
      <c r="I89" s="4" t="inlineStr">
        <is>
          <t>MF-M11</t>
        </is>
      </c>
    </row>
    <row r="90">
      <c r="A90" s="2" t="inlineStr">
        <is>
          <t>qm_phasenumkehr</t>
        </is>
      </c>
      <c r="B90" s="2" t="inlineStr">
        <is>
          <t>6.6</t>
        </is>
      </c>
      <c r="C90" s="2" t="inlineStr">
        <is>
          <t>M – Triebwerks-/Maschinenraum und Steuerung</t>
        </is>
      </c>
      <c r="D90" s="2" t="inlineStr">
        <is>
          <t>Schutz gegen Phasenumkehr / Phasenausfall vorhanden?</t>
        </is>
      </c>
      <c r="E90" s="2" t="inlineStr">
        <is>
          <t>YES_NO</t>
        </is>
      </c>
      <c r="F90" s="2" t="inlineStr"/>
      <c r="G90" s="2" t="inlineStr"/>
      <c r="H90" s="2" t="inlineStr">
        <is>
          <t>6.1 Antriebssystem / Regelung nicht in [„Geregelter Antrieb (Frequenzumrichter)", „Hydraulischer Antrieb"]</t>
        </is>
      </c>
      <c r="I90" s="2" t="inlineStr">
        <is>
          <t>MF-M12</t>
        </is>
      </c>
    </row>
    <row r="91">
      <c r="A91" s="4" t="inlineStr">
        <is>
          <t>qm_absperrventil</t>
        </is>
      </c>
      <c r="B91" s="4" t="inlineStr">
        <is>
          <t>6.10</t>
        </is>
      </c>
      <c r="C91" s="4" t="inlineStr">
        <is>
          <t>M – Triebwerks-/Maschinenraum und Steuerung</t>
        </is>
      </c>
      <c r="D91" s="4" t="inlineStr">
        <is>
          <t>Absperrventil am Hydraulikaggregat vorhanden?</t>
        </is>
      </c>
      <c r="E91" s="4" t="inlineStr">
        <is>
          <t>YES_NO</t>
        </is>
      </c>
      <c r="F91" s="4" t="inlineStr"/>
      <c r="G91" s="4" t="inlineStr"/>
      <c r="H91" s="4" t="inlineStr">
        <is>
          <t>3.1 Aufzugsart in [„Hydraulikaufzug", „Seil-Hydraulikaufzug (indirekt)"]</t>
        </is>
      </c>
      <c r="I91" s="4" t="inlineStr">
        <is>
          <t>MF-M13</t>
        </is>
      </c>
    </row>
    <row r="92">
      <c r="A92" s="2" t="inlineStr">
        <is>
          <t>qm_absperrventil_gekennz</t>
        </is>
      </c>
      <c r="B92" s="2" t="inlineStr">
        <is>
          <t>6.10a</t>
        </is>
      </c>
      <c r="C92" s="2" t="inlineStr">
        <is>
          <t>M – Triebwerks-/Maschinenraum und Steuerung</t>
        </is>
      </c>
      <c r="D92" s="2" t="inlineStr">
        <is>
          <t>Absperrventil gekennzeichnet und gut zugänglich?</t>
        </is>
      </c>
      <c r="E92" s="2" t="inlineStr">
        <is>
          <t>YES_NO</t>
        </is>
      </c>
      <c r="F92" s="2" t="inlineStr"/>
      <c r="G92" s="2" t="inlineStr"/>
      <c r="H92" s="2" t="inlineStr">
        <is>
          <t>6.10 Absperrventil am Hydraulikaggregat vorhanden? = Ja</t>
        </is>
      </c>
      <c r="I92" s="2" t="inlineStr">
        <is>
          <t>MF-M13</t>
        </is>
      </c>
    </row>
    <row r="93">
      <c r="A93" s="4" t="inlineStr">
        <is>
          <t>qm_rohrbruch</t>
        </is>
      </c>
      <c r="B93" s="4" t="inlineStr">
        <is>
          <t>6.11</t>
        </is>
      </c>
      <c r="C93" s="4" t="inlineStr">
        <is>
          <t>M – Triebwerks-/Maschinenraum und Steuerung</t>
        </is>
      </c>
      <c r="D93" s="4" t="inlineStr">
        <is>
          <t>Rohrbruchsicherungsventil vorhanden?</t>
        </is>
      </c>
      <c r="E93" s="4" t="inlineStr">
        <is>
          <t>YES_NO</t>
        </is>
      </c>
      <c r="F93" s="4" t="inlineStr"/>
      <c r="G93" s="4" t="inlineStr"/>
      <c r="H93" s="4" t="inlineStr">
        <is>
          <t>3.1 Aufzugsart in [„Hydraulikaufzug", „Seil-Hydraulikaufzug (indirekt)"]</t>
        </is>
      </c>
      <c r="I93" s="4" t="inlineStr">
        <is>
          <t>MF-M13</t>
        </is>
      </c>
    </row>
    <row r="94">
      <c r="A94" s="2" t="inlineStr">
        <is>
          <t>qm_kav</t>
        </is>
      </c>
      <c r="B94" s="2" t="inlineStr">
        <is>
          <t>6.12</t>
        </is>
      </c>
      <c r="C94" s="2" t="inlineStr">
        <is>
          <t>M – Triebwerks-/Maschinenraum und Steuerung</t>
        </is>
      </c>
      <c r="D94" s="2" t="inlineStr">
        <is>
          <t>Einrichtung gegen Absinken (Kolbenabsinkverhinderung / Nachholsteuerung) vorhanden?</t>
        </is>
      </c>
      <c r="E94" s="2" t="inlineStr">
        <is>
          <t>YES_NO</t>
        </is>
      </c>
      <c r="F94" s="2" t="inlineStr"/>
      <c r="G94" s="2" t="inlineStr"/>
      <c r="H94" s="2" t="inlineStr">
        <is>
          <t>3.1 Aufzugsart in [„Hydraulikaufzug", „Seil-Hydraulikaufzug (indirekt)"]</t>
        </is>
      </c>
      <c r="I94" s="2" t="inlineStr">
        <is>
          <t>MF-M13</t>
        </is>
      </c>
    </row>
    <row r="95">
      <c r="A95" s="4" t="inlineStr">
        <is>
          <t>qm_absinkt</t>
        </is>
      </c>
      <c r="B95" s="4" t="inlineStr">
        <is>
          <t>6.13</t>
        </is>
      </c>
      <c r="C95" s="4" t="inlineStr">
        <is>
          <t>M – Triebwerks-/Maschinenraum und Steuerung</t>
        </is>
      </c>
      <c r="D95" s="4" t="inlineStr">
        <is>
          <t>Sinkt der Fahrkorb im Stillstand merklich ab?</t>
        </is>
      </c>
      <c r="E95" s="4" t="inlineStr">
        <is>
          <t>YES_NO</t>
        </is>
      </c>
      <c r="F95" s="4" t="inlineStr"/>
      <c r="G95" s="4" t="inlineStr"/>
      <c r="H95" s="4" t="inlineStr">
        <is>
          <t>3.1 Aufzugsart in [„Hydraulikaufzug", „Seil-Hydraulikaufzug (indirekt)"]</t>
        </is>
      </c>
      <c r="I95" s="4" t="inlineStr">
        <is>
          <t>MF-M13</t>
        </is>
      </c>
    </row>
    <row r="96">
      <c r="A96" s="2" t="inlineStr">
        <is>
          <t>qm_notendschalter</t>
        </is>
      </c>
      <c r="B96" s="2" t="inlineStr">
        <is>
          <t>6.14</t>
        </is>
      </c>
      <c r="C96" s="2" t="inlineStr">
        <is>
          <t>M – Triebwerks-/Maschinenraum und Steuerung</t>
        </is>
      </c>
      <c r="D96" s="2" t="inlineStr">
        <is>
          <t>Notendschalter (Endbegrenzung hinter den Endhaltestellen)</t>
        </is>
      </c>
      <c r="E96" s="2" t="inlineStr">
        <is>
          <t>SELECT</t>
        </is>
      </c>
      <c r="F96" s="2" t="inlineStr">
        <is>
          <t>Vorhanden, Wirksamkeit vor Pufferberührung nachgewiesen
Vorhanden, Wirksamkeit nicht nachgewiesen
Nicht vorhanden oder unwirksam (überbrückt, verstellt)</t>
        </is>
      </c>
      <c r="G96" s="2" t="inlineStr">
        <is>
          <t>EN 81-20 5.12.2.1: bei Treibscheiben-, Trommel- und Kettenaufzügen am oberen und unteren Ende des Fahrwegs, bei Hydraulikaufzügen nur am oberen Ende. Sie müssen wirksam werden, bevor Fahrkorb oder Gegengewicht die Puffer berühren.</t>
        </is>
      </c>
      <c r="H96" s="2" t="inlineStr"/>
      <c r="I96" s="2" t="inlineStr">
        <is>
          <t>MF-M21</t>
        </is>
      </c>
    </row>
    <row r="97">
      <c r="A97" s="4" t="inlineStr">
        <is>
          <t>qm_notendschalter_getrennt</t>
        </is>
      </c>
      <c r="B97" s="4" t="inlineStr">
        <is>
          <t>6.14a</t>
        </is>
      </c>
      <c r="C97" s="4" t="inlineStr">
        <is>
          <t>M – Triebwerks-/Maschinenraum und Steuerung</t>
        </is>
      </c>
      <c r="D97" s="4" t="inlineStr">
        <is>
          <t>Getrennte Betätigungseinrichtungen für das betriebsmäßige Anhalten und für die Notendschalter?</t>
        </is>
      </c>
      <c r="E97" s="4" t="inlineStr">
        <is>
          <t>YES_NO</t>
        </is>
      </c>
      <c r="F97" s="4" t="inlineStr"/>
      <c r="G97" s="4" t="inlineStr">
        <is>
          <t>EN 81-20 5.12.2.2.1.</t>
        </is>
      </c>
      <c r="H97" s="4" t="inlineStr">
        <is>
          <t>6.14 Notendschalter (Endbegrenzung hinter den Endhaltestellen) nicht in [„Nicht vorhanden oder unwirksam (überbrückt, verstellt)"]</t>
        </is>
      </c>
      <c r="I97" s="4" t="inlineStr">
        <is>
          <t>MF-M21</t>
        </is>
      </c>
    </row>
    <row r="98">
      <c r="A98" s="2" t="inlineStr">
        <is>
          <t>qm_notendschalter_verbindung_ueberwacht</t>
        </is>
      </c>
      <c r="B98" s="2" t="inlineStr">
        <is>
          <t>6.14b</t>
        </is>
      </c>
      <c r="C98" s="2" t="inlineStr">
        <is>
          <t>M – Triebwerks-/Maschinenraum und Steuerung</t>
        </is>
      </c>
      <c r="D98" s="2" t="inlineStr">
        <is>
          <t>Bei mittelbarer Betätigung (Seil, Riemen, Kette): Bruch oder Schlaffwerden hält das Triebwerk über eine elektrische Sicherheitseinrichtung an?</t>
        </is>
      </c>
      <c r="E98" s="2" t="inlineStr">
        <is>
          <t>YES_NO</t>
        </is>
      </c>
      <c r="F98" s="2" t="inlineStr"/>
      <c r="G98" s="2" t="inlineStr">
        <is>
          <t>EN 81-20 5.12.2.2.3 b) und 5.12.2.2.4 b). Bei direkter Betätigung durch den Fahrkorb mit „Ja" beantworten.</t>
        </is>
      </c>
      <c r="H98" s="2" t="inlineStr">
        <is>
          <t>6.14 Notendschalter (Endbegrenzung hinter den Endhaltestellen) nicht in [„Nicht vorhanden oder unwirksam (überbrückt, verstellt)"]</t>
        </is>
      </c>
      <c r="I98" s="2" t="inlineStr">
        <is>
          <t>MF-M21</t>
        </is>
      </c>
    </row>
    <row r="99">
      <c r="A99" s="4" t="inlineStr">
        <is>
          <t>qm_anschlagpunkte</t>
        </is>
      </c>
      <c r="B99" s="4" t="inlineStr">
        <is>
          <t>5.52</t>
        </is>
      </c>
      <c r="C99" s="4" t="inlineStr">
        <is>
          <t>M – Triebwerks-/Maschinenraum und Steuerung</t>
        </is>
      </c>
      <c r="D99" s="4" t="inlineStr">
        <is>
          <t>Anschlagpunkte / Hebezeuge zum Anheben schwerer Teile vorhanden?</t>
        </is>
      </c>
      <c r="E99" s="4" t="inlineStr">
        <is>
          <t>YES_NO</t>
        </is>
      </c>
      <c r="F99" s="4" t="inlineStr"/>
      <c r="G99" s="4" t="inlineStr"/>
      <c r="H99" s="4" t="inlineStr">
        <is>
          <t>4.7 Eigener Triebwerks-/Maschinenraum vorhanden? = Ja</t>
        </is>
      </c>
      <c r="I99" s="4" t="inlineStr">
        <is>
          <t>MF-M14</t>
        </is>
      </c>
    </row>
    <row r="100">
      <c r="A100" s="2" t="inlineStr">
        <is>
          <t>qm_tragfaehigkeit</t>
        </is>
      </c>
      <c r="B100" s="2" t="inlineStr">
        <is>
          <t>5.52a</t>
        </is>
      </c>
      <c r="C100" s="2" t="inlineStr">
        <is>
          <t>M – Triebwerks-/Maschinenraum und Steuerung</t>
        </is>
      </c>
      <c r="D100" s="2" t="inlineStr">
        <is>
          <t>Tragfähigkeit der Anschlagpunkte angegeben?</t>
        </is>
      </c>
      <c r="E100" s="2" t="inlineStr">
        <is>
          <t>YES_NO</t>
        </is>
      </c>
      <c r="F100" s="2" t="inlineStr"/>
      <c r="G100" s="2" t="inlineStr"/>
      <c r="H100" s="2" t="inlineStr">
        <is>
          <t>5.52 Anschlagpunkte / Hebezeuge zum Anheben schwerer Teile vorhanden? = Ja</t>
        </is>
      </c>
      <c r="I100" s="2" t="inlineStr">
        <is>
          <t>MF-M14</t>
        </is>
      </c>
    </row>
    <row r="101">
      <c r="A101" s="4" t="inlineStr">
        <is>
          <t>qm_anschlag_geprueft</t>
        </is>
      </c>
      <c r="B101" s="4" t="inlineStr">
        <is>
          <t>5.52b</t>
        </is>
      </c>
      <c r="C101" s="4" t="inlineStr">
        <is>
          <t>M – Triebwerks-/Maschinenraum und Steuerung</t>
        </is>
      </c>
      <c r="D101" s="4" t="inlineStr">
        <is>
          <t>Prüfung der Anschlagpunkte dokumentiert?</t>
        </is>
      </c>
      <c r="E101" s="4" t="inlineStr">
        <is>
          <t>YES_NO</t>
        </is>
      </c>
      <c r="F101" s="4" t="inlineStr"/>
      <c r="G101" s="4" t="inlineStr"/>
      <c r="H101" s="4" t="inlineStr">
        <is>
          <t>5.52 Anschlagpunkte / Hebezeuge zum Anheben schwerer Teile vorhanden? = Ja</t>
        </is>
      </c>
      <c r="I101" s="4" t="inlineStr">
        <is>
          <t>MF-M14</t>
        </is>
      </c>
    </row>
    <row r="102">
      <c r="A102" s="2" t="inlineStr">
        <is>
          <t>qm_notbetrieb</t>
        </is>
      </c>
      <c r="B102" s="2" t="inlineStr">
        <is>
          <t>5.53</t>
        </is>
      </c>
      <c r="C102" s="2" t="inlineStr">
        <is>
          <t>M – Triebwerks-/Maschinenraum und Steuerung</t>
        </is>
      </c>
      <c r="D102" s="2" t="inlineStr">
        <is>
          <t>Einrichtung für Notbetrieb / Personenbefreiung vorhanden (Handrad, Bremslüfthebel, Evakuierungseinheit, Notablass)?</t>
        </is>
      </c>
      <c r="E102" s="2" t="inlineStr">
        <is>
          <t>YES_NO</t>
        </is>
      </c>
      <c r="F102" s="2" t="inlineStr"/>
      <c r="G102" s="2" t="inlineStr"/>
      <c r="H102" s="2" t="inlineStr"/>
      <c r="I102" s="2" t="inlineStr">
        <is>
          <t>MF-M15</t>
        </is>
      </c>
    </row>
    <row r="103">
      <c r="A103" s="4" t="inlineStr">
        <is>
          <t>qm_notbetrieb_gekennz</t>
        </is>
      </c>
      <c r="B103" s="4" t="inlineStr">
        <is>
          <t>5.53a</t>
        </is>
      </c>
      <c r="C103" s="4" t="inlineStr">
        <is>
          <t>M – Triebwerks-/Maschinenraum und Steuerung</t>
        </is>
      </c>
      <c r="D103" s="4" t="inlineStr">
        <is>
          <t>Notbetriebseinrichtung gekennzeichnet (Fahrtrichtung, Bündigmarken)?</t>
        </is>
      </c>
      <c r="E103" s="4" t="inlineStr">
        <is>
          <t>YES_NO</t>
        </is>
      </c>
      <c r="F103" s="4" t="inlineStr"/>
      <c r="G103" s="4" t="inlineStr"/>
      <c r="H103" s="4" t="inlineStr">
        <is>
          <t>5.53 Einrichtung für Notbetrieb / Personenbefreiung vorhanden (Handrad, Bremslüfthebel, Evakuierungseinheit, Notablass)? = Ja</t>
        </is>
      </c>
      <c r="I103" s="4" t="inlineStr">
        <is>
          <t>MF-M15</t>
        </is>
      </c>
    </row>
    <row r="104">
      <c r="A104" s="2" t="inlineStr">
        <is>
          <t>qm_personal_eingewiesen</t>
        </is>
      </c>
      <c r="B104" s="2" t="inlineStr">
        <is>
          <t>5.53b</t>
        </is>
      </c>
      <c r="C104" s="2" t="inlineStr">
        <is>
          <t>M – Triebwerks-/Maschinenraum und Steuerung</t>
        </is>
      </c>
      <c r="D104" s="2" t="inlineStr">
        <is>
          <t>Beauftragte Personen in die Personenbefreiung eingewiesen?</t>
        </is>
      </c>
      <c r="E104" s="2" t="inlineStr">
        <is>
          <t>YES_NO</t>
        </is>
      </c>
      <c r="F104" s="2" t="inlineStr"/>
      <c r="G104" s="2" t="inlineStr"/>
      <c r="H104" s="2" t="inlineStr"/>
      <c r="I104" s="2" t="inlineStr">
        <is>
          <t>MF-M15</t>
        </is>
      </c>
    </row>
    <row r="105">
      <c r="A105" s="4" t="inlineStr">
        <is>
          <t>qm_kennz_elektrisch</t>
        </is>
      </c>
      <c r="B105" s="4" t="inlineStr">
        <is>
          <t>5.54</t>
        </is>
      </c>
      <c r="C105" s="4" t="inlineStr">
        <is>
          <t>M – Triebwerks-/Maschinenraum und Steuerung</t>
        </is>
      </c>
      <c r="D105" s="4" t="inlineStr">
        <is>
          <t>Elektrische Einrichtungen gekennzeichnet (Zuordnung im Notfall möglich)?</t>
        </is>
      </c>
      <c r="E105" s="4" t="inlineStr">
        <is>
          <t>YES_NO</t>
        </is>
      </c>
      <c r="F105" s="4" t="inlineStr"/>
      <c r="G105" s="4" t="inlineStr"/>
      <c r="H105" s="4" t="inlineStr"/>
      <c r="I105" s="4" t="inlineStr">
        <is>
          <t>MF-M17</t>
        </is>
      </c>
    </row>
    <row r="106">
      <c r="A106" s="2" t="inlineStr">
        <is>
          <t>qm_stromlaufplan</t>
        </is>
      </c>
      <c r="B106" s="2" t="inlineStr">
        <is>
          <t>5.55</t>
        </is>
      </c>
      <c r="C106" s="2" t="inlineStr">
        <is>
          <t>M – Triebwerks-/Maschinenraum und Steuerung</t>
        </is>
      </c>
      <c r="D106" s="2" t="inlineStr">
        <is>
          <t>Stromlaufplan / Schaltunterlagen</t>
        </is>
      </c>
      <c r="E106" s="2" t="inlineStr">
        <is>
          <t>SELECT</t>
        </is>
      </c>
      <c r="F106" s="2" t="inlineStr">
        <is>
          <t>Vorhanden und aktuell
Vorhanden, aber unrichtig oder unvollständig
Nicht vorhanden</t>
        </is>
      </c>
      <c r="G106" s="2" t="inlineStr"/>
      <c r="H106" s="2" t="inlineStr"/>
      <c r="I106" s="2" t="inlineStr">
        <is>
          <t>MF-M17</t>
        </is>
      </c>
    </row>
    <row r="107">
      <c r="A107" s="4" t="inlineStr">
        <is>
          <t>qm_beschilderung</t>
        </is>
      </c>
      <c r="B107" s="4" t="inlineStr">
        <is>
          <t>5.56</t>
        </is>
      </c>
      <c r="C107" s="4" t="inlineStr">
        <is>
          <t>M – Triebwerks-/Maschinenraum und Steuerung</t>
        </is>
      </c>
      <c r="D107" s="4" t="inlineStr">
        <is>
          <t>Beschilderung vollständig (Schutzraum, Notablass, Entriegelungsschlüssel, Verhalten bei Personenbefreiung)?</t>
        </is>
      </c>
      <c r="E107" s="4" t="inlineStr">
        <is>
          <t>YES_NO</t>
        </is>
      </c>
      <c r="F107" s="4" t="inlineStr"/>
      <c r="G107" s="4" t="inlineStr"/>
      <c r="H107" s="4" t="inlineStr"/>
      <c r="I107" s="4" t="inlineStr">
        <is>
          <t>MF-M17</t>
        </is>
      </c>
    </row>
    <row r="108">
      <c r="A108" s="2" t="inlineStr">
        <is>
          <t>qm_betriebsanleitung</t>
        </is>
      </c>
      <c r="B108" s="2" t="inlineStr">
        <is>
          <t>5.57</t>
        </is>
      </c>
      <c r="C108" s="2" t="inlineStr">
        <is>
          <t>M – Triebwerks-/Maschinenraum und Steuerung</t>
        </is>
      </c>
      <c r="D108" s="2" t="inlineStr">
        <is>
          <t>Betriebs-/Bedienungsanleitung der Anlage</t>
        </is>
      </c>
      <c r="E108" s="2" t="inlineStr">
        <is>
          <t>SELECT</t>
        </is>
      </c>
      <c r="F108" s="2" t="inlineStr">
        <is>
          <t>Vorhanden und aktuell
Vorhanden, aber nicht aktuell oder unvollständig
Nicht vorhanden</t>
        </is>
      </c>
      <c r="G108" s="2" t="inlineStr"/>
      <c r="H108" s="2" t="inlineStr"/>
      <c r="I108" s="2" t="inlineStr">
        <is>
          <t>MF-M17</t>
        </is>
      </c>
    </row>
    <row r="109">
      <c r="A109" s="4" t="inlineStr">
        <is>
          <t>qm_sprechverbindung</t>
        </is>
      </c>
      <c r="B109" s="4" t="inlineStr">
        <is>
          <t>5.58</t>
        </is>
      </c>
      <c r="C109" s="4" t="inlineStr">
        <is>
          <t>M – Triebwerks-/Maschinenraum und Steuerung</t>
        </is>
      </c>
      <c r="D109" s="4" t="inlineStr">
        <is>
          <t>Sprechverbindung zwischen Fahrkorb und Triebwerksraum/Steuerung</t>
        </is>
      </c>
      <c r="E109" s="4" t="inlineStr">
        <is>
          <t>SELECT</t>
        </is>
      </c>
      <c r="F109" s="4" t="inlineStr">
        <is>
          <t>Vorhanden und funktionsfähig
Vorhanden, Verständigung nur eingeschränkt
Keine Sprechverbindung
Verständigung ohne Hilfsmittel möglich (kurze Wege)</t>
        </is>
      </c>
      <c r="G109" s="4" t="inlineStr"/>
      <c r="H109" s="4" t="inlineStr">
        <is>
          <t>4.7 Eigener Triebwerks-/Maschinenraum vorhanden? = Ja</t>
        </is>
      </c>
      <c r="I109" s="4" t="inlineStr">
        <is>
          <t>MF-M18</t>
        </is>
      </c>
    </row>
    <row r="110">
      <c r="A110" s="2" t="inlineStr">
        <is>
          <t>qm_rollenraum_nothalt</t>
        </is>
      </c>
      <c r="B110" s="2" t="inlineStr">
        <is>
          <t>5.24</t>
        </is>
      </c>
      <c r="C110" s="2" t="inlineStr">
        <is>
          <t>M – Triebwerks-/Maschinenraum und Steuerung</t>
        </is>
      </c>
      <c r="D110" s="2" t="inlineStr">
        <is>
          <t>Notbremsschalter im zusätzlichen Rollenraum vorhanden?</t>
        </is>
      </c>
      <c r="E110" s="2" t="inlineStr">
        <is>
          <t>YES_NO</t>
        </is>
      </c>
      <c r="F110" s="2" t="inlineStr"/>
      <c r="G110" s="2" t="inlineStr"/>
      <c r="H110" s="2" t="inlineStr">
        <is>
          <t>4.7a Zusätzlicher Rollenraum vorhanden? = Ja</t>
        </is>
      </c>
      <c r="I110" s="2" t="inlineStr">
        <is>
          <t>MF-M20</t>
        </is>
      </c>
    </row>
    <row r="111">
      <c r="A111" s="4" t="inlineStr">
        <is>
          <t>qm_fremd_frei</t>
        </is>
      </c>
      <c r="B111" s="4" t="inlineStr">
        <is>
          <t>5.59</t>
        </is>
      </c>
      <c r="C111" s="4" t="inlineStr">
        <is>
          <t>M – Triebwerks-/Maschinenraum und Steuerung</t>
        </is>
      </c>
      <c r="D111" s="4" t="inlineStr">
        <is>
          <t>Triebwerksraum frei von aufzugsfremden Einrichtungen (Lager, Leitungen, Geräte Dritter)?</t>
        </is>
      </c>
      <c r="E111" s="4" t="inlineStr">
        <is>
          <t>YES_NO</t>
        </is>
      </c>
      <c r="F111" s="4" t="inlineStr"/>
      <c r="G111" s="4" t="inlineStr"/>
      <c r="H111" s="4" t="inlineStr">
        <is>
          <t>4.7 Eigener Triebwerks-/Maschinenraum vorhanden? = Ja</t>
        </is>
      </c>
      <c r="I111" s="4" t="inlineStr">
        <is>
          <t>MF-M19</t>
        </is>
      </c>
    </row>
    <row r="112">
      <c r="A112" s="2" t="inlineStr">
        <is>
          <t>qm_asbest</t>
        </is>
      </c>
      <c r="B112" s="2" t="inlineStr">
        <is>
          <t>5.61</t>
        </is>
      </c>
      <c r="C112" s="2" t="inlineStr">
        <is>
          <t>M – Triebwerks-/Maschinenraum und Steuerung</t>
        </is>
      </c>
      <c r="D112" s="2" t="inlineStr">
        <is>
          <t>Asbesthaltige oder andere schädliche Baustoffe im Triebwerks-/Maschinenraum (Bremsbeläge, Dichtungen, Brandschutzplatten, Isolierungen)?</t>
        </is>
      </c>
      <c r="E112" s="2" t="inlineStr">
        <is>
          <t>YES_NO</t>
        </is>
      </c>
      <c r="F112" s="2" t="inlineStr"/>
      <c r="G112" s="2" t="inlineStr"/>
      <c r="H112" s="2" t="inlineStr">
        <is>
          <t>4.7 Eigener Triebwerks-/Maschinenraum vorhanden? = Ja</t>
        </is>
      </c>
      <c r="I112" s="2" t="inlineStr">
        <is>
          <t>MF-U01</t>
        </is>
      </c>
    </row>
    <row r="113">
      <c r="A113" s="4" t="inlineStr">
        <is>
          <t>qm_verschmutzung</t>
        </is>
      </c>
      <c r="B113" s="4" t="inlineStr">
        <is>
          <t>5.63</t>
        </is>
      </c>
      <c r="C113" s="4" t="inlineStr">
        <is>
          <t>M – Triebwerks-/Maschinenraum und Steuerung</t>
        </is>
      </c>
      <c r="D113" s="4" t="inlineStr">
        <is>
          <t>Erhebliche Verschmutzungen (Taubenkot, Unrat, Schimmel, Ablagerungen) im Triebwerks-/Maschinenraum?</t>
        </is>
      </c>
      <c r="E113" s="4" t="inlineStr">
        <is>
          <t>YES_NO</t>
        </is>
      </c>
      <c r="F113" s="4" t="inlineStr"/>
      <c r="G113" s="4" t="inlineStr"/>
      <c r="H113" s="4" t="inlineStr">
        <is>
          <t>4.7 Eigener Triebwerks-/Maschinenraum vorhanden? = Ja</t>
        </is>
      </c>
      <c r="I113" s="4" t="inlineStr">
        <is>
          <t>MF-U02</t>
        </is>
      </c>
    </row>
    <row r="114">
      <c r="A114" s="2" t="inlineStr">
        <is>
          <t>qm_brennbar_lager</t>
        </is>
      </c>
      <c r="B114" s="2" t="inlineStr">
        <is>
          <t>5.65</t>
        </is>
      </c>
      <c r="C114" s="2" t="inlineStr">
        <is>
          <t>M – Triebwerks-/Maschinenraum und Steuerung</t>
        </is>
      </c>
      <c r="D114" s="2" t="inlineStr">
        <is>
          <t>Lagerung brennbarer oder leicht entzündlicher Stoffe im Triebwerks-/Maschinenraum?</t>
        </is>
      </c>
      <c r="E114" s="2" t="inlineStr">
        <is>
          <t>YES_NO</t>
        </is>
      </c>
      <c r="F114" s="2" t="inlineStr"/>
      <c r="G114" s="2" t="inlineStr"/>
      <c r="H114" s="2" t="inlineStr">
        <is>
          <t>4.7 Eigener Triebwerks-/Maschinenraum vorhanden? = Ja</t>
        </is>
      </c>
      <c r="I114" s="2" t="inlineStr">
        <is>
          <t>MF-U03</t>
        </is>
      </c>
    </row>
    <row r="115">
      <c r="A115" s="4" t="inlineStr">
        <is>
          <t>qt_verriegelung_elektrisch</t>
        </is>
      </c>
      <c r="B115" s="4" t="inlineStr">
        <is>
          <t>7.1</t>
        </is>
      </c>
      <c r="C115" s="4" t="inlineStr">
        <is>
          <t>T – Schachttüren und Fahrkorbtür</t>
        </is>
      </c>
      <c r="D115" s="4" t="inlineStr">
        <is>
          <t>Schachttürverriegelung vom Sicherheitskreis elektrisch überwacht?</t>
        </is>
      </c>
      <c r="E115" s="4" t="inlineStr">
        <is>
          <t>YES_NO</t>
        </is>
      </c>
      <c r="F115" s="4" t="inlineStr"/>
      <c r="G115" s="4" t="inlineStr"/>
      <c r="H115" s="4" t="inlineStr"/>
      <c r="I115" s="4" t="inlineStr">
        <is>
          <t>MF-T01</t>
        </is>
      </c>
    </row>
    <row r="116">
      <c r="A116" s="2" t="inlineStr">
        <is>
          <t>qt_fehlschliess</t>
        </is>
      </c>
      <c r="B116" s="2" t="inlineStr">
        <is>
          <t>7.2</t>
        </is>
      </c>
      <c r="C116" s="2" t="inlineStr">
        <is>
          <t>T – Schachttüren und Fahrkorbtür</t>
        </is>
      </c>
      <c r="D116" s="2" t="inlineStr">
        <is>
          <t>Fehlschließsicherung / Nachschließeinrichtung an den Schachttüren vorhanden?</t>
        </is>
      </c>
      <c r="E116" s="2" t="inlineStr">
        <is>
          <t>YES_NO</t>
        </is>
      </c>
      <c r="F116" s="2" t="inlineStr"/>
      <c r="G116" s="2" t="inlineStr"/>
      <c r="H116" s="2" t="inlineStr"/>
      <c r="I116" s="2" t="inlineStr">
        <is>
          <t>MF-T01</t>
        </is>
      </c>
    </row>
    <row r="117">
      <c r="A117" s="4" t="inlineStr">
        <is>
          <t>qt_selbstschliessend</t>
        </is>
      </c>
      <c r="B117" s="4" t="inlineStr">
        <is>
          <t>7.3</t>
        </is>
      </c>
      <c r="C117" s="4" t="inlineStr">
        <is>
          <t>T – Schachttüren und Fahrkorbtür</t>
        </is>
      </c>
      <c r="D117" s="4" t="inlineStr">
        <is>
          <t>Schachttüren selbstschließend (Feder oder Gewicht)?</t>
        </is>
      </c>
      <c r="E117" s="4" t="inlineStr">
        <is>
          <t>YES_NO</t>
        </is>
      </c>
      <c r="F117" s="4" t="inlineStr"/>
      <c r="G117" s="4" t="inlineStr"/>
      <c r="H117" s="4" t="inlineStr"/>
      <c r="I117" s="4" t="inlineStr">
        <is>
          <t>MF-T03</t>
        </is>
      </c>
    </row>
    <row r="118">
      <c r="A118" s="2" t="inlineStr">
        <is>
          <t>qt_schliesst_nach_notentriegelung</t>
        </is>
      </c>
      <c r="B118" s="2" t="inlineStr">
        <is>
          <t>7.4</t>
        </is>
      </c>
      <c r="C118" s="2" t="inlineStr">
        <is>
          <t>T – Schachttüren und Fahrkorbtür</t>
        </is>
      </c>
      <c r="D118" s="2" t="inlineStr">
        <is>
          <t>Schließt die Schachttür nach einer Notentriegelung selbsttätig?</t>
        </is>
      </c>
      <c r="E118" s="2" t="inlineStr">
        <is>
          <t>YES_NO</t>
        </is>
      </c>
      <c r="F118" s="2" t="inlineStr"/>
      <c r="G118" s="2" t="inlineStr"/>
      <c r="H118" s="2" t="inlineStr"/>
      <c r="I118" s="2" t="inlineStr">
        <is>
          <t>MF-T03</t>
        </is>
      </c>
    </row>
    <row r="119">
      <c r="A119" s="4" t="inlineStr">
        <is>
          <t>qt_notentriegelung_alle</t>
        </is>
      </c>
      <c r="B119" s="4" t="inlineStr">
        <is>
          <t>7.5</t>
        </is>
      </c>
      <c r="C119" s="4" t="inlineStr">
        <is>
          <t>T – Schachttüren und Fahrkorbtür</t>
        </is>
      </c>
      <c r="D119" s="4" t="inlineStr">
        <is>
          <t>Notentriegelung an allen Schachttüren vorhanden?</t>
        </is>
      </c>
      <c r="E119" s="4" t="inlineStr">
        <is>
          <t>YES_NO</t>
        </is>
      </c>
      <c r="F119" s="4" t="inlineStr"/>
      <c r="G119" s="4" t="inlineStr"/>
      <c r="H119" s="4" t="inlineStr"/>
      <c r="I119" s="4" t="inlineStr">
        <is>
          <t>MF-T02</t>
        </is>
      </c>
    </row>
    <row r="120">
      <c r="A120" s="2" t="inlineStr">
        <is>
          <t>qt_dreikant_hinterlegt</t>
        </is>
      </c>
      <c r="B120" s="2" t="inlineStr">
        <is>
          <t>7.6</t>
        </is>
      </c>
      <c r="C120" s="2" t="inlineStr">
        <is>
          <t>T – Schachttüren und Fahrkorbtür</t>
        </is>
      </c>
      <c r="D120" s="2" t="inlineStr">
        <is>
          <t>Passender Entriegelungsschlüssel (Dreikant) für die Personenbefreiung vor Ort hinterlegt?</t>
        </is>
      </c>
      <c r="E120" s="2" t="inlineStr">
        <is>
          <t>YES_NO</t>
        </is>
      </c>
      <c r="F120" s="2" t="inlineStr"/>
      <c r="G120" s="2" t="inlineStr"/>
      <c r="H120" s="2" t="inlineStr"/>
      <c r="I120" s="2" t="inlineStr">
        <is>
          <t>MF-T02</t>
        </is>
      </c>
    </row>
    <row r="121">
      <c r="A121" s="4" t="inlineStr">
        <is>
          <t>qt_notentriegelung_hoehe</t>
        </is>
      </c>
      <c r="B121" s="4" t="inlineStr">
        <is>
          <t>7.7</t>
        </is>
      </c>
      <c r="C121" s="4" t="inlineStr">
        <is>
          <t>T – Schachttüren und Fahrkorbtür</t>
        </is>
      </c>
      <c r="D121" s="4" t="inlineStr">
        <is>
          <t>Notentriegelung erreichbar (max. 2,00 m über Boden im Türblatt bzw. 2,70 m im Rahmen mit langem Schlüssel)?</t>
        </is>
      </c>
      <c r="E121" s="4" t="inlineStr">
        <is>
          <t>YES_NO</t>
        </is>
      </c>
      <c r="F121" s="4" t="inlineStr"/>
      <c r="G121" s="4" t="inlineStr"/>
      <c r="H121" s="4" t="inlineStr">
        <is>
          <t>7.5 Notentriegelung an allen Schachttüren vorhanden? = Ja</t>
        </is>
      </c>
      <c r="I121" s="4" t="inlineStr">
        <is>
          <t>MF-T02</t>
        </is>
      </c>
    </row>
    <row r="122">
      <c r="A122" s="2" t="inlineStr">
        <is>
          <t>qt_glas_normgerecht</t>
        </is>
      </c>
      <c r="B122" s="2" t="inlineStr">
        <is>
          <t>7.8</t>
        </is>
      </c>
      <c r="C122" s="2" t="inlineStr">
        <is>
          <t>T – Schachttüren und Fahrkorbtür</t>
        </is>
      </c>
      <c r="D122" s="2" t="inlineStr">
        <is>
          <t>Glaseinsätze in Schacht-/Fahrkorbtüren aus normgerechtem, unbeschädigtem Glas (Verbundsicherheitsglas nach EN 81-20 5.3.5.3)?</t>
        </is>
      </c>
      <c r="E122" s="2" t="inlineStr">
        <is>
          <t>YES_NO</t>
        </is>
      </c>
      <c r="F122" s="2" t="inlineStr"/>
      <c r="G122" s="2" t="inlineStr"/>
      <c r="H122" s="2" t="inlineStr">
        <is>
          <t>(4.1 Schachttüren mit Glas? = Ja ODER 4.3 Fahrkorbtüren mit Glas? = Ja)</t>
        </is>
      </c>
      <c r="I122" s="2" t="inlineStr">
        <is>
          <t>MF-T04</t>
        </is>
      </c>
    </row>
    <row r="123">
      <c r="A123" s="4" t="inlineStr">
        <is>
          <t>qt_glas_drahtglas</t>
        </is>
      </c>
      <c r="B123" s="4" t="inlineStr">
        <is>
          <t>7.9</t>
        </is>
      </c>
      <c r="C123" s="4" t="inlineStr">
        <is>
          <t>T – Schachttüren und Fahrkorbtür</t>
        </is>
      </c>
      <c r="D123" s="4" t="inlineStr">
        <is>
          <t>Drahtglas (Gitterglas) verbaut?</t>
        </is>
      </c>
      <c r="E123" s="4" t="inlineStr">
        <is>
          <t>YES_NO</t>
        </is>
      </c>
      <c r="F123" s="4" t="inlineStr"/>
      <c r="G123" s="4" t="inlineStr"/>
      <c r="H123" s="4" t="inlineStr">
        <is>
          <t>(4.1 Schachttüren mit Glas? = Ja ODER 4.3 Fahrkorbtüren mit Glas? = Ja)</t>
        </is>
      </c>
      <c r="I123" s="4" t="inlineStr">
        <is>
          <t>MF-T04</t>
        </is>
      </c>
    </row>
    <row r="124">
      <c r="A124" s="2" t="inlineStr">
        <is>
          <t>qt_glas_einzugsschutz</t>
        </is>
      </c>
      <c r="B124" s="2" t="inlineStr">
        <is>
          <t>7.10</t>
        </is>
      </c>
      <c r="C124" s="2" t="inlineStr">
        <is>
          <t>T – Schachttüren und Fahrkorbtür</t>
        </is>
      </c>
      <c r="D124" s="2" t="inlineStr">
        <is>
          <t>Schutz gegen Einziehen von Kinderhänden an Glas-Schiebetüren vorhanden (Sensorleiste, Abstand, Beschichtung)?</t>
        </is>
      </c>
      <c r="E124" s="2" t="inlineStr">
        <is>
          <t>YES_NO</t>
        </is>
      </c>
      <c r="F124" s="2" t="inlineStr"/>
      <c r="G124" s="2" t="inlineStr"/>
      <c r="H124" s="2" t="inlineStr">
        <is>
          <t>(4.1 Schachttüren mit Glas? = Ja ODER 4.3 Fahrkorbtüren mit Glas? = Ja)</t>
        </is>
      </c>
      <c r="I124" s="2" t="inlineStr">
        <is>
          <t>MF-T04</t>
        </is>
      </c>
    </row>
    <row r="125">
      <c r="A125" s="4" t="inlineStr">
        <is>
          <t>qt_feuerwiderstand</t>
        </is>
      </c>
      <c r="B125" s="4" t="inlineStr">
        <is>
          <t>7.11</t>
        </is>
      </c>
      <c r="C125" s="4" t="inlineStr">
        <is>
          <t>T – Schachttüren und Fahrkorbtür</t>
        </is>
      </c>
      <c r="D125" s="4" t="inlineStr">
        <is>
          <t>Feuerwiderstandsfähigkeit der Schachttüren (EN 81-58 / bauaufsichtliche Anforderung)</t>
        </is>
      </c>
      <c r="E125" s="4" t="inlineStr">
        <is>
          <t>SELECT</t>
        </is>
      </c>
      <c r="F125" s="4" t="inlineStr">
        <is>
          <t>Nachgewiesen (Zertifikat vorhanden)
Nicht gefordert (kein Brandschutzerfordernis)
Unbekannt / kein Nachweis
Gefordert, aber nicht gegeben</t>
        </is>
      </c>
      <c r="G125" s="4" t="inlineStr"/>
      <c r="H125" s="4" t="inlineStr"/>
      <c r="I125" s="4" t="inlineStr">
        <is>
          <t>MF-T05</t>
        </is>
      </c>
    </row>
    <row r="126">
      <c r="A126" s="2" t="inlineStr">
        <is>
          <t>qt_fk_tuer_automatisch</t>
        </is>
      </c>
      <c r="B126" s="2" t="inlineStr">
        <is>
          <t>8.7</t>
        </is>
      </c>
      <c r="C126" s="2" t="inlineStr">
        <is>
          <t>T – Schachttüren und Fahrkorbtür</t>
        </is>
      </c>
      <c r="D126" s="2" t="inlineStr">
        <is>
          <t>Fahrkorbtür kraftbetätigt (automatisch)?</t>
        </is>
      </c>
      <c r="E126" s="2" t="inlineStr">
        <is>
          <t>YES_NO</t>
        </is>
      </c>
      <c r="F126" s="2" t="inlineStr"/>
      <c r="G126" s="2" t="inlineStr"/>
      <c r="H126" s="2" t="inlineStr">
        <is>
          <t>8.6 Fahrkorbabschlusstür vorhanden? = Ja</t>
        </is>
      </c>
      <c r="I126" s="2" t="inlineStr">
        <is>
          <t>MF-T06</t>
        </is>
      </c>
    </row>
    <row r="127">
      <c r="A127" s="4" t="inlineStr">
        <is>
          <t>qt_schliesskante</t>
        </is>
      </c>
      <c r="B127" s="4" t="inlineStr">
        <is>
          <t>8.8</t>
        </is>
      </c>
      <c r="C127" s="4" t="inlineStr">
        <is>
          <t>T – Schachttüren und Fahrkorbtür</t>
        </is>
      </c>
      <c r="D127" s="4" t="inlineStr">
        <is>
          <t>Schließkantensicherung der Fahrkorbtür</t>
        </is>
      </c>
      <c r="E127" s="4" t="inlineStr">
        <is>
          <t>SELECT</t>
        </is>
      </c>
      <c r="F127" s="4" t="inlineStr">
        <is>
          <t>Lichtgitter / Lichtvorhang (vollflächige Personenerkennung)
Einzel-Lichtschranke mit Kraftbegrenzung 150 N / 10 J (ältere Ausführung)
Umsteuereinrichtung (Schachtdrehtür)
Andere Schließkantensicherung
Keine Schließkantensicherung</t>
        </is>
      </c>
      <c r="G127" s="4" t="inlineStr"/>
      <c r="H127" s="4" t="inlineStr">
        <is>
          <t>8.6 Fahrkorbabschlusstür vorhanden? = Ja</t>
        </is>
      </c>
      <c r="I127" s="4" t="inlineStr">
        <is>
          <t>MF-T06</t>
        </is>
      </c>
    </row>
    <row r="128">
      <c r="A128" s="2" t="inlineStr">
        <is>
          <t>qt_lichtgitter_ohne_tuer</t>
        </is>
      </c>
      <c r="B128" s="2" t="inlineStr">
        <is>
          <t>8.9</t>
        </is>
      </c>
      <c r="C128" s="2" t="inlineStr">
        <is>
          <t>T – Schachttüren und Fahrkorbtür</t>
        </is>
      </c>
      <c r="D128" s="2" t="inlineStr">
        <is>
          <t>Ohne Fahrkorbtür: Sicherheitslichtgitter vorhanden?</t>
        </is>
      </c>
      <c r="E128" s="2" t="inlineStr">
        <is>
          <t>YES_NO</t>
        </is>
      </c>
      <c r="F128" s="2" t="inlineStr"/>
      <c r="G128" s="2" t="inlineStr"/>
      <c r="H128" s="2" t="inlineStr">
        <is>
          <t>8.6 Fahrkorbabschlusstür vorhanden? = Nein</t>
        </is>
      </c>
      <c r="I128" s="2" t="inlineStr">
        <is>
          <t>MF-T06</t>
        </is>
      </c>
    </row>
    <row r="129">
      <c r="A129" s="4" t="inlineStr">
        <is>
          <t>qt_scherengitter</t>
        </is>
      </c>
      <c r="B129" s="4" t="inlineStr">
        <is>
          <t>8.9a</t>
        </is>
      </c>
      <c r="C129" s="4" t="inlineStr">
        <is>
          <t>T – Schachttüren und Fahrkorbtür</t>
        </is>
      </c>
      <c r="D129" s="4" t="inlineStr">
        <is>
          <t>Ohne Fahrkorbtür: Scherengitter vorhanden?</t>
        </is>
      </c>
      <c r="E129" s="4" t="inlineStr">
        <is>
          <t>YES_NO</t>
        </is>
      </c>
      <c r="F129" s="4" t="inlineStr"/>
      <c r="G129" s="4" t="inlineStr"/>
      <c r="H129" s="4" t="inlineStr">
        <is>
          <t>8.6 Fahrkorbabschlusstür vorhanden? = Nein</t>
        </is>
      </c>
      <c r="I129" s="4" t="inlineStr">
        <is>
          <t>MF-T06</t>
        </is>
      </c>
    </row>
    <row r="130">
      <c r="A130" s="2" t="inlineStr">
        <is>
          <t>qt_flaeche_unter_schwelle</t>
        </is>
      </c>
      <c r="B130" s="2" t="inlineStr">
        <is>
          <t>7.12</t>
        </is>
      </c>
      <c r="C130" s="2" t="inlineStr">
        <is>
          <t>T – Schachttüren und Fahrkorbtür</t>
        </is>
      </c>
      <c r="D130" s="2" t="inlineStr">
        <is>
          <t>Schachtwand unterhalb der Schachttürschwelle (vertikale Fläche zur Entriegelungszone)</t>
        </is>
      </c>
      <c r="E130" s="2" t="inlineStr">
        <is>
          <t>SELECT</t>
        </is>
      </c>
      <c r="F130" s="2" t="inlineStr">
        <is>
          <t>Durchgehende, glatte und harte vertikale Fläche in voller Höhe und Breite (EN 81-20 5.2.5.3.2)
Vorhanden, aber mit Mängeln (Vorsprünge über 5 mm, zu geringe Höhe oder Breite, nachgiebig, offene Fugen)
Keine geschlossene Fläche (offene Konstruktion, Gitter, Mauerwerk mit Absätzen)</t>
        </is>
      </c>
      <c r="G130" s="2" t="inlineStr">
        <is>
          <t>Schützt beim Verlassen des Fahrkorbs außerhalb der Haltestelle vor Absturz und vor dem Einklemmen zwischen Fahrkorbschwelle und Schachtwand. Gefordert sind mindestens die halbe Entriegelungszone + 50 mm Höhe und die lichte Zugangsbreite + 25 mm je Seite.</t>
        </is>
      </c>
      <c r="H130" s="2" t="inlineStr"/>
      <c r="I130" s="2" t="inlineStr">
        <is>
          <t>MF-T07</t>
        </is>
      </c>
    </row>
    <row r="131">
      <c r="A131" s="4" t="inlineStr">
        <is>
          <t>qt_rueckhaltung_tuerblatt</t>
        </is>
      </c>
      <c r="B131" s="4" t="inlineStr">
        <is>
          <t>7.13</t>
        </is>
      </c>
      <c r="C131" s="4" t="inlineStr">
        <is>
          <t>T – Schachttüren und Fahrkorbtür</t>
        </is>
      </c>
      <c r="D131" s="4" t="inlineStr">
        <is>
          <t>Rückhalteeinrichtungen an den horizontal bewegten Schacht-Schiebetüren vorhanden (Türblatt bleibt in seiner Lage, wenn ein Führungselement versagt)?</t>
        </is>
      </c>
      <c r="E131" s="4" t="inlineStr">
        <is>
          <t>YES_NO</t>
        </is>
      </c>
      <c r="F131" s="4" t="inlineStr"/>
      <c r="G131" s="4" t="inlineStr">
        <is>
          <t>EN 81-20 5.3.5.3.2. Auch die Aufhängung/Befestigung selbst prüfen: Ein Türblatt, das aus der Führung fällt, gibt den Schacht frei.</t>
        </is>
      </c>
      <c r="H131" s="4" t="inlineStr"/>
      <c r="I131" s="4" t="inlineStr">
        <is>
          <t>MF-T08</t>
        </is>
      </c>
    </row>
    <row r="132">
      <c r="A132" s="2" t="inlineStr">
        <is>
          <t>qt_fuehrung_tuerblatt_ok</t>
        </is>
      </c>
      <c r="B132" s="2" t="inlineStr">
        <is>
          <t>7.13a</t>
        </is>
      </c>
      <c r="C132" s="2" t="inlineStr">
        <is>
          <t>T – Schachttüren und Fahrkorbtür</t>
        </is>
      </c>
      <c r="D132" s="2" t="inlineStr">
        <is>
          <t>Führungselemente, Hänger und Befestigungen der Türblätter unbeschädigt und ohne auffälliges Spiel?</t>
        </is>
      </c>
      <c r="E132" s="2" t="inlineStr">
        <is>
          <t>YES_NO</t>
        </is>
      </c>
      <c r="F132" s="2" t="inlineStr"/>
      <c r="G132" s="2" t="inlineStr"/>
      <c r="H132" s="2" t="inlineStr"/>
      <c r="I132" s="2" t="inlineStr">
        <is>
          <t>MF-T08</t>
        </is>
      </c>
    </row>
    <row r="133">
      <c r="A133" s="4" t="inlineStr">
        <is>
          <t>qt_tuer_mehrteilig</t>
        </is>
      </c>
      <c r="B133" s="4" t="inlineStr">
        <is>
          <t>7.14</t>
        </is>
      </c>
      <c r="C133" s="4" t="inlineStr">
        <is>
          <t>T – Schachttüren und Fahrkorbtür</t>
        </is>
      </c>
      <c r="D133" s="4" t="inlineStr">
        <is>
          <t>Schachttüren mehrteilig (Teleskop- oder Mitteltür mit mehreren Türblättern)?</t>
        </is>
      </c>
      <c r="E133" s="4" t="inlineStr">
        <is>
          <t>YES_NO</t>
        </is>
      </c>
      <c r="F133" s="4" t="inlineStr"/>
      <c r="G133" s="4" t="inlineStr"/>
      <c r="H133" s="4" t="inlineStr"/>
      <c r="I133" s="4" t="inlineStr">
        <is>
          <t>MF-T09</t>
        </is>
      </c>
    </row>
    <row r="134">
      <c r="A134" s="2" t="inlineStr">
        <is>
          <t>qt_tuerblatt_verbindung</t>
        </is>
      </c>
      <c r="B134" s="2" t="inlineStr">
        <is>
          <t>7.14a</t>
        </is>
      </c>
      <c r="C134" s="2" t="inlineStr">
        <is>
          <t>T – Schachttüren und Fahrkorbtür</t>
        </is>
      </c>
      <c r="D134" s="2" t="inlineStr">
        <is>
          <t>Verbindung der Türblätter mehrteiliger Schachttüren</t>
        </is>
      </c>
      <c r="E134" s="2" t="inlineStr">
        <is>
          <t>SELECT</t>
        </is>
      </c>
      <c r="F134" s="2" t="inlineStr">
        <is>
          <t>Unmittelbar mechanisch verbunden (Ineinandergreifen, Blechumkantung, Verriegelungselemente am Hänger)
Mittelbar verbunden (Seil, Riemen, Kette); Schließstellung der nicht verriegelten Türblätter elektrisch überwacht, keine Griffe
Mittelbar verbunden, Schließstellung der übrigen Türblätter nicht überwacht
Keine wirksame Verbindung; nur ein Türblatt verriegelt</t>
        </is>
      </c>
      <c r="G134" s="2" t="inlineStr">
        <is>
          <t>EN 81-20 5.3.11: Die Verbindung gilt als Teil der Verriegelung und muss auch bei Bruch eines Führungselements halten.</t>
        </is>
      </c>
      <c r="H134" s="2" t="inlineStr">
        <is>
          <t>7.14 Schachttüren mehrteilig (Teleskop- oder Mitteltür mit mehreren Türblättern)? = Ja</t>
        </is>
      </c>
      <c r="I134" s="2" t="inlineStr">
        <is>
          <t>MF-T09</t>
        </is>
      </c>
    </row>
    <row r="135">
      <c r="A135" s="4" t="inlineStr">
        <is>
          <t>qk_notruf_vorhanden</t>
        </is>
      </c>
      <c r="B135" s="4" t="inlineStr">
        <is>
          <t>8.1</t>
        </is>
      </c>
      <c r="C135" s="4" t="inlineStr">
        <is>
          <t>K – Fahrkorb</t>
        </is>
      </c>
      <c r="D135" s="4" t="inlineStr">
        <is>
          <t>Notrufeinrichtung im Fahrkorb vorhanden?</t>
        </is>
      </c>
      <c r="E135" s="4" t="inlineStr">
        <is>
          <t>YES_NO</t>
        </is>
      </c>
      <c r="F135" s="4" t="inlineStr"/>
      <c r="G135" s="4" t="inlineStr"/>
      <c r="H135" s="4" t="inlineStr"/>
      <c r="I135" s="4" t="inlineStr">
        <is>
          <t>MF-K01</t>
        </is>
      </c>
    </row>
    <row r="136">
      <c r="A136" s="2" t="inlineStr">
        <is>
          <t>qk_notruf_art</t>
        </is>
      </c>
      <c r="B136" s="2" t="inlineStr">
        <is>
          <t>8.2</t>
        </is>
      </c>
      <c r="C136" s="2" t="inlineStr">
        <is>
          <t>K – Fahrkorb</t>
        </is>
      </c>
      <c r="D136" s="2" t="inlineStr">
        <is>
          <t>Art der Notrufeinrichtung</t>
        </is>
      </c>
      <c r="E136" s="2" t="inlineStr">
        <is>
          <t>SELECT</t>
        </is>
      </c>
      <c r="F136" s="2" t="inlineStr">
        <is>
          <t>Sprechverbindung zu ständig besetzter Stelle
Klingel zu ständig besetzter Stelle
Sprechverbindung oder Klingel zu nicht ständig besetzter Stelle
Klingel im Schacht ohne Weiterleitung</t>
        </is>
      </c>
      <c r="G136" s="2" t="inlineStr"/>
      <c r="H136" s="2" t="inlineStr">
        <is>
          <t>8.1 Notrufeinrichtung im Fahrkorb vorhanden? = Ja</t>
        </is>
      </c>
      <c r="I136" s="2" t="inlineStr">
        <is>
          <t>MF-K01</t>
        </is>
      </c>
    </row>
    <row r="137">
      <c r="A137" s="4" t="inlineStr">
        <is>
          <t>qk_notruf_24h</t>
        </is>
      </c>
      <c r="B137" s="4" t="inlineStr">
        <is>
          <t>8.3</t>
        </is>
      </c>
      <c r="C137" s="4" t="inlineStr">
        <is>
          <t>K – Fahrkorb</t>
        </is>
      </c>
      <c r="D137" s="4" t="inlineStr">
        <is>
          <t>Notruf auf eine rund um die Uhr besetzte Stelle aufgeschaltet?</t>
        </is>
      </c>
      <c r="E137" s="4" t="inlineStr">
        <is>
          <t>YES_NO</t>
        </is>
      </c>
      <c r="F137" s="4" t="inlineStr"/>
      <c r="G137" s="4" t="inlineStr"/>
      <c r="H137" s="4" t="inlineStr">
        <is>
          <t>8.1 Notrufeinrichtung im Fahrkorb vorhanden? = Ja</t>
        </is>
      </c>
      <c r="I137" s="4" t="inlineStr">
        <is>
          <t>MF-K01</t>
        </is>
      </c>
    </row>
    <row r="138">
      <c r="A138" s="2" t="inlineStr">
        <is>
          <t>qk_notruf_en8128</t>
        </is>
      </c>
      <c r="B138" s="2" t="inlineStr">
        <is>
          <t>8.4</t>
        </is>
      </c>
      <c r="C138" s="2" t="inlineStr">
        <is>
          <t>K – Fahrkorb</t>
        </is>
      </c>
      <c r="D138" s="2" t="inlineStr">
        <is>
          <t>Zweiwege-Notrufsystem nach EN 81-28 (Identifikation, Rückmeldung, Testruf)?</t>
        </is>
      </c>
      <c r="E138" s="2" t="inlineStr">
        <is>
          <t>YES_NO</t>
        </is>
      </c>
      <c r="F138" s="2" t="inlineStr"/>
      <c r="G138" s="2" t="inlineStr"/>
      <c r="H138" s="2" t="inlineStr">
        <is>
          <t>8.1 Notrufeinrichtung im Fahrkorb vorhanden? = Ja</t>
        </is>
      </c>
      <c r="I138" s="2" t="inlineStr">
        <is>
          <t>MF-K01</t>
        </is>
      </c>
    </row>
    <row r="139">
      <c r="A139" s="4" t="inlineStr">
        <is>
          <t>qk_notbeleuchtung</t>
        </is>
      </c>
      <c r="B139" s="4" t="inlineStr">
        <is>
          <t>8.5</t>
        </is>
      </c>
      <c r="C139" s="4" t="inlineStr">
        <is>
          <t>K – Fahrkorb</t>
        </is>
      </c>
      <c r="D139" s="4" t="inlineStr">
        <is>
          <t>Notbeleuchtung im Fahrkorb</t>
        </is>
      </c>
      <c r="E139" s="4" t="inlineStr">
        <is>
          <t>SELECT</t>
        </is>
      </c>
      <c r="F139" s="4" t="inlineStr">
        <is>
          <t>Leuchte mit Netzersatzfunktion (mind. 5 Lux, 1 h)
Keine Notbeleuchtung, aber beleuchteter Notruftaster
Keine Notbeleuchtung</t>
        </is>
      </c>
      <c r="G139" s="4" t="inlineStr"/>
      <c r="H139" s="4" t="inlineStr"/>
      <c r="I139" s="4" t="inlineStr">
        <is>
          <t>MF-K02</t>
        </is>
      </c>
    </row>
    <row r="140">
      <c r="A140" s="2" t="inlineStr">
        <is>
          <t>qk_stufe_mm</t>
        </is>
      </c>
      <c r="B140" s="2" t="inlineStr">
        <is>
          <t>8.10</t>
        </is>
      </c>
      <c r="C140" s="2" t="inlineStr">
        <is>
          <t>K – Fahrkorb</t>
        </is>
      </c>
      <c r="D140" s="2" t="inlineStr">
        <is>
          <t>Größte gemessene Stufenbildung / Haltegenauigkeit [mm]</t>
        </is>
      </c>
      <c r="E140" s="2" t="inlineStr">
        <is>
          <t>NUMBER</t>
        </is>
      </c>
      <c r="F140" s="2" t="inlineStr"/>
      <c r="G140" s="2" t="inlineStr"/>
      <c r="H140" s="2" t="inlineStr"/>
      <c r="I140" s="2" t="inlineStr">
        <is>
          <t>MF-K03</t>
        </is>
      </c>
    </row>
    <row r="141">
      <c r="A141" s="4" t="inlineStr">
        <is>
          <t>qk_nachregulierung</t>
        </is>
      </c>
      <c r="B141" s="4" t="inlineStr">
        <is>
          <t>8.11</t>
        </is>
      </c>
      <c r="C141" s="4" t="inlineStr">
        <is>
          <t>K – Fahrkorb</t>
        </is>
      </c>
      <c r="D141" s="4" t="inlineStr">
        <is>
          <t>Nachregulierung / geregelter Antrieb mit präziser Haltegenauigkeit?</t>
        </is>
      </c>
      <c r="E141" s="4" t="inlineStr">
        <is>
          <t>YES_NO</t>
        </is>
      </c>
      <c r="F141" s="4" t="inlineStr"/>
      <c r="G141" s="4" t="inlineStr"/>
      <c r="H141" s="4" t="inlineStr"/>
      <c r="I141" s="4" t="inlineStr">
        <is>
          <t>MF-K03</t>
        </is>
      </c>
    </row>
    <row r="142">
      <c r="A142" s="2" t="inlineStr">
        <is>
          <t>qk_schuerze_mm</t>
        </is>
      </c>
      <c r="B142" s="2" t="inlineStr">
        <is>
          <t>8.12</t>
        </is>
      </c>
      <c r="C142" s="2" t="inlineStr">
        <is>
          <t>K – Fahrkorb</t>
        </is>
      </c>
      <c r="D142" s="2" t="inlineStr">
        <is>
          <t>Länge der Fahrkorbtürschürze [mm]</t>
        </is>
      </c>
      <c r="E142" s="2" t="inlineStr">
        <is>
          <t>NUMBER</t>
        </is>
      </c>
      <c r="F142" s="2" t="inlineStr"/>
      <c r="G142" s="2" t="inlineStr"/>
      <c r="H142" s="2" t="inlineStr"/>
      <c r="I142" s="2" t="inlineStr">
        <is>
          <t>MF-K04</t>
        </is>
      </c>
    </row>
    <row r="143">
      <c r="A143" s="4" t="inlineStr">
        <is>
          <t>qk_befreiung_nur_fachkundig</t>
        </is>
      </c>
      <c r="B143" s="4" t="inlineStr">
        <is>
          <t>8.13</t>
        </is>
      </c>
      <c r="C143" s="4" t="inlineStr">
        <is>
          <t>K – Fahrkorb</t>
        </is>
      </c>
      <c r="D143" s="4" t="inlineStr">
        <is>
          <t>Personenbefreiung ausschließlich durch fachkundige Personen (Betriebsanweisung, keine Selbstbefreiung durch Aufzugswärter)?</t>
        </is>
      </c>
      <c r="E143" s="4" t="inlineStr">
        <is>
          <t>YES_NO</t>
        </is>
      </c>
      <c r="F143" s="4" t="inlineStr"/>
      <c r="G143" s="4" t="inlineStr"/>
      <c r="H143" s="4" t="inlineStr">
        <is>
          <t>8.12 Länge der Fahrkorbtürschürze [mm] &lt; 300</t>
        </is>
      </c>
      <c r="I143" s="4" t="inlineStr">
        <is>
          <t>MF-K04</t>
        </is>
      </c>
    </row>
    <row r="144">
      <c r="A144" s="2" t="inlineStr">
        <is>
          <t>qk_abstand_schwelle_mm</t>
        </is>
      </c>
      <c r="B144" s="2" t="inlineStr">
        <is>
          <t>8.14</t>
        </is>
      </c>
      <c r="C144" s="2" t="inlineStr">
        <is>
          <t>K – Fahrkorb</t>
        </is>
      </c>
      <c r="D144" s="2" t="inlineStr">
        <is>
          <t>Größter Abstand Fahrkorbschwelle – Schachtwand [mm]</t>
        </is>
      </c>
      <c r="E144" s="2" t="inlineStr">
        <is>
          <t>NUMBER</t>
        </is>
      </c>
      <c r="F144" s="2" t="inlineStr"/>
      <c r="G144" s="2" t="inlineStr"/>
      <c r="H144" s="2" t="inlineStr"/>
      <c r="I144" s="2" t="inlineStr">
        <is>
          <t>MF-K05</t>
        </is>
      </c>
    </row>
    <row r="145">
      <c r="A145" s="4" t="inlineStr">
        <is>
          <t>qk_fk_tuer_verriegelt</t>
        </is>
      </c>
      <c r="B145" s="4" t="inlineStr">
        <is>
          <t>8.15</t>
        </is>
      </c>
      <c r="C145" s="4" t="inlineStr">
        <is>
          <t>K – Fahrkorb</t>
        </is>
      </c>
      <c r="D145" s="4" t="inlineStr">
        <is>
          <t>Fahrkorbtür-Verriegelung (Fahrkorbtür außerhalb der Entriegelungszone verriegelt)?</t>
        </is>
      </c>
      <c r="E145" s="4" t="inlineStr">
        <is>
          <t>YES_NO</t>
        </is>
      </c>
      <c r="F145" s="4" t="inlineStr"/>
      <c r="G145" s="4" t="inlineStr"/>
      <c r="H145" s="4" t="inlineStr">
        <is>
          <t>8.14 Größter Abstand Fahrkorbschwelle – Schachtwand [mm] &gt; 150</t>
        </is>
      </c>
      <c r="I145" s="4" t="inlineStr">
        <is>
          <t>MF-K05</t>
        </is>
      </c>
    </row>
    <row r="146">
      <c r="A146" s="2" t="inlineStr">
        <is>
          <t>qk_schachttuer_zusatzverriegelung</t>
        </is>
      </c>
      <c r="B146" s="2" t="inlineStr">
        <is>
          <t>8.15a</t>
        </is>
      </c>
      <c r="C146" s="2" t="inlineStr">
        <is>
          <t>K – Fahrkorb</t>
        </is>
      </c>
      <c r="D146" s="2" t="inlineStr">
        <is>
          <t>Zusatzverriegelung an den Schachttüren vorhanden?</t>
        </is>
      </c>
      <c r="E146" s="2" t="inlineStr">
        <is>
          <t>YES_NO</t>
        </is>
      </c>
      <c r="F146" s="2" t="inlineStr"/>
      <c r="G146" s="2" t="inlineStr"/>
      <c r="H146" s="2" t="inlineStr">
        <is>
          <t>8.14 Größter Abstand Fahrkorbschwelle – Schachtwand [mm] &gt; 150</t>
        </is>
      </c>
      <c r="I146" s="2" t="inlineStr">
        <is>
          <t>MF-K05</t>
        </is>
      </c>
    </row>
    <row r="147">
      <c r="A147" s="4" t="inlineStr">
        <is>
          <t>qk_nennlast_gekennz</t>
        </is>
      </c>
      <c r="B147" s="4" t="inlineStr">
        <is>
          <t>8.16</t>
        </is>
      </c>
      <c r="C147" s="4" t="inlineStr">
        <is>
          <t>K – Fahrkorb</t>
        </is>
      </c>
      <c r="D147" s="4" t="inlineStr">
        <is>
          <t>Nennlast und zulässige Personenzahl im Fahrkorb gekennzeichnet?</t>
        </is>
      </c>
      <c r="E147" s="4" t="inlineStr">
        <is>
          <t>YES_NO</t>
        </is>
      </c>
      <c r="F147" s="4" t="inlineStr"/>
      <c r="G147" s="4" t="inlineStr"/>
      <c r="H147" s="4" t="inlineStr"/>
      <c r="I147" s="4" t="inlineStr">
        <is>
          <t>MF-K06</t>
        </is>
      </c>
    </row>
    <row r="148">
      <c r="A148" s="2" t="inlineStr">
        <is>
          <t>qk_nutzflaeche_ok</t>
        </is>
      </c>
      <c r="B148" s="2" t="inlineStr">
        <is>
          <t>8.17</t>
        </is>
      </c>
      <c r="C148" s="2" t="inlineStr">
        <is>
          <t>K – Fahrkorb</t>
        </is>
      </c>
      <c r="D148" s="2" t="inlineStr">
        <is>
          <t>Nutzfläche des Fahrkorbs passt zur Nennlast (Tabelle EN 81-20 5.4.2)?</t>
        </is>
      </c>
      <c r="E148" s="2" t="inlineStr">
        <is>
          <t>YES_NO</t>
        </is>
      </c>
      <c r="F148" s="2" t="inlineStr"/>
      <c r="G148" s="2" t="inlineStr"/>
      <c r="H148" s="2" t="inlineStr"/>
      <c r="I148" s="2" t="inlineStr">
        <is>
          <t>MF-K06</t>
        </is>
      </c>
    </row>
    <row r="149">
      <c r="A149" s="4" t="inlineStr">
        <is>
          <t>qk_ueberlast</t>
        </is>
      </c>
      <c r="B149" s="4" t="inlineStr">
        <is>
          <t>8.18</t>
        </is>
      </c>
      <c r="C149" s="4" t="inlineStr">
        <is>
          <t>K – Fahrkorb</t>
        </is>
      </c>
      <c r="D149" s="4" t="inlineStr">
        <is>
          <t>Überlastkontrolle / Lastmessung vorhanden?</t>
        </is>
      </c>
      <c r="E149" s="4" t="inlineStr">
        <is>
          <t>YES_NO</t>
        </is>
      </c>
      <c r="F149" s="4" t="inlineStr"/>
      <c r="G149" s="4" t="inlineStr"/>
      <c r="H149" s="4" t="inlineStr"/>
      <c r="I149" s="4" t="inlineStr">
        <is>
          <t>MF-K06</t>
        </is>
      </c>
    </row>
    <row r="150">
      <c r="A150" s="2" t="inlineStr">
        <is>
          <t>qk_ueberlast_geprueft</t>
        </is>
      </c>
      <c r="B150" s="2" t="inlineStr">
        <is>
          <t>8.18a</t>
        </is>
      </c>
      <c r="C150" s="2" t="inlineStr">
        <is>
          <t>K – Fahrkorb</t>
        </is>
      </c>
      <c r="D150" s="2" t="inlineStr">
        <is>
          <t>Funktion der Überlastkontrolle nachweislich geprüft?</t>
        </is>
      </c>
      <c r="E150" s="2" t="inlineStr">
        <is>
          <t>YES_NO</t>
        </is>
      </c>
      <c r="F150" s="2" t="inlineStr"/>
      <c r="G150" s="2" t="inlineStr"/>
      <c r="H150" s="2" t="inlineStr">
        <is>
          <t>8.18 Überlastkontrolle / Lastmessung vorhanden? = Ja</t>
        </is>
      </c>
      <c r="I150" s="2" t="inlineStr">
        <is>
          <t>MF-K06</t>
        </is>
      </c>
    </row>
    <row r="151">
      <c r="A151" s="4" t="inlineStr">
        <is>
          <t>qk_lueftung</t>
        </is>
      </c>
      <c r="B151" s="4" t="inlineStr">
        <is>
          <t>8.19</t>
        </is>
      </c>
      <c r="C151" s="4" t="inlineStr">
        <is>
          <t>K – Fahrkorb</t>
        </is>
      </c>
      <c r="D151" s="4" t="inlineStr">
        <is>
          <t>Lüftung des Fahrkorbs</t>
        </is>
      </c>
      <c r="E151" s="4" t="inlineStr">
        <is>
          <t>SELECT</t>
        </is>
      </c>
      <c r="F151" s="4" t="inlineStr">
        <is>
          <t>Lüftungsöffnungen ausreichend (≥ 1 % der Grundfläche) und frei
Lüftungsöffnungen teilweise verdeckt oder verschmutzt
Keine Zwangsbelüftung bei langen Fahrzeiten / hoher Belegung
Lüftungsöffnungen fehlen oder unzureichend</t>
        </is>
      </c>
      <c r="G151" s="4" t="inlineStr"/>
      <c r="H151" s="4" t="inlineStr"/>
      <c r="I151" s="4" t="inlineStr">
        <is>
          <t>MF-K07</t>
        </is>
      </c>
    </row>
    <row r="152">
      <c r="A152" s="2" t="inlineStr">
        <is>
          <t>qk_hinweis_brandfall</t>
        </is>
      </c>
      <c r="B152" s="2" t="inlineStr">
        <is>
          <t>8.20</t>
        </is>
      </c>
      <c r="C152" s="2" t="inlineStr">
        <is>
          <t>K – Fahrkorb</t>
        </is>
      </c>
      <c r="D152" s="2" t="inlineStr">
        <is>
          <t>Hinweisschild „Aufzug im Brandfall nicht benutzen" an allen Haltestellen vorhanden und lesbar?</t>
        </is>
      </c>
      <c r="E152" s="2" t="inlineStr">
        <is>
          <t>YES_NO</t>
        </is>
      </c>
      <c r="F152" s="2" t="inlineStr"/>
      <c r="G152" s="2" t="inlineStr"/>
      <c r="H152" s="2" t="inlineStr"/>
      <c r="I152" s="2" t="inlineStr">
        <is>
          <t>MF-K09</t>
        </is>
      </c>
    </row>
    <row r="153">
      <c r="A153" s="4" t="inlineStr">
        <is>
          <t>qk_bfs_vorhanden</t>
        </is>
      </c>
      <c r="B153" s="4" t="inlineStr">
        <is>
          <t>8.21</t>
        </is>
      </c>
      <c r="C153" s="4" t="inlineStr">
        <is>
          <t>K – Fahrkorb</t>
        </is>
      </c>
      <c r="D153" s="4" t="inlineStr">
        <is>
          <t>Brandfallsteuerung vorhanden und in die Brandmeldeanlage eingebunden?</t>
        </is>
      </c>
      <c r="E153" s="4" t="inlineStr">
        <is>
          <t>YES_NO</t>
        </is>
      </c>
      <c r="F153" s="4" t="inlineStr"/>
      <c r="G153" s="4" t="inlineStr"/>
      <c r="H153" s="4" t="inlineStr">
        <is>
          <t>4.11 Fordert das Brandschutzkonzept des Gebäudes eine Brandfallsteuerung? = Ja</t>
        </is>
      </c>
      <c r="I153" s="4" t="inlineStr">
        <is>
          <t>MF-K08</t>
        </is>
      </c>
    </row>
    <row r="154">
      <c r="A154" s="2" t="inlineStr">
        <is>
          <t>qk_bfs_geprueft</t>
        </is>
      </c>
      <c r="B154" s="2" t="inlineStr">
        <is>
          <t>8.21a</t>
        </is>
      </c>
      <c r="C154" s="2" t="inlineStr">
        <is>
          <t>K – Fahrkorb</t>
        </is>
      </c>
      <c r="D154" s="2" t="inlineStr">
        <is>
          <t>Funktion der Brandfallsteuerung regelmäßig geprüft (Nachweis)?</t>
        </is>
      </c>
      <c r="E154" s="2" t="inlineStr">
        <is>
          <t>YES_NO</t>
        </is>
      </c>
      <c r="F154" s="2" t="inlineStr"/>
      <c r="G154" s="2" t="inlineStr"/>
      <c r="H154" s="2" t="inlineStr">
        <is>
          <t>8.21 Brandfallsteuerung vorhanden und in die Brandmeldeanlage eingebunden? = Ja</t>
        </is>
      </c>
      <c r="I154" s="2" t="inlineStr">
        <is>
          <t>MF-K08</t>
        </is>
      </c>
    </row>
    <row r="155">
      <c r="A155" s="4" t="inlineStr">
        <is>
          <t>qk_en8170</t>
        </is>
      </c>
      <c r="B155" s="4" t="inlineStr">
        <is>
          <t>8.22</t>
        </is>
      </c>
      <c r="C155" s="4" t="inlineStr">
        <is>
          <t>K – Fahrkorb</t>
        </is>
      </c>
      <c r="D155" s="4" t="inlineStr">
        <is>
          <t>Anlage nach DIN EN 81-70 barrierefrei ausgeführt?</t>
        </is>
      </c>
      <c r="E155" s="4" t="inlineStr">
        <is>
          <t>YES_NO</t>
        </is>
      </c>
      <c r="F155" s="4" t="inlineStr"/>
      <c r="G155" s="4" t="inlineStr"/>
      <c r="H155" s="4" t="inlineStr">
        <is>
          <t>4.9 Nutzung durch Personen mit eingeschränkter Mobilität (Rollstuhl, Rollator, Sehbehinderung) zu erwarten? = Ja</t>
        </is>
      </c>
      <c r="I155" s="4" t="inlineStr">
        <is>
          <t>MF-K10</t>
        </is>
      </c>
    </row>
    <row r="156">
      <c r="A156" s="2" t="inlineStr">
        <is>
          <t>qk_bedienelemente</t>
        </is>
      </c>
      <c r="B156" s="2" t="inlineStr">
        <is>
          <t>8.23</t>
        </is>
      </c>
      <c r="C156" s="2" t="inlineStr">
        <is>
          <t>K – Fahrkorb</t>
        </is>
      </c>
      <c r="D156" s="2" t="inlineStr">
        <is>
          <t>Bedienelemente in erreichbarer Höhe und ertastbar?</t>
        </is>
      </c>
      <c r="E156" s="2" t="inlineStr">
        <is>
          <t>YES_NO</t>
        </is>
      </c>
      <c r="F156" s="2" t="inlineStr"/>
      <c r="G156" s="2" t="inlineStr"/>
      <c r="H156" s="2" t="inlineStr">
        <is>
          <t>4.9 Nutzung durch Personen mit eingeschränkter Mobilität (Rollstuhl, Rollator, Sehbehinderung) zu erwarten? = Ja</t>
        </is>
      </c>
      <c r="I156" s="2" t="inlineStr">
        <is>
          <t>MF-K10</t>
        </is>
      </c>
    </row>
    <row r="157">
      <c r="A157" s="4" t="inlineStr">
        <is>
          <t>qk_rollstuhl_mass</t>
        </is>
      </c>
      <c r="B157" s="4" t="inlineStr">
        <is>
          <t>8.24</t>
        </is>
      </c>
      <c r="C157" s="4" t="inlineStr">
        <is>
          <t>K – Fahrkorb</t>
        </is>
      </c>
      <c r="D157" s="4" t="inlineStr">
        <is>
          <t>Fahrkorbabmessungen für Rollstuhlnutzung ausreichend (mind. 1,00 m × 1,25 m)?</t>
        </is>
      </c>
      <c r="E157" s="4" t="inlineStr">
        <is>
          <t>YES_NO</t>
        </is>
      </c>
      <c r="F157" s="4" t="inlineStr"/>
      <c r="G157" s="4" t="inlineStr"/>
      <c r="H157" s="4" t="inlineStr">
        <is>
          <t>4.9 Nutzung durch Personen mit eingeschränkter Mobilität (Rollstuhl, Rollator, Sehbehinderung) zu erwarten? = Ja</t>
        </is>
      </c>
      <c r="I157" s="4" t="inlineStr">
        <is>
          <t>MF-K10</t>
        </is>
      </c>
    </row>
    <row r="158">
      <c r="A158" s="2" t="inlineStr">
        <is>
          <t>qk_ausstattung</t>
        </is>
      </c>
      <c r="B158" s="2" t="inlineStr">
        <is>
          <t>8.25</t>
        </is>
      </c>
      <c r="C158" s="2" t="inlineStr">
        <is>
          <t>K – Fahrkorb</t>
        </is>
      </c>
      <c r="D158" s="2" t="inlineStr">
        <is>
          <t>Zustand der Fahrkorbausstattung</t>
        </is>
      </c>
      <c r="E158" s="2" t="inlineStr">
        <is>
          <t>SELECT</t>
        </is>
      </c>
      <c r="F158" s="2" t="inlineStr">
        <is>
          <t>Unbeschädigt, keine Hinweise auf Vandalismus
Beschädigt ohne unmittelbare Gefährdung (Tableau, Spiegel, Verkleidung)
Beschädigt mit unmittelbarer Gefährdung (freiliegende Elektrik, gebrochenes Glas, defekter Notruf)</t>
        </is>
      </c>
      <c r="G158" s="2" t="inlineStr"/>
      <c r="H158" s="2" t="inlineStr"/>
      <c r="I158" s="2" t="inlineStr">
        <is>
          <t>MF-K11</t>
        </is>
      </c>
    </row>
    <row r="159">
      <c r="A159" s="4" t="inlineStr">
        <is>
          <t>qk_vandalismus_wiederholt</t>
        </is>
      </c>
      <c r="B159" s="4" t="inlineStr">
        <is>
          <t>8.26</t>
        </is>
      </c>
      <c r="C159" s="4" t="inlineStr">
        <is>
          <t>K – Fahrkorb</t>
        </is>
      </c>
      <c r="D159" s="4" t="inlineStr">
        <is>
          <t>Wiederholte Vandalismusschäden?</t>
        </is>
      </c>
      <c r="E159" s="4" t="inlineStr">
        <is>
          <t>YES_NO</t>
        </is>
      </c>
      <c r="F159" s="4" t="inlineStr"/>
      <c r="G159" s="4" t="inlineStr"/>
      <c r="H159" s="4" t="inlineStr"/>
      <c r="I159" s="4" t="inlineStr">
        <is>
          <t>MF-K11</t>
        </is>
      </c>
    </row>
    <row r="160">
      <c r="A160" s="2" t="inlineStr">
        <is>
          <t>qk_en8171</t>
        </is>
      </c>
      <c r="B160" s="2" t="inlineStr">
        <is>
          <t>8.26a</t>
        </is>
      </c>
      <c r="C160" s="2" t="inlineStr">
        <is>
          <t>K – Fahrkorb</t>
        </is>
      </c>
      <c r="D160" s="2" t="inlineStr">
        <is>
          <t>Vandalismussichere Ausführung nach DIN EN 81-71?</t>
        </is>
      </c>
      <c r="E160" s="2" t="inlineStr">
        <is>
          <t>YES_NO</t>
        </is>
      </c>
      <c r="F160" s="2" t="inlineStr"/>
      <c r="G160" s="2" t="inlineStr"/>
      <c r="H160" s="2" t="inlineStr">
        <is>
          <t>8.26 Wiederholte Vandalismusschäden? = Ja</t>
        </is>
      </c>
      <c r="I160" s="2" t="inlineStr">
        <is>
          <t>MF-K11</t>
        </is>
      </c>
    </row>
    <row r="161">
      <c r="A161" s="4" t="inlineStr">
        <is>
          <t>qk_ucm_sr_modul</t>
        </is>
      </c>
      <c r="B161" s="4" t="inlineStr">
        <is>
          <t>8.27</t>
        </is>
      </c>
      <c r="C161" s="4" t="inlineStr">
        <is>
          <t>K – Fahrkorb</t>
        </is>
      </c>
      <c r="D161" s="4" t="inlineStr">
        <is>
          <t>Türüberbrückung (SR-Modul) für Nachregulieren / Voraböffnen mit offener Tür vorhanden?</t>
        </is>
      </c>
      <c r="E161" s="4" t="inlineStr">
        <is>
          <t>YES_NO</t>
        </is>
      </c>
      <c r="F161" s="4" t="inlineStr"/>
      <c r="G161" s="4" t="inlineStr">
        <is>
          <t>Bei Hydraulikaufzügen nicht gefragt: das Nachregulieren bei Druckverlust setzt die Türüberbrückung immer voraus (Entscheidung 02.09.2026, K-K12).</t>
        </is>
      </c>
      <c r="H161" s="4" t="inlineStr">
        <is>
          <t>NICHT 3.1 Aufzugsart in [„Hydraulikaufzug", „Seil-Hydraulikaufzug (indirekt)"]</t>
        </is>
      </c>
      <c r="I161" s="4" t="inlineStr">
        <is>
          <t>MF-K12, MF-M08</t>
        </is>
      </c>
    </row>
    <row r="162">
      <c r="A162" s="2" t="inlineStr">
        <is>
          <t>qk_schutz_aufwaerts</t>
        </is>
      </c>
      <c r="B162" s="2" t="inlineStr">
        <is>
          <t>8.28</t>
        </is>
      </c>
      <c r="C162" s="2" t="inlineStr">
        <is>
          <t>K – Fahrkorb</t>
        </is>
      </c>
      <c r="D162" s="2" t="inlineStr">
        <is>
          <t>Schutz gegen Übergeschwindigkeit aufwärts / Sturz nach oben</t>
        </is>
      </c>
      <c r="E162" s="2" t="inlineStr">
        <is>
          <t>SELECT</t>
        </is>
      </c>
      <c r="F162" s="2" t="inlineStr">
        <is>
          <t>Aktive Maßnahme (Notbremssystem / SAFÜ auf Seil oder Treibscheibe)
Passive Maßnahme (geringer Beschleunigungsweg, Gegengewichtsverhältnis)
Nicht verhindert</t>
        </is>
      </c>
      <c r="G162" s="2" t="inlineStr"/>
      <c r="H162" s="2" t="inlineStr">
        <is>
          <t>(3.1 Aufzugsart in [„Seil-/Riemenaufzug (Treibscheibe)", „Trommel- oder Kettenaufzug", „Seil-Hydraulikaufzug (indirekt)"] UND 3.1b Gegengewicht oder Ausgleichsgewicht vorhanden? = Ja)</t>
        </is>
      </c>
      <c r="I162" s="2" t="inlineStr">
        <is>
          <t>MF-K13, MF-K14</t>
        </is>
      </c>
    </row>
    <row r="163">
      <c r="A163" s="4" t="inlineStr">
        <is>
          <t>qk_beleuchtung</t>
        </is>
      </c>
      <c r="B163" s="4" t="inlineStr">
        <is>
          <t>8.29</t>
        </is>
      </c>
      <c r="C163" s="4" t="inlineStr">
        <is>
          <t>K – Fahrkorb</t>
        </is>
      </c>
      <c r="D163" s="4" t="inlineStr">
        <is>
          <t>Beleuchtung im Fahrkorb (Normalbetrieb)</t>
        </is>
      </c>
      <c r="E163" s="4" t="inlineStr">
        <is>
          <t>SELECT</t>
        </is>
      </c>
      <c r="F163" s="4" t="inlineStr">
        <is>
          <t>Mindestens 100 Lux an den Befehlsgebern und 1 m über dem Boden bis 100 mm an die Wände
Beleuchtung vorhanden, aber unter 100 Lux, einzelne Lampen defekt oder stark vergilbte Abdeckung
Keine funktionsfähige Beleuchtung im Fahrkorb</t>
        </is>
      </c>
      <c r="G163" s="4" t="inlineStr">
        <is>
          <t>EN 81-20 5.4.10.1: gemessen an den Befehlsgebern und 1 m über dem Boden an allen Stellen, die nicht mehr als 100 mm von einer Wand entfernt sind. Schatten durch Handlauf oder Klappsitz dürfen vernachlässigt werden.</t>
        </is>
      </c>
      <c r="H163" s="4" t="inlineStr"/>
      <c r="I163" s="4" t="inlineStr">
        <is>
          <t>MF-K15</t>
        </is>
      </c>
    </row>
    <row r="164">
      <c r="A164" s="2" t="inlineStr">
        <is>
          <t>qk_bel_zwei_lampen</t>
        </is>
      </c>
      <c r="B164" s="2" t="inlineStr">
        <is>
          <t>8.29a</t>
        </is>
      </c>
      <c r="C164" s="2" t="inlineStr">
        <is>
          <t>K – Fahrkorb</t>
        </is>
      </c>
      <c r="D164" s="2" t="inlineStr">
        <is>
          <t>Mindestens zwei parallel geschaltete Lampen im Fahrkorb?</t>
        </is>
      </c>
      <c r="E164" s="2" t="inlineStr">
        <is>
          <t>YES_NO</t>
        </is>
      </c>
      <c r="F164" s="2" t="inlineStr"/>
      <c r="G164" s="2" t="inlineStr">
        <is>
          <t>EN 81-20 5.4.10.2: Ausfall einer Lampe darf den Fahrkorb nicht dunkel werden lassen.</t>
        </is>
      </c>
      <c r="H164" s="2" t="inlineStr"/>
      <c r="I164" s="2" t="inlineStr">
        <is>
          <t>MF-K15</t>
        </is>
      </c>
    </row>
    <row r="165">
      <c r="A165" s="4" t="inlineStr">
        <is>
          <t>qk_bel_staendig</t>
        </is>
      </c>
      <c r="B165" s="4" t="inlineStr">
        <is>
          <t>8.29b</t>
        </is>
      </c>
      <c r="C165" s="4" t="inlineStr">
        <is>
          <t>K – Fahrkorb</t>
        </is>
      </c>
      <c r="D165" s="4" t="inlineStr">
        <is>
          <t>Fahrkorb ständig beleuchtet (Ausnahme: Parken mit geschlossenen Türen)?</t>
        </is>
      </c>
      <c r="E165" s="4" t="inlineStr">
        <is>
          <t>YES_NO</t>
        </is>
      </c>
      <c r="F165" s="4" t="inlineStr"/>
      <c r="G165" s="4" t="inlineStr">
        <is>
          <t>EN 81-20 5.4.10.3.</t>
        </is>
      </c>
      <c r="H165" s="4" t="inlineStr"/>
      <c r="I165" s="4" t="inlineStr">
        <is>
          <t>MF-K15</t>
        </is>
      </c>
    </row>
    <row r="166">
      <c r="A166" s="2" t="inlineStr">
        <is>
          <t>qf_spalt_mm</t>
        </is>
      </c>
      <c r="B166" s="2" t="inlineStr">
        <is>
          <t>9.1</t>
        </is>
      </c>
      <c r="C166" s="2" t="inlineStr">
        <is>
          <t>F – Fahrkorbdach und Schachtkopf</t>
        </is>
      </c>
      <c r="D166" s="2" t="inlineStr">
        <is>
          <t>Größter horizontaler Abstand zwischen Fahrkorbdachkante und Schachtwand [mm]</t>
        </is>
      </c>
      <c r="E166" s="2" t="inlineStr">
        <is>
          <t>NUMBER</t>
        </is>
      </c>
      <c r="F166" s="2" t="inlineStr"/>
      <c r="G166" s="2" t="inlineStr"/>
      <c r="H166" s="2" t="inlineStr"/>
      <c r="I166" s="2" t="inlineStr">
        <is>
          <t>MF-F01</t>
        </is>
      </c>
    </row>
    <row r="167">
      <c r="A167" s="4" t="inlineStr">
        <is>
          <t>qf_gelaender</t>
        </is>
      </c>
      <c r="B167" s="4" t="inlineStr">
        <is>
          <t>9.2</t>
        </is>
      </c>
      <c r="C167" s="4" t="inlineStr">
        <is>
          <t>F – Fahrkorbdach und Schachtkopf</t>
        </is>
      </c>
      <c r="D167" s="4" t="inlineStr">
        <is>
          <t>Geländer auf dem Fahrkorbdach vorhanden?</t>
        </is>
      </c>
      <c r="E167" s="4" t="inlineStr">
        <is>
          <t>YES_NO</t>
        </is>
      </c>
      <c r="F167" s="4" t="inlineStr"/>
      <c r="G167" s="4" t="inlineStr"/>
      <c r="H167" s="4" t="inlineStr">
        <is>
          <t>9.1 Größter horizontaler Abstand zwischen Fahrkorbdachkante und Schachtwand [mm] &gt; 300</t>
        </is>
      </c>
      <c r="I167" s="4" t="inlineStr">
        <is>
          <t>MF-F01</t>
        </is>
      </c>
    </row>
    <row r="168">
      <c r="A168" s="2" t="inlineStr">
        <is>
          <t>qf_gelaender_hoehe_mm</t>
        </is>
      </c>
      <c r="B168" s="2" t="inlineStr">
        <is>
          <t>9.3</t>
        </is>
      </c>
      <c r="C168" s="2" t="inlineStr">
        <is>
          <t>F – Fahrkorbdach und Schachtkopf</t>
        </is>
      </c>
      <c r="D168" s="2" t="inlineStr">
        <is>
          <t>Geländerhöhe [mm]</t>
        </is>
      </c>
      <c r="E168" s="2" t="inlineStr">
        <is>
          <t>NUMBER</t>
        </is>
      </c>
      <c r="F168" s="2" t="inlineStr"/>
      <c r="G168" s="2" t="inlineStr"/>
      <c r="H168" s="2" t="inlineStr">
        <is>
          <t>9.2 Geländer auf dem Fahrkorbdach vorhanden? = Ja</t>
        </is>
      </c>
      <c r="I168" s="2" t="inlineStr">
        <is>
          <t>MF-F01</t>
        </is>
      </c>
    </row>
    <row r="169">
      <c r="A169" s="4" t="inlineStr">
        <is>
          <t>qf_fussleiste</t>
        </is>
      </c>
      <c r="B169" s="4" t="inlineStr">
        <is>
          <t>9.4</t>
        </is>
      </c>
      <c r="C169" s="4" t="inlineStr">
        <is>
          <t>F – Fahrkorbdach und Schachtkopf</t>
        </is>
      </c>
      <c r="D169" s="4" t="inlineStr">
        <is>
          <t>Fußleiste (mind. 100 mm) am Rand des Fahrkorbdachs vorhanden?</t>
        </is>
      </c>
      <c r="E169" s="4" t="inlineStr">
        <is>
          <t>YES_NO</t>
        </is>
      </c>
      <c r="F169" s="4" t="inlineStr"/>
      <c r="G169" s="4" t="inlineStr"/>
      <c r="H169" s="4" t="inlineStr"/>
      <c r="I169" s="4" t="inlineStr">
        <is>
          <t>MF-F01</t>
        </is>
      </c>
    </row>
    <row r="170">
      <c r="A170" s="2" t="inlineStr">
        <is>
          <t>qf_einzugstellen</t>
        </is>
      </c>
      <c r="B170" s="2" t="inlineStr">
        <is>
          <t>9.5</t>
        </is>
      </c>
      <c r="C170" s="2" t="inlineStr">
        <is>
          <t>F – Fahrkorbdach und Schachtkopf</t>
        </is>
      </c>
      <c r="D170" s="2" t="inlineStr">
        <is>
          <t>Einzugstellen im Schachtkopf / auf dem Fahrkorbdach vorhanden (Umlenkrollen, Heberrolle, Seilrollen)?</t>
        </is>
      </c>
      <c r="E170" s="2" t="inlineStr">
        <is>
          <t>YES_NO</t>
        </is>
      </c>
      <c r="F170" s="2" t="inlineStr"/>
      <c r="G170" s="2" t="inlineStr"/>
      <c r="H170" s="2" t="inlineStr"/>
      <c r="I170" s="2" t="inlineStr">
        <is>
          <t>MF-F02</t>
        </is>
      </c>
    </row>
    <row r="171">
      <c r="A171" s="4" t="inlineStr">
        <is>
          <t>qf_einzug_abdeckung</t>
        </is>
      </c>
      <c r="B171" s="4" t="inlineStr">
        <is>
          <t>9.5a</t>
        </is>
      </c>
      <c r="C171" s="4" t="inlineStr">
        <is>
          <t>F – Fahrkorbdach und Schachtkopf</t>
        </is>
      </c>
      <c r="D171" s="4" t="inlineStr">
        <is>
          <t>Abdeckung der Einzugstellen</t>
        </is>
      </c>
      <c r="E171" s="4" t="inlineStr">
        <is>
          <t>SELECT</t>
        </is>
      </c>
      <c r="F171" s="4" t="inlineStr">
        <is>
          <t>Komplett abgedeckt
Teilweise abgedeckt
Einzugstellen offen</t>
        </is>
      </c>
      <c r="G171" s="4" t="inlineStr"/>
      <c r="H171" s="4" t="inlineStr">
        <is>
          <t>9.5 Einzugstellen im Schachtkopf / auf dem Fahrkorbdach vorhanden (Umlenkrollen, Heberrolle, Seilrollen)? = Ja</t>
        </is>
      </c>
      <c r="I171" s="4" t="inlineStr">
        <is>
          <t>MF-F02</t>
        </is>
      </c>
    </row>
    <row r="172">
      <c r="A172" s="2" t="inlineStr">
        <is>
          <t>qf_nachbar_trennung</t>
        </is>
      </c>
      <c r="B172" s="2" t="inlineStr">
        <is>
          <t>9.6</t>
        </is>
      </c>
      <c r="C172" s="2" t="inlineStr">
        <is>
          <t>F – Fahrkorbdach und Schachtkopf</t>
        </is>
      </c>
      <c r="D172" s="2" t="inlineStr">
        <is>
          <t>Abtrennung zum Nachbaraufzug / Nachbar-Gegengewicht im Bereich des Fahrkorbdachs</t>
        </is>
      </c>
      <c r="E172" s="2" t="inlineStr">
        <is>
          <t>SELECT</t>
        </is>
      </c>
      <c r="F172" s="2" t="inlineStr">
        <is>
          <t>Gefahrstellen komplett abgedeckt
Engmaschiges Trenngitter
Ausreichende Abstände (kein Erreichen möglich)
Teilweise Abdeckungen
Grobmaschiges Trenngitter oder Spanndrähte
Keine Abdeckung / kein Trenngitter</t>
        </is>
      </c>
      <c r="G172" s="2" t="inlineStr"/>
      <c r="H172" s="2" t="inlineStr">
        <is>
          <t>4.8 Mehrere Aufzüge in einem gemeinsamen Schacht? = Ja</t>
        </is>
      </c>
      <c r="I172" s="2" t="inlineStr">
        <is>
          <t>MF-F03</t>
        </is>
      </c>
    </row>
    <row r="173">
      <c r="A173" s="4" t="inlineStr">
        <is>
          <t>qf_schutzraum</t>
        </is>
      </c>
      <c r="B173" s="4" t="inlineStr">
        <is>
          <t>9.7</t>
        </is>
      </c>
      <c r="C173" s="4" t="inlineStr">
        <is>
          <t>F – Fahrkorbdach und Schachtkopf</t>
        </is>
      </c>
      <c r="D173" s="4" t="inlineStr">
        <is>
          <t>Schutzraum im Schachtkopf</t>
        </is>
      </c>
      <c r="E173" s="4" t="inlineStr">
        <is>
          <t>SELECT</t>
        </is>
      </c>
      <c r="F173" s="4" t="inlineStr">
        <is>
          <t>Schutzraum nach EN 81-20 vorhanden (Abmessungen eingehalten)
Schutzraum nach TRA 200 / EN 81-1/-2 (kleiner als EN 81-20)
Reduzierter Schachtkopf mit wirksamer Zusatzeinrichtung und Betriebsanweisung
Schutzraum nicht gegeben (z. B. nachträgliche Einbauten)</t>
        </is>
      </c>
      <c r="G173" s="4" t="inlineStr"/>
      <c r="H173" s="4" t="inlineStr"/>
      <c r="I173" s="4" t="inlineStr">
        <is>
          <t>MF-F04</t>
        </is>
      </c>
    </row>
    <row r="174">
      <c r="A174" s="2" t="inlineStr">
        <is>
          <t>qf_kopffreiheit_gekennz</t>
        </is>
      </c>
      <c r="B174" s="2" t="inlineStr">
        <is>
          <t>9.7a</t>
        </is>
      </c>
      <c r="C174" s="2" t="inlineStr">
        <is>
          <t>F – Fahrkorbdach und Schachtkopf</t>
        </is>
      </c>
      <c r="D174" s="2" t="inlineStr">
        <is>
          <t>Warnkennzeichnung zur reduzierten Kopffreiheit vorhanden?</t>
        </is>
      </c>
      <c r="E174" s="2" t="inlineStr">
        <is>
          <t>YES_NO</t>
        </is>
      </c>
      <c r="F174" s="2" t="inlineStr"/>
      <c r="G174" s="2" t="inlineStr"/>
      <c r="H174" s="2" t="inlineStr">
        <is>
          <t>9.7 Schutzraum im Schachtkopf = „Reduzierter Schachtkopf mit wirksamer Zusatzeinrichtung und Betriebsanweisung"</t>
        </is>
      </c>
      <c r="I174" s="2" t="inlineStr">
        <is>
          <t>MF-F04</t>
        </is>
      </c>
    </row>
    <row r="175">
      <c r="A175" s="4" t="inlineStr">
        <is>
          <t>qf_inspektion</t>
        </is>
      </c>
      <c r="B175" s="4" t="inlineStr">
        <is>
          <t>9.8</t>
        </is>
      </c>
      <c r="C175" s="4" t="inlineStr">
        <is>
          <t>F – Fahrkorbdach und Schachtkopf</t>
        </is>
      </c>
      <c r="D175" s="4" t="inlineStr">
        <is>
          <t>Inspektionssteuerung auf dem Fahrkorbdach vorhanden?</t>
        </is>
      </c>
      <c r="E175" s="4" t="inlineStr">
        <is>
          <t>YES_NO</t>
        </is>
      </c>
      <c r="F175" s="4" t="inlineStr"/>
      <c r="G175" s="4" t="inlineStr"/>
      <c r="H175" s="4" t="inlineStr"/>
      <c r="I175" s="4" t="inlineStr">
        <is>
          <t>MF-F05</t>
        </is>
      </c>
    </row>
    <row r="176">
      <c r="A176" s="2" t="inlineStr">
        <is>
          <t>qf_inspektion_schutz</t>
        </is>
      </c>
      <c r="B176" s="2" t="inlineStr">
        <is>
          <t>9.8a</t>
        </is>
      </c>
      <c r="C176" s="2" t="inlineStr">
        <is>
          <t>F – Fahrkorbdach und Schachtkopf</t>
        </is>
      </c>
      <c r="D176" s="2" t="inlineStr">
        <is>
          <t>Inspektionssteuerung gegen unbeabsichtigtes Betätigen geschützt?</t>
        </is>
      </c>
      <c r="E176" s="2" t="inlineStr">
        <is>
          <t>YES_NO</t>
        </is>
      </c>
      <c r="F176" s="2" t="inlineStr"/>
      <c r="G176" s="2" t="inlineStr"/>
      <c r="H176" s="2" t="inlineStr">
        <is>
          <t>9.8 Inspektionssteuerung auf dem Fahrkorbdach vorhanden? = Ja</t>
        </is>
      </c>
      <c r="I176" s="2" t="inlineStr">
        <is>
          <t>MF-F05</t>
        </is>
      </c>
    </row>
    <row r="177">
      <c r="A177" s="4" t="inlineStr">
        <is>
          <t>qf_inspektion_erreichbar</t>
        </is>
      </c>
      <c r="B177" s="4" t="inlineStr">
        <is>
          <t>9.8b</t>
        </is>
      </c>
      <c r="C177" s="4" t="inlineStr">
        <is>
          <t>F – Fahrkorbdach und Schachtkopf</t>
        </is>
      </c>
      <c r="D177" s="4" t="inlineStr">
        <is>
          <t>Inspektionssteuerung vom Zugang aus gut erreichbar?</t>
        </is>
      </c>
      <c r="E177" s="4" t="inlineStr">
        <is>
          <t>YES_NO</t>
        </is>
      </c>
      <c r="F177" s="4" t="inlineStr"/>
      <c r="G177" s="4" t="inlineStr"/>
      <c r="H177" s="4" t="inlineStr">
        <is>
          <t>9.8 Inspektionssteuerung auf dem Fahrkorbdach vorhanden? = Ja</t>
        </is>
      </c>
      <c r="I177" s="4" t="inlineStr">
        <is>
          <t>MF-F05</t>
        </is>
      </c>
    </row>
    <row r="178">
      <c r="A178" s="2" t="inlineStr">
        <is>
          <t>qf_inspektion_geschw</t>
        </is>
      </c>
      <c r="B178" s="2" t="inlineStr">
        <is>
          <t>9.8c</t>
        </is>
      </c>
      <c r="C178" s="2" t="inlineStr">
        <is>
          <t>F – Fahrkorbdach und Schachtkopf</t>
        </is>
      </c>
      <c r="D178" s="2" t="inlineStr">
        <is>
          <t>Inspektionsgeschwindigkeit max. 0,63 m/s?</t>
        </is>
      </c>
      <c r="E178" s="2" t="inlineStr">
        <is>
          <t>YES_NO</t>
        </is>
      </c>
      <c r="F178" s="2" t="inlineStr"/>
      <c r="G178" s="2" t="inlineStr"/>
      <c r="H178" s="2" t="inlineStr">
        <is>
          <t>9.8 Inspektionssteuerung auf dem Fahrkorbdach vorhanden? = Ja</t>
        </is>
      </c>
      <c r="I178" s="2" t="inlineStr">
        <is>
          <t>MF-F05</t>
        </is>
      </c>
    </row>
    <row r="179">
      <c r="A179" s="4" t="inlineStr">
        <is>
          <t>qf_nothalt</t>
        </is>
      </c>
      <c r="B179" s="4" t="inlineStr">
        <is>
          <t>9.9</t>
        </is>
      </c>
      <c r="C179" s="4" t="inlineStr">
        <is>
          <t>F – Fahrkorbdach und Schachtkopf</t>
        </is>
      </c>
      <c r="D179" s="4" t="inlineStr">
        <is>
          <t>Notbremsschalter (Not-Halt) auf dem Fahrkorbdach vorhanden?</t>
        </is>
      </c>
      <c r="E179" s="4" t="inlineStr">
        <is>
          <t>YES_NO</t>
        </is>
      </c>
      <c r="F179" s="4" t="inlineStr"/>
      <c r="G179" s="4" t="inlineStr"/>
      <c r="H179" s="4" t="inlineStr"/>
      <c r="I179" s="4" t="inlineStr">
        <is>
          <t>MF-F06</t>
        </is>
      </c>
    </row>
    <row r="180">
      <c r="A180" s="2" t="inlineStr">
        <is>
          <t>qf_nothalt_erreichbar</t>
        </is>
      </c>
      <c r="B180" s="2" t="inlineStr">
        <is>
          <t>9.9a</t>
        </is>
      </c>
      <c r="C180" s="2" t="inlineStr">
        <is>
          <t>F – Fahrkorbdach und Schachtkopf</t>
        </is>
      </c>
      <c r="D180" s="2" t="inlineStr">
        <is>
          <t>Not-Halt vom Zugang aus erreichbar?</t>
        </is>
      </c>
      <c r="E180" s="2" t="inlineStr">
        <is>
          <t>YES_NO</t>
        </is>
      </c>
      <c r="F180" s="2" t="inlineStr"/>
      <c r="G180" s="2" t="inlineStr"/>
      <c r="H180" s="2" t="inlineStr">
        <is>
          <t>9.9 Notbremsschalter (Not-Halt) auf dem Fahrkorbdach vorhanden? = Ja</t>
        </is>
      </c>
      <c r="I180" s="2" t="inlineStr">
        <is>
          <t>MF-F06</t>
        </is>
      </c>
    </row>
    <row r="181">
      <c r="A181" s="4" t="inlineStr">
        <is>
          <t>qf_nothalt_wirksam</t>
        </is>
      </c>
      <c r="B181" s="4" t="inlineStr">
        <is>
          <t>9.9b</t>
        </is>
      </c>
      <c r="C181" s="4" t="inlineStr">
        <is>
          <t>F – Fahrkorbdach und Schachtkopf</t>
        </is>
      </c>
      <c r="D181" s="4" t="inlineStr">
        <is>
          <t>Not-Halt wirksam (Funktion geprüft)?</t>
        </is>
      </c>
      <c r="E181" s="4" t="inlineStr">
        <is>
          <t>YES_NO</t>
        </is>
      </c>
      <c r="F181" s="4" t="inlineStr"/>
      <c r="G181" s="4" t="inlineStr"/>
      <c r="H181" s="4" t="inlineStr">
        <is>
          <t>9.9 Notbremsschalter (Not-Halt) auf dem Fahrkorbdach vorhanden? = Ja</t>
        </is>
      </c>
      <c r="I181" s="4" t="inlineStr">
        <is>
          <t>MF-F06</t>
        </is>
      </c>
    </row>
    <row r="182">
      <c r="A182" s="2" t="inlineStr">
        <is>
          <t>qf_dach_tragfaehig</t>
        </is>
      </c>
      <c r="B182" s="2" t="inlineStr">
        <is>
          <t>9.10</t>
        </is>
      </c>
      <c r="C182" s="2" t="inlineStr">
        <is>
          <t>F – Fahrkorbdach und Schachtkopf</t>
        </is>
      </c>
      <c r="D182" s="2" t="inlineStr">
        <is>
          <t>Fahrkorbdach tragfähig (200 kg auf 0,30 m × 0,30 m)?</t>
        </is>
      </c>
      <c r="E182" s="2" t="inlineStr">
        <is>
          <t>YES_NO</t>
        </is>
      </c>
      <c r="F182" s="2" t="inlineStr"/>
      <c r="G182" s="2" t="inlineStr"/>
      <c r="H182" s="2" t="inlineStr"/>
      <c r="I182" s="2" t="inlineStr">
        <is>
          <t>MF-F07</t>
        </is>
      </c>
    </row>
    <row r="183">
      <c r="A183" s="4" t="inlineStr">
        <is>
          <t>qf_klappe</t>
        </is>
      </c>
      <c r="B183" s="4" t="inlineStr">
        <is>
          <t>9.11</t>
        </is>
      </c>
      <c r="C183" s="4" t="inlineStr">
        <is>
          <t>F – Fahrkorbdach und Schachtkopf</t>
        </is>
      </c>
      <c r="D183" s="4" t="inlineStr">
        <is>
          <t>Klappe / Notausstieg im Fahrkorbdach vorhanden?</t>
        </is>
      </c>
      <c r="E183" s="4" t="inlineStr">
        <is>
          <t>YES_NO</t>
        </is>
      </c>
      <c r="F183" s="4" t="inlineStr"/>
      <c r="G183" s="4" t="inlineStr"/>
      <c r="H183" s="4" t="inlineStr"/>
      <c r="I183" s="4" t="inlineStr">
        <is>
          <t>MF-F07</t>
        </is>
      </c>
    </row>
    <row r="184">
      <c r="A184" s="2" t="inlineStr">
        <is>
          <t>qf_klappe_ueberwacht</t>
        </is>
      </c>
      <c r="B184" s="2" t="inlineStr">
        <is>
          <t>9.11a</t>
        </is>
      </c>
      <c r="C184" s="2" t="inlineStr">
        <is>
          <t>F – Fahrkorbdach und Schachtkopf</t>
        </is>
      </c>
      <c r="D184" s="2" t="inlineStr">
        <is>
          <t>Klappe elektrisch überwacht (Sicherheitskreis)?</t>
        </is>
      </c>
      <c r="E184" s="2" t="inlineStr">
        <is>
          <t>YES_NO</t>
        </is>
      </c>
      <c r="F184" s="2" t="inlineStr"/>
      <c r="G184" s="2" t="inlineStr"/>
      <c r="H184" s="2" t="inlineStr">
        <is>
          <t>9.11 Klappe / Notausstieg im Fahrkorbdach vorhanden? = Ja</t>
        </is>
      </c>
      <c r="I184" s="2" t="inlineStr">
        <is>
          <t>MF-F07</t>
        </is>
      </c>
    </row>
    <row r="185">
      <c r="A185" s="4" t="inlineStr">
        <is>
          <t>qf_notbeleuchtung</t>
        </is>
      </c>
      <c r="B185" s="4" t="inlineStr">
        <is>
          <t>9.12</t>
        </is>
      </c>
      <c r="C185" s="4" t="inlineStr">
        <is>
          <t>F – Fahrkorbdach und Schachtkopf</t>
        </is>
      </c>
      <c r="D185" s="4" t="inlineStr">
        <is>
          <t>Notbeleuchtung auf dem Fahrkorbdach (mind. 5 Lux, 1 h) vorhanden?</t>
        </is>
      </c>
      <c r="E185" s="4" t="inlineStr">
        <is>
          <t>YES_NO</t>
        </is>
      </c>
      <c r="F185" s="4" t="inlineStr"/>
      <c r="G185" s="4" t="inlineStr"/>
      <c r="H185" s="4" t="inlineStr"/>
      <c r="I185" s="4" t="inlineStr">
        <is>
          <t>MF-F08</t>
        </is>
      </c>
    </row>
    <row r="186">
      <c r="A186" s="2" t="inlineStr">
        <is>
          <t>qf_notruf_dach</t>
        </is>
      </c>
      <c r="B186" s="2" t="inlineStr">
        <is>
          <t>9.13</t>
        </is>
      </c>
      <c r="C186" s="2" t="inlineStr">
        <is>
          <t>F – Fahrkorbdach und Schachtkopf</t>
        </is>
      </c>
      <c r="D186" s="2" t="inlineStr">
        <is>
          <t>Eindeutig erkennbarer Auslöser für den (Fern-)Notruf auf dem Fahrkorbdach vorhanden?</t>
        </is>
      </c>
      <c r="E186" s="2" t="inlineStr">
        <is>
          <t>YES_NO</t>
        </is>
      </c>
      <c r="F186" s="2" t="inlineStr"/>
      <c r="G186" s="2" t="inlineStr"/>
      <c r="H186" s="2" t="inlineStr"/>
      <c r="I186" s="2" t="inlineStr">
        <is>
          <t>MF-F09</t>
        </is>
      </c>
    </row>
    <row r="187">
      <c r="A187" s="4" t="inlineStr">
        <is>
          <t>qs_bel_vorhanden</t>
        </is>
      </c>
      <c r="B187" s="4" t="inlineStr">
        <is>
          <t>10.1</t>
        </is>
      </c>
      <c r="C187" s="4" t="inlineStr">
        <is>
          <t>S – Schacht</t>
        </is>
      </c>
      <c r="D187" s="4" t="inlineStr">
        <is>
          <t>Schachtbeleuchtung vorhanden?</t>
        </is>
      </c>
      <c r="E187" s="4" t="inlineStr">
        <is>
          <t>YES_NO</t>
        </is>
      </c>
      <c r="F187" s="4" t="inlineStr"/>
      <c r="G187" s="4" t="inlineStr"/>
      <c r="H187" s="4" t="inlineStr"/>
      <c r="I187" s="4" t="inlineStr">
        <is>
          <t>MF-S01</t>
        </is>
      </c>
    </row>
    <row r="188">
      <c r="A188" s="2" t="inlineStr">
        <is>
          <t>qs_bel_ausreichend</t>
        </is>
      </c>
      <c r="B188" s="2" t="inlineStr">
        <is>
          <t>10.1a</t>
        </is>
      </c>
      <c r="C188" s="2" t="inlineStr">
        <is>
          <t>S – Schacht</t>
        </is>
      </c>
      <c r="D188" s="2" t="inlineStr">
        <is>
          <t>Schachtbeleuchtung ausreichend (mind. 20 Lux, auch auf dem Fahrkorbdach)?</t>
        </is>
      </c>
      <c r="E188" s="2" t="inlineStr">
        <is>
          <t>YES_NO</t>
        </is>
      </c>
      <c r="F188" s="2" t="inlineStr"/>
      <c r="G188" s="2" t="inlineStr"/>
      <c r="H188" s="2" t="inlineStr">
        <is>
          <t>10.1 Schachtbeleuchtung vorhanden? = Ja</t>
        </is>
      </c>
      <c r="I188" s="2" t="inlineStr">
        <is>
          <t>MF-S01</t>
        </is>
      </c>
    </row>
    <row r="189">
      <c r="A189" s="4" t="inlineStr">
        <is>
          <t>qs_bel_splitterschutz</t>
        </is>
      </c>
      <c r="B189" s="4" t="inlineStr">
        <is>
          <t>10.1b</t>
        </is>
      </c>
      <c r="C189" s="4" t="inlineStr">
        <is>
          <t>S – Schacht</t>
        </is>
      </c>
      <c r="D189" s="4" t="inlineStr">
        <is>
          <t>Leuchten im Schacht mit Splitterschutz und an geeigneter Stelle?</t>
        </is>
      </c>
      <c r="E189" s="4" t="inlineStr">
        <is>
          <t>YES_NO</t>
        </is>
      </c>
      <c r="F189" s="4" t="inlineStr"/>
      <c r="G189" s="4" t="inlineStr"/>
      <c r="H189" s="4" t="inlineStr">
        <is>
          <t>10.1 Schachtbeleuchtung vorhanden? = Ja</t>
        </is>
      </c>
      <c r="I189" s="4" t="inlineStr">
        <is>
          <t>MF-S01</t>
        </is>
      </c>
    </row>
    <row r="190">
      <c r="A190" s="2" t="inlineStr">
        <is>
          <t>qs_zugang_bel</t>
        </is>
      </c>
      <c r="B190" s="2" t="inlineStr">
        <is>
          <t>10.2</t>
        </is>
      </c>
      <c r="C190" s="2" t="inlineStr">
        <is>
          <t>S – Schacht</t>
        </is>
      </c>
      <c r="D190" s="2" t="inlineStr">
        <is>
          <t>Beleuchtung an den Schachtzugängen (Haltestellen) mind. 75 Lux?</t>
        </is>
      </c>
      <c r="E190" s="2" t="inlineStr">
        <is>
          <t>YES_NO</t>
        </is>
      </c>
      <c r="F190" s="2" t="inlineStr"/>
      <c r="G190" s="2" t="inlineStr"/>
      <c r="H190" s="2" t="inlineStr"/>
      <c r="I190" s="2" t="inlineStr">
        <is>
          <t>MF-S02</t>
        </is>
      </c>
    </row>
    <row r="191">
      <c r="A191" s="4" t="inlineStr">
        <is>
          <t>qs_vollumwehrt</t>
        </is>
      </c>
      <c r="B191" s="4" t="inlineStr">
        <is>
          <t>10.3</t>
        </is>
      </c>
      <c r="C191" s="4" t="inlineStr">
        <is>
          <t>S – Schacht</t>
        </is>
      </c>
      <c r="D191" s="4" t="inlineStr">
        <is>
          <t>Schacht vollständig umwehrt (Wände, Decke, Boden)?</t>
        </is>
      </c>
      <c r="E191" s="4" t="inlineStr">
        <is>
          <t>YES_NO</t>
        </is>
      </c>
      <c r="F191" s="4" t="inlineStr"/>
      <c r="G191" s="4" t="inlineStr"/>
      <c r="H191" s="4" t="inlineStr"/>
      <c r="I191" s="4" t="inlineStr">
        <is>
          <t>MF-S03</t>
        </is>
      </c>
    </row>
    <row r="192">
      <c r="A192" s="2" t="inlineStr">
        <is>
          <t>qs_teilumwehrt_zulaessig</t>
        </is>
      </c>
      <c r="B192" s="2" t="inlineStr">
        <is>
          <t>10.3a</t>
        </is>
      </c>
      <c r="C192" s="2" t="inlineStr">
        <is>
          <t>S – Schacht</t>
        </is>
      </c>
      <c r="D192" s="2" t="inlineStr">
        <is>
          <t>Teilumwehrung nach EN 81-20 5.2.5.2.3 zulässig ausgeführt (Höhen, Abstände)?</t>
        </is>
      </c>
      <c r="E192" s="2" t="inlineStr">
        <is>
          <t>YES_NO</t>
        </is>
      </c>
      <c r="F192" s="2" t="inlineStr"/>
      <c r="G192" s="2" t="inlineStr"/>
      <c r="H192" s="2" t="inlineStr">
        <is>
          <t>10.3 Schacht vollständig umwehrt (Wände, Decke, Boden)? = Nein</t>
        </is>
      </c>
      <c r="I192" s="2" t="inlineStr">
        <is>
          <t>MF-S03</t>
        </is>
      </c>
    </row>
    <row r="193">
      <c r="A193" s="4" t="inlineStr">
        <is>
          <t>qs_wand_fest</t>
        </is>
      </c>
      <c r="B193" s="4" t="inlineStr">
        <is>
          <t>10.4</t>
        </is>
      </c>
      <c r="C193" s="4" t="inlineStr">
        <is>
          <t>S – Schacht</t>
        </is>
      </c>
      <c r="D193" s="4" t="inlineStr">
        <is>
          <t>Schachtwände ausreichend fest (100 kg auf 0,30 m × 0,30 m, keine Durchbrüche)?</t>
        </is>
      </c>
      <c r="E193" s="4" t="inlineStr">
        <is>
          <t>YES_NO</t>
        </is>
      </c>
      <c r="F193" s="4" t="inlineStr"/>
      <c r="G193" s="4" t="inlineStr"/>
      <c r="H193" s="4" t="inlineStr"/>
      <c r="I193" s="4" t="inlineStr">
        <is>
          <t>MF-S03</t>
        </is>
      </c>
    </row>
    <row r="194">
      <c r="A194" s="2" t="inlineStr">
        <is>
          <t>qs_glas_vsg</t>
        </is>
      </c>
      <c r="B194" s="2" t="inlineStr">
        <is>
          <t>10.5</t>
        </is>
      </c>
      <c r="C194" s="2" t="inlineStr">
        <is>
          <t>S – Schacht</t>
        </is>
      </c>
      <c r="D194" s="2" t="inlineStr">
        <is>
          <t>Nachweis Verbundsicherheitsglas für die Schachtverglasung vorhanden?</t>
        </is>
      </c>
      <c r="E194" s="2" t="inlineStr">
        <is>
          <t>YES_NO</t>
        </is>
      </c>
      <c r="F194" s="2" t="inlineStr"/>
      <c r="G194" s="2" t="inlineStr"/>
      <c r="H194" s="2" t="inlineStr">
        <is>
          <t>4.2 Schacht oder Schachtgerüst mit Glas? = Ja</t>
        </is>
      </c>
      <c r="I194" s="2" t="inlineStr">
        <is>
          <t>MF-S03</t>
        </is>
      </c>
    </row>
    <row r="195">
      <c r="A195" s="4" t="inlineStr">
        <is>
          <t>qs_schienen_stahl</t>
        </is>
      </c>
      <c r="B195" s="4" t="inlineStr">
        <is>
          <t>10.6</t>
        </is>
      </c>
      <c r="C195" s="4" t="inlineStr">
        <is>
          <t>S – Schacht</t>
        </is>
      </c>
      <c r="D195" s="4" t="inlineStr">
        <is>
          <t>Führungsschienen für Fahrkorb und Gegengewicht aus Stahl?</t>
        </is>
      </c>
      <c r="E195" s="4" t="inlineStr">
        <is>
          <t>YES_NO</t>
        </is>
      </c>
      <c r="F195" s="4" t="inlineStr"/>
      <c r="G195" s="4" t="inlineStr"/>
      <c r="H195" s="4" t="inlineStr"/>
      <c r="I195" s="4" t="inlineStr">
        <is>
          <t>MF-S04</t>
        </is>
      </c>
    </row>
    <row r="196">
      <c r="A196" s="2" t="inlineStr">
        <is>
          <t>qs_fang</t>
        </is>
      </c>
      <c r="B196" s="2" t="inlineStr">
        <is>
          <t>10.7</t>
        </is>
      </c>
      <c r="C196" s="2" t="inlineStr">
        <is>
          <t>S – Schacht</t>
        </is>
      </c>
      <c r="D196" s="2" t="inlineStr">
        <is>
          <t>Fangvorrichtung am Fahrkorb vorhanden?</t>
        </is>
      </c>
      <c r="E196" s="2" t="inlineStr">
        <is>
          <t>YES_NO</t>
        </is>
      </c>
      <c r="F196" s="2" t="inlineStr"/>
      <c r="G196" s="2" t="inlineStr"/>
      <c r="H196" s="2" t="inlineStr">
        <is>
          <t>3.1 Aufzugsart in [„Seil-/Riemenaufzug (Treibscheibe)", „Trommel- oder Kettenaufzug", „Seil-Hydraulikaufzug (indirekt)"]</t>
        </is>
      </c>
      <c r="I196" s="2" t="inlineStr">
        <is>
          <t>MF-S05</t>
        </is>
      </c>
    </row>
    <row r="197">
      <c r="A197" s="4" t="inlineStr">
        <is>
          <t>qs_begrenzer</t>
        </is>
      </c>
      <c r="B197" s="4" t="inlineStr">
        <is>
          <t>10.8</t>
        </is>
      </c>
      <c r="C197" s="4" t="inlineStr">
        <is>
          <t>S – Schacht</t>
        </is>
      </c>
      <c r="D197" s="4" t="inlineStr">
        <is>
          <t>Geschwindigkeitsbegrenzer vorhanden?</t>
        </is>
      </c>
      <c r="E197" s="4" t="inlineStr">
        <is>
          <t>YES_NO</t>
        </is>
      </c>
      <c r="F197" s="4" t="inlineStr"/>
      <c r="G197" s="4" t="inlineStr"/>
      <c r="H197" s="4" t="inlineStr">
        <is>
          <t>3.1 Aufzugsart in [„Seil-/Riemenaufzug (Treibscheibe)", „Trommel- oder Kettenaufzug", „Seil-Hydraulikaufzug (indirekt)"]</t>
        </is>
      </c>
      <c r="I197" s="4" t="inlineStr">
        <is>
          <t>MF-S05</t>
        </is>
      </c>
    </row>
    <row r="198">
      <c r="A198" s="2" t="inlineStr">
        <is>
          <t>qs_fang_geprueft</t>
        </is>
      </c>
      <c r="B198" s="2" t="inlineStr">
        <is>
          <t>10.9</t>
        </is>
      </c>
      <c r="C198" s="2" t="inlineStr">
        <is>
          <t>S – Schacht</t>
        </is>
      </c>
      <c r="D198" s="2" t="inlineStr">
        <is>
          <t>Prüfung von Fangvorrichtung und Begrenzer dokumentiert?</t>
        </is>
      </c>
      <c r="E198" s="2" t="inlineStr">
        <is>
          <t>YES_NO</t>
        </is>
      </c>
      <c r="F198" s="2" t="inlineStr"/>
      <c r="G198" s="2" t="inlineStr"/>
      <c r="H198" s="2" t="inlineStr">
        <is>
          <t>(10.7 Fangvorrichtung am Fahrkorb vorhanden? = Ja UND 10.8 Geschwindigkeitsbegrenzer vorhanden? = Ja)</t>
        </is>
      </c>
      <c r="I198" s="2" t="inlineStr">
        <is>
          <t>MF-S05</t>
        </is>
      </c>
    </row>
    <row r="199">
      <c r="A199" s="4" t="inlineStr">
        <is>
          <t>qs_spanngewicht_schalter</t>
        </is>
      </c>
      <c r="B199" s="4" t="inlineStr">
        <is>
          <t>10.10</t>
        </is>
      </c>
      <c r="C199" s="4" t="inlineStr">
        <is>
          <t>S – Schacht</t>
        </is>
      </c>
      <c r="D199" s="4" t="inlineStr">
        <is>
          <t>Spanngewicht des Begrenzerseils mit Schlaffseilschalter?</t>
        </is>
      </c>
      <c r="E199" s="4" t="inlineStr">
        <is>
          <t>YES_NO</t>
        </is>
      </c>
      <c r="F199" s="4" t="inlineStr"/>
      <c r="G199" s="4" t="inlineStr"/>
      <c r="H199" s="4" t="inlineStr">
        <is>
          <t>10.8 Geschwindigkeitsbegrenzer vorhanden? = Ja</t>
        </is>
      </c>
      <c r="I199" s="4" t="inlineStr">
        <is>
          <t>MF-S05</t>
        </is>
      </c>
    </row>
    <row r="200">
      <c r="A200" s="2" t="inlineStr">
        <is>
          <t>qs_schlaffseil</t>
        </is>
      </c>
      <c r="B200" s="2" t="inlineStr">
        <is>
          <t>10.11</t>
        </is>
      </c>
      <c r="C200" s="2" t="inlineStr">
        <is>
          <t>S – Schacht</t>
        </is>
      </c>
      <c r="D200" s="2" t="inlineStr">
        <is>
          <t>Schlaffseil-/Schlaffkettensicherung vorhanden?</t>
        </is>
      </c>
      <c r="E200" s="2" t="inlineStr">
        <is>
          <t>YES_NO</t>
        </is>
      </c>
      <c r="F200" s="2" t="inlineStr"/>
      <c r="G200" s="2" t="inlineStr"/>
      <c r="H200" s="2" t="inlineStr">
        <is>
          <t>3.1 Aufzugsart = „Trommel- oder Kettenaufzug"</t>
        </is>
      </c>
      <c r="I200" s="2" t="inlineStr">
        <is>
          <t>MF-S05</t>
        </is>
      </c>
    </row>
    <row r="201">
      <c r="A201" s="4" t="inlineStr">
        <is>
          <t>qs_fremd_frei</t>
        </is>
      </c>
      <c r="B201" s="4" t="inlineStr">
        <is>
          <t>10.12</t>
        </is>
      </c>
      <c r="C201" s="4" t="inlineStr">
        <is>
          <t>S – Schacht</t>
        </is>
      </c>
      <c r="D201" s="4" t="inlineStr">
        <is>
          <t>Schacht frei von aufzugsfremden Einrichtungen?</t>
        </is>
      </c>
      <c r="E201" s="4" t="inlineStr">
        <is>
          <t>YES_NO</t>
        </is>
      </c>
      <c r="F201" s="4" t="inlineStr"/>
      <c r="G201" s="4" t="inlineStr"/>
      <c r="H201" s="4" t="inlineStr"/>
      <c r="I201" s="4" t="inlineStr">
        <is>
          <t>MF-S06</t>
        </is>
      </c>
    </row>
    <row r="202">
      <c r="A202" s="2" t="inlineStr">
        <is>
          <t>qs_fremd_fachgerecht</t>
        </is>
      </c>
      <c r="B202" s="2" t="inlineStr">
        <is>
          <t>10.12a</t>
        </is>
      </c>
      <c r="C202" s="2" t="inlineStr">
        <is>
          <t>S – Schacht</t>
        </is>
      </c>
      <c r="D202" s="2" t="inlineStr">
        <is>
          <t>Aufzugsfremde Leitungen fachgerecht verlegt und gekennzeichnet?</t>
        </is>
      </c>
      <c r="E202" s="2" t="inlineStr">
        <is>
          <t>YES_NO</t>
        </is>
      </c>
      <c r="F202" s="2" t="inlineStr"/>
      <c r="G202" s="2" t="inlineStr"/>
      <c r="H202" s="2" t="inlineStr">
        <is>
          <t>10.12 Schacht frei von aufzugsfremden Einrichtungen? = Nein</t>
        </is>
      </c>
      <c r="I202" s="2" t="inlineStr">
        <is>
          <t>MF-S06</t>
        </is>
      </c>
    </row>
    <row r="203">
      <c r="A203" s="4" t="inlineStr">
        <is>
          <t>qs_fremd_behindert</t>
        </is>
      </c>
      <c r="B203" s="4" t="inlineStr">
        <is>
          <t>10.12b</t>
        </is>
      </c>
      <c r="C203" s="4" t="inlineStr">
        <is>
          <t>S – Schacht</t>
        </is>
      </c>
      <c r="D203" s="4" t="inlineStr">
        <is>
          <t>Behindern aufzugsfremde Einrichtungen Arbeiten oder Rettungswege im Schacht?</t>
        </is>
      </c>
      <c r="E203" s="4" t="inlineStr">
        <is>
          <t>YES_NO</t>
        </is>
      </c>
      <c r="F203" s="4" t="inlineStr"/>
      <c r="G203" s="4" t="inlineStr"/>
      <c r="H203" s="4" t="inlineStr">
        <is>
          <t>10.12 Schacht frei von aufzugsfremden Einrichtungen? = Nein</t>
        </is>
      </c>
      <c r="I203" s="4" t="inlineStr">
        <is>
          <t>MF-S06</t>
        </is>
      </c>
    </row>
    <row r="204">
      <c r="A204" s="2" t="inlineStr">
        <is>
          <t>qs_zugang_schacht_sicher</t>
        </is>
      </c>
      <c r="B204" s="2" t="inlineStr">
        <is>
          <t>10.13</t>
        </is>
      </c>
      <c r="C204" s="2" t="inlineStr">
        <is>
          <t>S – Schacht</t>
        </is>
      </c>
      <c r="D204" s="2" t="inlineStr">
        <is>
          <t>Zugänge zum Schacht (Schachttüren, Inspektionstüren) und die zugehörigen Schalteinrichtungen frei und sicher begehbar?</t>
        </is>
      </c>
      <c r="E204" s="2" t="inlineStr">
        <is>
          <t>YES_NO</t>
        </is>
      </c>
      <c r="F204" s="2" t="inlineStr"/>
      <c r="G204" s="2" t="inlineStr"/>
      <c r="H204" s="2" t="inlineStr"/>
      <c r="I204" s="2" t="inlineStr">
        <is>
          <t>MF-S07</t>
        </is>
      </c>
    </row>
    <row r="205">
      <c r="A205" s="4" t="inlineStr">
        <is>
          <t>qs_asbest</t>
        </is>
      </c>
      <c r="B205" s="4" t="inlineStr">
        <is>
          <t>10.20</t>
        </is>
      </c>
      <c r="C205" s="4" t="inlineStr">
        <is>
          <t>S – Schacht</t>
        </is>
      </c>
      <c r="D205" s="4" t="inlineStr">
        <is>
          <t>Asbesthaltige oder andere schädliche Baustoffe im Schacht / am Fahrkorb (Bremsbeläge, Dichtungen, Brandschutzplatten, Isolierungen)?</t>
        </is>
      </c>
      <c r="E205" s="4" t="inlineStr">
        <is>
          <t>YES_NO</t>
        </is>
      </c>
      <c r="F205" s="4" t="inlineStr"/>
      <c r="G205" s="4" t="inlineStr"/>
      <c r="H205" s="4" t="inlineStr"/>
      <c r="I205" s="4" t="inlineStr">
        <is>
          <t>MF-U01</t>
        </is>
      </c>
    </row>
    <row r="206">
      <c r="A206" s="2" t="inlineStr">
        <is>
          <t>qs_verschmutzung</t>
        </is>
      </c>
      <c r="B206" s="2" t="inlineStr">
        <is>
          <t>10.21</t>
        </is>
      </c>
      <c r="C206" s="2" t="inlineStr">
        <is>
          <t>S – Schacht</t>
        </is>
      </c>
      <c r="D206" s="2" t="inlineStr">
        <is>
          <t>Erhebliche Verschmutzungen (Taubenkot, Unrat, Schimmel, Ablagerungen) im Schacht / am Fahrkorb?</t>
        </is>
      </c>
      <c r="E206" s="2" t="inlineStr">
        <is>
          <t>YES_NO</t>
        </is>
      </c>
      <c r="F206" s="2" t="inlineStr"/>
      <c r="G206" s="2" t="inlineStr"/>
      <c r="H206" s="2" t="inlineStr"/>
      <c r="I206" s="2" t="inlineStr">
        <is>
          <t>MF-U02</t>
        </is>
      </c>
    </row>
    <row r="207">
      <c r="A207" s="4" t="inlineStr">
        <is>
          <t>qs_brennbar_lager</t>
        </is>
      </c>
      <c r="B207" s="4" t="inlineStr">
        <is>
          <t>10.22</t>
        </is>
      </c>
      <c r="C207" s="4" t="inlineStr">
        <is>
          <t>S – Schacht</t>
        </is>
      </c>
      <c r="D207" s="4" t="inlineStr">
        <is>
          <t>Lagerung brennbarer oder leicht entzündlicher Stoffe im Schacht / am Fahrkorb?</t>
        </is>
      </c>
      <c r="E207" s="4" t="inlineStr">
        <is>
          <t>YES_NO</t>
        </is>
      </c>
      <c r="F207" s="4" t="inlineStr"/>
      <c r="G207" s="4" t="inlineStr"/>
      <c r="H207" s="4" t="inlineStr"/>
      <c r="I207" s="4" t="inlineStr">
        <is>
          <t>MF-U03</t>
        </is>
      </c>
    </row>
    <row r="208">
      <c r="A208" s="2" t="inlineStr">
        <is>
          <t>qg_bel_vorhanden</t>
        </is>
      </c>
      <c r="B208" s="2" t="inlineStr">
        <is>
          <t>11.2</t>
        </is>
      </c>
      <c r="C208" s="2" t="inlineStr">
        <is>
          <t>G – Schachtgrube</t>
        </is>
      </c>
      <c r="D208" s="2" t="inlineStr">
        <is>
          <t>Beleuchtung in der Schachtgrube vorhanden?</t>
        </is>
      </c>
      <c r="E208" s="2" t="inlineStr">
        <is>
          <t>YES_NO</t>
        </is>
      </c>
      <c r="F208" s="2" t="inlineStr"/>
      <c r="G208" s="2" t="inlineStr"/>
      <c r="H208" s="2" t="inlineStr"/>
      <c r="I208" s="2" t="inlineStr">
        <is>
          <t>MF-G01</t>
        </is>
      </c>
    </row>
    <row r="209">
      <c r="A209" s="4" t="inlineStr">
        <is>
          <t>qg_bel_50lux</t>
        </is>
      </c>
      <c r="B209" s="4" t="inlineStr">
        <is>
          <t>11.2a</t>
        </is>
      </c>
      <c r="C209" s="4" t="inlineStr">
        <is>
          <t>G – Schachtgrube</t>
        </is>
      </c>
      <c r="D209" s="4" t="inlineStr">
        <is>
          <t>Grubenbeleuchtung ausreichend (mind. 50 Lux), Leuchten geeignet angeordnet?</t>
        </is>
      </c>
      <c r="E209" s="4" t="inlineStr">
        <is>
          <t>YES_NO</t>
        </is>
      </c>
      <c r="F209" s="4" t="inlineStr"/>
      <c r="G209" s="4" t="inlineStr"/>
      <c r="H209" s="4" t="inlineStr">
        <is>
          <t>11.2 Beleuchtung in der Schachtgrube vorhanden? = Ja</t>
        </is>
      </c>
      <c r="I209" s="4" t="inlineStr">
        <is>
          <t>MF-G01</t>
        </is>
      </c>
    </row>
    <row r="210">
      <c r="A210" s="2" t="inlineStr">
        <is>
          <t>qg_schutzraum</t>
        </is>
      </c>
      <c r="B210" s="2" t="inlineStr">
        <is>
          <t>11.3</t>
        </is>
      </c>
      <c r="C210" s="2" t="inlineStr">
        <is>
          <t>G – Schachtgrube</t>
        </is>
      </c>
      <c r="D210" s="2" t="inlineStr">
        <is>
          <t>Schutzraum in der Schachtgrube</t>
        </is>
      </c>
      <c r="E210" s="2" t="inlineStr">
        <is>
          <t>SELECT</t>
        </is>
      </c>
      <c r="F210" s="2" t="inlineStr">
        <is>
          <t>Schutzraum nach EN 81-20 vorhanden, Abmessungen eingehalten
Schutzraum nach TRA 200 / EN 81-1/-2 (kleiner als EN 81-20)
Reduzierte Grube mit wirksamer Zusatzeinrichtung und Kennzeichnung
Schutzraum nicht gegeben</t>
        </is>
      </c>
      <c r="G210" s="2" t="inlineStr"/>
      <c r="H210" s="2" t="inlineStr"/>
      <c r="I210" s="2" t="inlineStr">
        <is>
          <t>MF-G02</t>
        </is>
      </c>
    </row>
    <row r="211">
      <c r="A211" s="4" t="inlineStr">
        <is>
          <t>qg_nothalt</t>
        </is>
      </c>
      <c r="B211" s="4" t="inlineStr">
        <is>
          <t>11.4</t>
        </is>
      </c>
      <c r="C211" s="4" t="inlineStr">
        <is>
          <t>G – Schachtgrube</t>
        </is>
      </c>
      <c r="D211" s="4" t="inlineStr">
        <is>
          <t>Notbremsschalter in der Schachtgrube vorhanden?</t>
        </is>
      </c>
      <c r="E211" s="4" t="inlineStr">
        <is>
          <t>YES_NO</t>
        </is>
      </c>
      <c r="F211" s="4" t="inlineStr"/>
      <c r="G211" s="4" t="inlineStr"/>
      <c r="H211" s="4" t="inlineStr"/>
      <c r="I211" s="4" t="inlineStr">
        <is>
          <t>MF-G03</t>
        </is>
      </c>
    </row>
    <row r="212">
      <c r="A212" s="2" t="inlineStr">
        <is>
          <t>qg_nothalt_aussen</t>
        </is>
      </c>
      <c r="B212" s="2" t="inlineStr">
        <is>
          <t>11.4a</t>
        </is>
      </c>
      <c r="C212" s="2" t="inlineStr">
        <is>
          <t>G – Schachtgrube</t>
        </is>
      </c>
      <c r="D212" s="2" t="inlineStr">
        <is>
          <t>Notbremsschalter von der Schachttür aus erreichbar?</t>
        </is>
      </c>
      <c r="E212" s="2" t="inlineStr">
        <is>
          <t>YES_NO</t>
        </is>
      </c>
      <c r="F212" s="2" t="inlineStr"/>
      <c r="G212" s="2" t="inlineStr"/>
      <c r="H212" s="2" t="inlineStr">
        <is>
          <t>11.4 Notbremsschalter in der Schachtgrube vorhanden? = Ja</t>
        </is>
      </c>
      <c r="I212" s="2" t="inlineStr">
        <is>
          <t>MF-G03</t>
        </is>
      </c>
    </row>
    <row r="213">
      <c r="A213" s="4" t="inlineStr">
        <is>
          <t>qg_nothalt_zwei</t>
        </is>
      </c>
      <c r="B213" s="4" t="inlineStr">
        <is>
          <t>11.4b</t>
        </is>
      </c>
      <c r="C213" s="4" t="inlineStr">
        <is>
          <t>G – Schachtgrube</t>
        </is>
      </c>
      <c r="D213" s="4" t="inlineStr">
        <is>
          <t>Bei Grubentiefe über 1,60 m: zweiter Notbremsschalter am Grubenboden vorhanden?</t>
        </is>
      </c>
      <c r="E213" s="4" t="inlineStr">
        <is>
          <t>YES_NO</t>
        </is>
      </c>
      <c r="F213" s="4" t="inlineStr"/>
      <c r="G213" s="4" t="inlineStr"/>
      <c r="H213" s="4" t="inlineStr">
        <is>
          <t>(11.4 Notbremsschalter in der Schachtgrube vorhanden? = Ja UND 11.1 Schachtgrubentiefe [m] &gt; 1.6)</t>
        </is>
      </c>
      <c r="I213" s="4" t="inlineStr">
        <is>
          <t>MF-G03</t>
        </is>
      </c>
    </row>
    <row r="214">
      <c r="A214" s="2" t="inlineStr">
        <is>
          <t>qg_inspektion</t>
        </is>
      </c>
      <c r="B214" s="2" t="inlineStr">
        <is>
          <t>11.5</t>
        </is>
      </c>
      <c r="C214" s="2" t="inlineStr">
        <is>
          <t>G – Schachtgrube</t>
        </is>
      </c>
      <c r="D214" s="2" t="inlineStr">
        <is>
          <t>Inspektionssteuerung in der Schachtgrube vorhanden?</t>
        </is>
      </c>
      <c r="E214" s="2" t="inlineStr">
        <is>
          <t>YES_NO</t>
        </is>
      </c>
      <c r="F214" s="2" t="inlineStr"/>
      <c r="G214" s="2" t="inlineStr"/>
      <c r="H214" s="2" t="inlineStr"/>
      <c r="I214" s="2" t="inlineStr">
        <is>
          <t>MF-G03</t>
        </is>
      </c>
    </row>
    <row r="215">
      <c r="A215" s="4" t="inlineStr">
        <is>
          <t>qg_leiter</t>
        </is>
      </c>
      <c r="B215" s="4" t="inlineStr">
        <is>
          <t>11.6</t>
        </is>
      </c>
      <c r="C215" s="4" t="inlineStr">
        <is>
          <t>G – Schachtgrube</t>
        </is>
      </c>
      <c r="D215" s="4" t="inlineStr">
        <is>
          <t>Grubenleiter</t>
        </is>
      </c>
      <c r="E215" s="4" t="inlineStr">
        <is>
          <t>SELECT</t>
        </is>
      </c>
      <c r="F215" s="4" t="inlineStr">
        <is>
          <t>Fest installierte Grubenleiter
Mobile Leiter im Schacht deponiert
Grubenleiter vorhanden, aber schwer erreichbar
Leiter beim Kunden deponiert
Leiter wird im Kundendienstfahrzeug mitgeführt
Keine Grubenleiter</t>
        </is>
      </c>
      <c r="G215" s="4" t="inlineStr"/>
      <c r="H215" s="4" t="inlineStr"/>
      <c r="I215" s="4" t="inlineStr">
        <is>
          <t>MF-G04</t>
        </is>
      </c>
    </row>
    <row r="216">
      <c r="A216" s="2" t="inlineStr">
        <is>
          <t>qg_zugangstuer</t>
        </is>
      </c>
      <c r="B216" s="2" t="inlineStr">
        <is>
          <t>11.7</t>
        </is>
      </c>
      <c r="C216" s="2" t="inlineStr">
        <is>
          <t>G – Schachtgrube</t>
        </is>
      </c>
      <c r="D216" s="2" t="inlineStr">
        <is>
          <t>Separate Grubenzugangstür vorhanden?</t>
        </is>
      </c>
      <c r="E216" s="2" t="inlineStr">
        <is>
          <t>YES_NO</t>
        </is>
      </c>
      <c r="F216" s="2" t="inlineStr"/>
      <c r="G216" s="2" t="inlineStr"/>
      <c r="H216" s="2" t="inlineStr"/>
      <c r="I216" s="2" t="inlineStr">
        <is>
          <t>MF-G04</t>
        </is>
      </c>
    </row>
    <row r="217">
      <c r="A217" s="4" t="inlineStr">
        <is>
          <t>qg_zugangstuer_schalter</t>
        </is>
      </c>
      <c r="B217" s="4" t="inlineStr">
        <is>
          <t>11.7a</t>
        </is>
      </c>
      <c r="C217" s="4" t="inlineStr">
        <is>
          <t>G – Schachtgrube</t>
        </is>
      </c>
      <c r="D217" s="4" t="inlineStr">
        <is>
          <t>Elektrische Sicherheitseinrichtung an der Grubenzugangstür?</t>
        </is>
      </c>
      <c r="E217" s="4" t="inlineStr">
        <is>
          <t>YES_NO</t>
        </is>
      </c>
      <c r="F217" s="4" t="inlineStr"/>
      <c r="G217" s="4" t="inlineStr"/>
      <c r="H217" s="4" t="inlineStr">
        <is>
          <t>11.7 Separate Grubenzugangstür vorhanden? = Ja</t>
        </is>
      </c>
      <c r="I217" s="4" t="inlineStr">
        <is>
          <t>MF-G04</t>
        </is>
      </c>
    </row>
    <row r="218">
      <c r="A218" s="2" t="inlineStr">
        <is>
          <t>qg_selbstbefreiung</t>
        </is>
      </c>
      <c r="B218" s="2" t="inlineStr">
        <is>
          <t>11.8</t>
        </is>
      </c>
      <c r="C218" s="2" t="inlineStr">
        <is>
          <t>G – Schachtgrube</t>
        </is>
      </c>
      <c r="D218" s="2" t="inlineStr">
        <is>
          <t>Selbstbefreiung aus der Grube über die Schachttür möglich (Verschluss innerhalb 1,80 m Höhe / 0,80 m horizontal)?</t>
        </is>
      </c>
      <c r="E218" s="2" t="inlineStr">
        <is>
          <t>YES_NO</t>
        </is>
      </c>
      <c r="F218" s="2" t="inlineStr"/>
      <c r="G218" s="2" t="inlineStr"/>
      <c r="H218" s="2" t="inlineStr"/>
      <c r="I218" s="2" t="inlineStr">
        <is>
          <t>MF-G05</t>
        </is>
      </c>
    </row>
    <row r="219">
      <c r="A219" s="4" t="inlineStr">
        <is>
          <t>qg_notruf</t>
        </is>
      </c>
      <c r="B219" s="4" t="inlineStr">
        <is>
          <t>11.9</t>
        </is>
      </c>
      <c r="C219" s="4" t="inlineStr">
        <is>
          <t>G – Schachtgrube</t>
        </is>
      </c>
      <c r="D219" s="4" t="inlineStr">
        <is>
          <t>Notrufeinrichtung in der Schachtgrube vorhanden?</t>
        </is>
      </c>
      <c r="E219" s="4" t="inlineStr">
        <is>
          <t>YES_NO</t>
        </is>
      </c>
      <c r="F219" s="4" t="inlineStr"/>
      <c r="G219" s="4" t="inlineStr"/>
      <c r="H219" s="4" t="inlineStr"/>
      <c r="I219" s="4" t="inlineStr">
        <is>
          <t>MF-G05</t>
        </is>
      </c>
    </row>
    <row r="220">
      <c r="A220" s="2" t="inlineStr">
        <is>
          <t>qg_puffer</t>
        </is>
      </c>
      <c r="B220" s="2" t="inlineStr">
        <is>
          <t>11.10</t>
        </is>
      </c>
      <c r="C220" s="2" t="inlineStr">
        <is>
          <t>G – Schachtgrube</t>
        </is>
      </c>
      <c r="D220" s="2" t="inlineStr">
        <is>
          <t>Puffer für Fahrkorb und Gegengewicht vorhanden?</t>
        </is>
      </c>
      <c r="E220" s="2" t="inlineStr">
        <is>
          <t>YES_NO</t>
        </is>
      </c>
      <c r="F220" s="2" t="inlineStr"/>
      <c r="G220" s="2" t="inlineStr"/>
      <c r="H220" s="2" t="inlineStr"/>
      <c r="I220" s="2" t="inlineStr">
        <is>
          <t>MF-G06</t>
        </is>
      </c>
    </row>
    <row r="221">
      <c r="A221" s="4" t="inlineStr">
        <is>
          <t>qg_puffer_zustand</t>
        </is>
      </c>
      <c r="B221" s="4" t="inlineStr">
        <is>
          <t>11.10a</t>
        </is>
      </c>
      <c r="C221" s="4" t="inlineStr">
        <is>
          <t>G – Schachtgrube</t>
        </is>
      </c>
      <c r="D221" s="4" t="inlineStr">
        <is>
          <t>Puffer unbeschädigt und nicht verschlissen?</t>
        </is>
      </c>
      <c r="E221" s="4" t="inlineStr">
        <is>
          <t>YES_NO</t>
        </is>
      </c>
      <c r="F221" s="4" t="inlineStr"/>
      <c r="G221" s="4" t="inlineStr"/>
      <c r="H221" s="4" t="inlineStr">
        <is>
          <t>11.10 Puffer für Fahrkorb und Gegengewicht vorhanden? = Ja</t>
        </is>
      </c>
      <c r="I221" s="4" t="inlineStr">
        <is>
          <t>MF-G06</t>
        </is>
      </c>
    </row>
    <row r="222">
      <c r="A222" s="2" t="inlineStr">
        <is>
          <t>qg_puffer_art</t>
        </is>
      </c>
      <c r="B222" s="2" t="inlineStr">
        <is>
          <t>11.10b</t>
        </is>
      </c>
      <c r="C222" s="2" t="inlineStr">
        <is>
          <t>G – Schachtgrube</t>
        </is>
      </c>
      <c r="D222" s="2" t="inlineStr">
        <is>
          <t>Bauart der Puffer</t>
        </is>
      </c>
      <c r="E222" s="2" t="inlineStr">
        <is>
          <t>SELECT</t>
        </is>
      </c>
      <c r="F222" s="2" t="inlineStr">
        <is>
          <t>Energiespeichernd (Feder / Polyurethan)
Energieverzehrend (hydraulisch)</t>
        </is>
      </c>
      <c r="G222" s="2" t="inlineStr"/>
      <c r="H222" s="2" t="inlineStr">
        <is>
          <t>11.10 Puffer für Fahrkorb und Gegengewicht vorhanden? = Ja</t>
        </is>
      </c>
      <c r="I222" s="2" t="inlineStr">
        <is>
          <t>MF-G06</t>
        </is>
      </c>
    </row>
    <row r="223">
      <c r="A223" s="4" t="inlineStr">
        <is>
          <t>qg_puffer_oelstand</t>
        </is>
      </c>
      <c r="B223" s="4" t="inlineStr">
        <is>
          <t>11.10c</t>
        </is>
      </c>
      <c r="C223" s="4" t="inlineStr">
        <is>
          <t>G – Schachtgrube</t>
        </is>
      </c>
      <c r="D223" s="4" t="inlineStr">
        <is>
          <t>Ölstand hydraulischer Puffer prüfbar und Kennzeichnung vorhanden?</t>
        </is>
      </c>
      <c r="E223" s="4" t="inlineStr">
        <is>
          <t>YES_NO</t>
        </is>
      </c>
      <c r="F223" s="4" t="inlineStr"/>
      <c r="G223" s="4" t="inlineStr"/>
      <c r="H223" s="4" t="inlineStr">
        <is>
          <t>11.10b Bauart der Puffer = „Energieverzehrend (hydraulisch)"</t>
        </is>
      </c>
      <c r="I223" s="4" t="inlineStr">
        <is>
          <t>MF-G06</t>
        </is>
      </c>
    </row>
    <row r="224">
      <c r="A224" s="2" t="inlineStr">
        <is>
          <t>qg_gg_abtrennung</t>
        </is>
      </c>
      <c r="B224" s="2" t="inlineStr">
        <is>
          <t>11.11</t>
        </is>
      </c>
      <c r="C224" s="2" t="inlineStr">
        <is>
          <t>G – Schachtgrube</t>
        </is>
      </c>
      <c r="D224" s="2" t="inlineStr">
        <is>
          <t>Abtrennung der Gegengewichtsfahrbahn in der Grube</t>
        </is>
      </c>
      <c r="E224" s="2" t="inlineStr">
        <is>
          <t>SELECT</t>
        </is>
      </c>
      <c r="F224" s="2" t="inlineStr">
        <is>
          <t>Vollwandig oder engmaschig, normgerechte Höhe
Vorhanden, aber zu niedrig oder grobmaschig
Keine Abtrennung</t>
        </is>
      </c>
      <c r="G224" s="2" t="inlineStr"/>
      <c r="H224" s="2" t="inlineStr">
        <is>
          <t>(3.1 Aufzugsart in [„Seil-/Riemenaufzug (Treibscheibe)", „Trommel- oder Kettenaufzug", „Seil-Hydraulikaufzug (indirekt)"] UND 3.1b Gegengewicht oder Ausgleichsgewicht vorhanden? = Ja)</t>
        </is>
      </c>
      <c r="I224" s="2" t="inlineStr">
        <is>
          <t>MF-G07</t>
        </is>
      </c>
    </row>
    <row r="225">
      <c r="A225" s="4" t="inlineStr">
        <is>
          <t>qg_gg_abtrennung_hoehe_mm</t>
        </is>
      </c>
      <c r="B225" s="4" t="inlineStr">
        <is>
          <t>11.11a</t>
        </is>
      </c>
      <c r="C225" s="4" t="inlineStr">
        <is>
          <t>G – Schachtgrube</t>
        </is>
      </c>
      <c r="D225" s="4" t="inlineStr">
        <is>
          <t>Höhe der Gegengewichtsabtrennung [mm]</t>
        </is>
      </c>
      <c r="E225" s="4" t="inlineStr">
        <is>
          <t>NUMBER</t>
        </is>
      </c>
      <c r="F225" s="4" t="inlineStr"/>
      <c r="G225" s="4" t="inlineStr"/>
      <c r="H225" s="4" t="inlineStr">
        <is>
          <t>11.11 Abtrennung der Gegengewichtsfahrbahn in der Grube ≠ „Keine Abtrennung"</t>
        </is>
      </c>
      <c r="I225" s="4" t="inlineStr">
        <is>
          <t>MF-G07</t>
        </is>
      </c>
    </row>
    <row r="226">
      <c r="A226" s="2" t="inlineStr">
        <is>
          <t>qg_gg_fuellung</t>
        </is>
      </c>
      <c r="B226" s="2" t="inlineStr">
        <is>
          <t>11.12</t>
        </is>
      </c>
      <c r="C226" s="2" t="inlineStr">
        <is>
          <t>G – Schachtgrube</t>
        </is>
      </c>
      <c r="D226" s="2" t="inlineStr">
        <is>
          <t>Gegengewichtsfüllung gegen Herausfallen gesichert (Rahmen)?</t>
        </is>
      </c>
      <c r="E226" s="2" t="inlineStr">
        <is>
          <t>YES_NO</t>
        </is>
      </c>
      <c r="F226" s="2" t="inlineStr"/>
      <c r="G226" s="2" t="inlineStr"/>
      <c r="H226" s="2" t="inlineStr">
        <is>
          <t>(3.1 Aufzugsart in [„Seil-/Riemenaufzug (Treibscheibe)", „Trommel- oder Kettenaufzug", „Seil-Hydraulikaufzug (indirekt)"] UND 3.1b Gegengewicht oder Ausgleichsgewicht vorhanden? = Ja)</t>
        </is>
      </c>
      <c r="I226" s="2" t="inlineStr">
        <is>
          <t>MF-G07</t>
        </is>
      </c>
    </row>
    <row r="227">
      <c r="A227" s="4" t="inlineStr">
        <is>
          <t>qg_gg_fang</t>
        </is>
      </c>
      <c r="B227" s="4" t="inlineStr">
        <is>
          <t>11.13</t>
        </is>
      </c>
      <c r="C227" s="4" t="inlineStr">
        <is>
          <t>G – Schachtgrube</t>
        </is>
      </c>
      <c r="D227" s="4" t="inlineStr">
        <is>
          <t>Fangvorrichtung am Gegengewicht (oder durchgehendes Fundament) bei betretbarem Raum unter der Grube?</t>
        </is>
      </c>
      <c r="E227" s="4" t="inlineStr">
        <is>
          <t>YES_NO</t>
        </is>
      </c>
      <c r="F227" s="4" t="inlineStr"/>
      <c r="G227" s="4" t="inlineStr"/>
      <c r="H227" s="4" t="inlineStr">
        <is>
          <t>((3.1 Aufzugsart in [„Seil-/Riemenaufzug (Treibscheibe)", „Trommel- oder Kettenaufzug", „Seil-Hydraulikaufzug (indirekt)"] UND 3.1b Gegengewicht oder Ausgleichsgewicht vorhanden? = Ja) UND 4.8a Betretbarer Raum unterhalb der Schachtgrube? = Ja)</t>
        </is>
      </c>
      <c r="I227" s="4" t="inlineStr">
        <is>
          <t>MF-G07</t>
        </is>
      </c>
    </row>
    <row r="228">
      <c r="A228" s="2" t="inlineStr">
        <is>
          <t>qg_nachbar_abtrennung</t>
        </is>
      </c>
      <c r="B228" s="2" t="inlineStr">
        <is>
          <t>11.14</t>
        </is>
      </c>
      <c r="C228" s="2" t="inlineStr">
        <is>
          <t>G – Schachtgrube</t>
        </is>
      </c>
      <c r="D228" s="2" t="inlineStr">
        <is>
          <t>Abtrennung zum Nachbaraufzug in der Schachtgrube vorhanden?</t>
        </is>
      </c>
      <c r="E228" s="2" t="inlineStr">
        <is>
          <t>YES_NO</t>
        </is>
      </c>
      <c r="F228" s="2" t="inlineStr"/>
      <c r="G228" s="2" t="inlineStr"/>
      <c r="H228" s="2" t="inlineStr">
        <is>
          <t>4.8 Mehrere Aufzüge in einem gemeinsamen Schacht? = Ja</t>
        </is>
      </c>
      <c r="I228" s="2" t="inlineStr">
        <is>
          <t>MF-G08</t>
        </is>
      </c>
    </row>
    <row r="229">
      <c r="A229" s="4" t="inlineStr">
        <is>
          <t>qg_wasser</t>
        </is>
      </c>
      <c r="B229" s="4" t="inlineStr">
        <is>
          <t>11.15</t>
        </is>
      </c>
      <c r="C229" s="4" t="inlineStr">
        <is>
          <t>G – Schachtgrube</t>
        </is>
      </c>
      <c r="D229" s="4" t="inlineStr">
        <is>
          <t>Wasser oder Feuchtigkeit in der Schachtgrube?</t>
        </is>
      </c>
      <c r="E229" s="4" t="inlineStr">
        <is>
          <t>YES_NO</t>
        </is>
      </c>
      <c r="F229" s="4" t="inlineStr"/>
      <c r="G229" s="4" t="inlineStr"/>
      <c r="H229" s="4" t="inlineStr"/>
      <c r="I229" s="4" t="inlineStr">
        <is>
          <t>MF-U07</t>
        </is>
      </c>
    </row>
    <row r="230">
      <c r="A230" s="2" t="inlineStr">
        <is>
          <t>qg_oel</t>
        </is>
      </c>
      <c r="B230" s="2" t="inlineStr">
        <is>
          <t>11.16</t>
        </is>
      </c>
      <c r="C230" s="2" t="inlineStr">
        <is>
          <t>G – Schachtgrube</t>
        </is>
      </c>
      <c r="D230" s="2" t="inlineStr">
        <is>
          <t>Öl oder wassergefährdende Stoffe in der Grube ohne Auffangmöglichkeit?</t>
        </is>
      </c>
      <c r="E230" s="2" t="inlineStr">
        <is>
          <t>YES_NO</t>
        </is>
      </c>
      <c r="F230" s="2" t="inlineStr"/>
      <c r="G230" s="2" t="inlineStr"/>
      <c r="H230" s="2" t="inlineStr"/>
      <c r="I230" s="2" t="inlineStr">
        <is>
          <t>MF-U07</t>
        </is>
      </c>
    </row>
    <row r="231">
      <c r="A231" s="4" t="inlineStr">
        <is>
          <t>qg_asbest</t>
        </is>
      </c>
      <c r="B231" s="4" t="inlineStr">
        <is>
          <t>11.20</t>
        </is>
      </c>
      <c r="C231" s="4" t="inlineStr">
        <is>
          <t>G – Schachtgrube</t>
        </is>
      </c>
      <c r="D231" s="4" t="inlineStr">
        <is>
          <t>Asbesthaltige oder andere schädliche Baustoffe in der Schachtgrube (Bremsbeläge, Dichtungen, Brandschutzplatten, Isolierungen)?</t>
        </is>
      </c>
      <c r="E231" s="4" t="inlineStr">
        <is>
          <t>YES_NO</t>
        </is>
      </c>
      <c r="F231" s="4" t="inlineStr"/>
      <c r="G231" s="4" t="inlineStr"/>
      <c r="H231" s="4" t="inlineStr"/>
      <c r="I231" s="4" t="inlineStr">
        <is>
          <t>MF-U01</t>
        </is>
      </c>
    </row>
    <row r="232">
      <c r="A232" s="2" t="inlineStr">
        <is>
          <t>qg_verschmutzung</t>
        </is>
      </c>
      <c r="B232" s="2" t="inlineStr">
        <is>
          <t>11.21</t>
        </is>
      </c>
      <c r="C232" s="2" t="inlineStr">
        <is>
          <t>G – Schachtgrube</t>
        </is>
      </c>
      <c r="D232" s="2" t="inlineStr">
        <is>
          <t>Erhebliche Verschmutzungen (Taubenkot, Unrat, Schimmel, Ablagerungen) in der Schachtgrube?</t>
        </is>
      </c>
      <c r="E232" s="2" t="inlineStr">
        <is>
          <t>YES_NO</t>
        </is>
      </c>
      <c r="F232" s="2" t="inlineStr"/>
      <c r="G232" s="2" t="inlineStr"/>
      <c r="H232" s="2" t="inlineStr"/>
      <c r="I232" s="2" t="inlineStr">
        <is>
          <t>MF-U02</t>
        </is>
      </c>
    </row>
    <row r="233">
      <c r="A233" s="4" t="inlineStr">
        <is>
          <t>qg_brennbar_lager</t>
        </is>
      </c>
      <c r="B233" s="4" t="inlineStr">
        <is>
          <t>11.22</t>
        </is>
      </c>
      <c r="C233" s="4" t="inlineStr">
        <is>
          <t>G – Schachtgrube</t>
        </is>
      </c>
      <c r="D233" s="4" t="inlineStr">
        <is>
          <t>Lagerung brennbarer oder leicht entzündlicher Stoffe in der Schachtgrube?</t>
        </is>
      </c>
      <c r="E233" s="4" t="inlineStr">
        <is>
          <t>YES_NO</t>
        </is>
      </c>
      <c r="F233" s="4" t="inlineStr"/>
      <c r="G233" s="4" t="inlineStr"/>
      <c r="H233" s="4" t="inlineStr"/>
      <c r="I233" s="4" t="inlineStr">
        <is>
          <t>MF-U03</t>
        </is>
      </c>
    </row>
    <row r="234">
      <c r="A234" s="2" t="inlineStr">
        <is>
          <t>qu_asbest_unbekannt</t>
        </is>
      </c>
      <c r="B234" s="2" t="inlineStr">
        <is>
          <t>15.11</t>
        </is>
      </c>
      <c r="C234" s="2" t="inlineStr">
        <is>
          <t>U – Umfeld, Gebäude und Nutzung</t>
        </is>
      </c>
      <c r="D234" s="2" t="inlineStr">
        <is>
          <t>Ist die Asbest-/Schadstoffsituation der Anlage unbekannt (Baujahr vor 1995, keine Unterlagen, keine Beprobung)?</t>
        </is>
      </c>
      <c r="E234" s="2" t="inlineStr">
        <is>
          <t>YES_NO</t>
        </is>
      </c>
      <c r="F234" s="2" t="inlineStr"/>
      <c r="G234" s="2" t="inlineStr"/>
      <c r="H234" s="2" t="inlineStr"/>
      <c r="I234" s="2" t="inlineStr">
        <is>
          <t>MF-U01</t>
        </is>
      </c>
    </row>
    <row r="235">
      <c r="A235" s="4" t="inlineStr">
        <is>
          <t>qu_gefahrstoff_chem_lager</t>
        </is>
      </c>
      <c r="B235" s="4" t="inlineStr">
        <is>
          <t>15.28</t>
        </is>
      </c>
      <c r="C235" s="4" t="inlineStr">
        <is>
          <t>U – Umfeld, Gebäude und Nutzung</t>
        </is>
      </c>
      <c r="D235" s="4" t="inlineStr">
        <is>
          <t>Chemische Gefahrstoffe in unmittelbarer Nähe der Anlage gelagert?</t>
        </is>
      </c>
      <c r="E235" s="4" t="inlineStr">
        <is>
          <t>YES_NO</t>
        </is>
      </c>
      <c r="F235" s="4" t="inlineStr"/>
      <c r="G235" s="4" t="inlineStr"/>
      <c r="H235" s="4" t="inlineStr"/>
      <c r="I235" s="4" t="inlineStr">
        <is>
          <t>MF-U04</t>
        </is>
      </c>
    </row>
    <row r="236">
      <c r="A236" s="2" t="inlineStr">
        <is>
          <t>qu_gefahrstoff_bio_lager</t>
        </is>
      </c>
      <c r="B236" s="2" t="inlineStr">
        <is>
          <t>15.29</t>
        </is>
      </c>
      <c r="C236" s="2" t="inlineStr">
        <is>
          <t>U – Umfeld, Gebäude und Nutzung</t>
        </is>
      </c>
      <c r="D236" s="2" t="inlineStr">
        <is>
          <t>Biologische Arbeitsstoffe (Labor, Klinik, Entsorgung) in unmittelbarer Nähe der Anlage?</t>
        </is>
      </c>
      <c r="E236" s="2" t="inlineStr">
        <is>
          <t>YES_NO</t>
        </is>
      </c>
      <c r="F236" s="2" t="inlineStr"/>
      <c r="G236" s="2" t="inlineStr"/>
      <c r="H236" s="2" t="inlineStr"/>
      <c r="I236" s="2" t="inlineStr">
        <is>
          <t>MF-U04</t>
        </is>
      </c>
    </row>
    <row r="237">
      <c r="A237" s="4" t="inlineStr">
        <is>
          <t>qu_transport_chem</t>
        </is>
      </c>
      <c r="B237" s="4" t="inlineStr">
        <is>
          <t>15.32</t>
        </is>
      </c>
      <c r="C237" s="4" t="inlineStr">
        <is>
          <t>U – Umfeld, Gebäude und Nutzung</t>
        </is>
      </c>
      <c r="D237" s="4" t="inlineStr">
        <is>
          <t>Transport chemischer Gefahrstoffe mit dem Aufzug?</t>
        </is>
      </c>
      <c r="E237" s="4" t="inlineStr">
        <is>
          <t>YES_NO</t>
        </is>
      </c>
      <c r="F237" s="4" t="inlineStr"/>
      <c r="G237" s="4" t="inlineStr"/>
      <c r="H237" s="4" t="inlineStr"/>
      <c r="I237" s="4" t="inlineStr">
        <is>
          <t>MF-U05</t>
        </is>
      </c>
    </row>
    <row r="238">
      <c r="A238" s="2" t="inlineStr">
        <is>
          <t>qu_transport_bio</t>
        </is>
      </c>
      <c r="B238" s="2" t="inlineStr">
        <is>
          <t>15.33</t>
        </is>
      </c>
      <c r="C238" s="2" t="inlineStr">
        <is>
          <t>U – Umfeld, Gebäude und Nutzung</t>
        </is>
      </c>
      <c r="D238" s="2" t="inlineStr">
        <is>
          <t>Transport biologischer Arbeitsstoffe / infektiöser Stoffe mit dem Aufzug?</t>
        </is>
      </c>
      <c r="E238" s="2" t="inlineStr">
        <is>
          <t>YES_NO</t>
        </is>
      </c>
      <c r="F238" s="2" t="inlineStr"/>
      <c r="G238" s="2" t="inlineStr"/>
      <c r="H238" s="2" t="inlineStr"/>
      <c r="I238" s="2" t="inlineStr">
        <is>
          <t>MF-U05</t>
        </is>
      </c>
    </row>
    <row r="239">
      <c r="A239" s="4" t="inlineStr">
        <is>
          <t>qu_transport_brennbar</t>
        </is>
      </c>
      <c r="B239" s="4" t="inlineStr">
        <is>
          <t>15.34</t>
        </is>
      </c>
      <c r="C239" s="4" t="inlineStr">
        <is>
          <t>U – Umfeld, Gebäude und Nutzung</t>
        </is>
      </c>
      <c r="D239" s="4" t="inlineStr">
        <is>
          <t>Transport brennbarer oder leicht entzündlicher Stoffe mit dem Aufzug?</t>
        </is>
      </c>
      <c r="E239" s="4" t="inlineStr">
        <is>
          <t>YES_NO</t>
        </is>
      </c>
      <c r="F239" s="4" t="inlineStr"/>
      <c r="G239" s="4" t="inlineStr"/>
      <c r="H239" s="4" t="inlineStr"/>
      <c r="I239" s="4" t="inlineStr">
        <is>
          <t>MF-U05</t>
        </is>
      </c>
    </row>
    <row r="240">
      <c r="A240" s="2" t="inlineStr">
        <is>
          <t>qu_transport_radioaktiv</t>
        </is>
      </c>
      <c r="B240" s="2" t="inlineStr">
        <is>
          <t>15.35</t>
        </is>
      </c>
      <c r="C240" s="2" t="inlineStr">
        <is>
          <t>U – Umfeld, Gebäude und Nutzung</t>
        </is>
      </c>
      <c r="D240" s="2" t="inlineStr">
        <is>
          <t>Transport radioaktiver Stoffe mit dem Aufzug?</t>
        </is>
      </c>
      <c r="E240" s="2" t="inlineStr">
        <is>
          <t>YES_NO</t>
        </is>
      </c>
      <c r="F240" s="2" t="inlineStr"/>
      <c r="G240" s="2" t="inlineStr"/>
      <c r="H240" s="2" t="inlineStr"/>
      <c r="I240" s="2" t="inlineStr">
        <is>
          <t>MF-U05</t>
        </is>
      </c>
    </row>
    <row r="241">
      <c r="A241" s="4" t="inlineStr">
        <is>
          <t>qu_ex_moeglich</t>
        </is>
      </c>
      <c r="B241" s="4" t="inlineStr">
        <is>
          <t>15.25</t>
        </is>
      </c>
      <c r="C241" s="4" t="inlineStr">
        <is>
          <t>U – Umfeld, Gebäude und Nutzung</t>
        </is>
      </c>
      <c r="D241" s="4" t="inlineStr">
        <is>
          <t>Kann sich im Bereich der Anlage ein explosionsfähiges Gemisch bilden (Gase, Dämpfe, Stäube)?</t>
        </is>
      </c>
      <c r="E241" s="4" t="inlineStr">
        <is>
          <t>YES_NO</t>
        </is>
      </c>
      <c r="F241" s="4" t="inlineStr"/>
      <c r="G241" s="4" t="inlineStr"/>
      <c r="H241" s="4" t="inlineStr"/>
      <c r="I241" s="4" t="inlineStr">
        <is>
          <t>MF-U06</t>
        </is>
      </c>
    </row>
    <row r="242">
      <c r="A242" s="2" t="inlineStr">
        <is>
          <t>qu_ex_bewertet</t>
        </is>
      </c>
      <c r="B242" s="2" t="inlineStr">
        <is>
          <t>15.25a</t>
        </is>
      </c>
      <c r="C242" s="2" t="inlineStr">
        <is>
          <t>U – Umfeld, Gebäude und Nutzung</t>
        </is>
      </c>
      <c r="D242" s="2" t="inlineStr">
        <is>
          <t>Explosionsschutz für die Aufzugsanlage bewertet und dokumentiert (Explosionsschutzdokument)?</t>
        </is>
      </c>
      <c r="E242" s="2" t="inlineStr">
        <is>
          <t>YES_NO</t>
        </is>
      </c>
      <c r="F242" s="2" t="inlineStr"/>
      <c r="G242" s="2" t="inlineStr"/>
      <c r="H242" s="2" t="inlineStr">
        <is>
          <t>15.25 Kann sich im Bereich der Anlage ein explosionsfähiges Gemisch bilden (Gase, Dämpfe, Stäube)? = Ja</t>
        </is>
      </c>
      <c r="I242" s="2" t="inlineStr">
        <is>
          <t>MF-U06</t>
        </is>
      </c>
    </row>
    <row r="243">
      <c r="A243" s="4" t="inlineStr">
        <is>
          <t>qu_temperatur</t>
        </is>
      </c>
      <c r="B243" s="4" t="inlineStr">
        <is>
          <t>15.23</t>
        </is>
      </c>
      <c r="C243" s="4" t="inlineStr">
        <is>
          <t>U – Umfeld, Gebäude und Nutzung</t>
        </is>
      </c>
      <c r="D243" s="4" t="inlineStr">
        <is>
          <t>Unzulässige Temperaturen im Triebwerksraum oder Schacht möglich (Überhitzung über 40 °C, Frost)?</t>
        </is>
      </c>
      <c r="E243" s="4" t="inlineStr">
        <is>
          <t>YES_NO</t>
        </is>
      </c>
      <c r="F243" s="4" t="inlineStr"/>
      <c r="G243" s="4" t="inlineStr"/>
      <c r="H243" s="4" t="inlineStr"/>
      <c r="I243" s="4" t="inlineStr">
        <is>
          <t>MF-U07</t>
        </is>
      </c>
    </row>
    <row r="244">
      <c r="A244" s="2" t="inlineStr">
        <is>
          <t>qu_feuchte_sicherheitsteile</t>
        </is>
      </c>
      <c r="B244" s="2" t="inlineStr">
        <is>
          <t>15.23a</t>
        </is>
      </c>
      <c r="C244" s="2" t="inlineStr">
        <is>
          <t>U – Umfeld, Gebäude und Nutzung</t>
        </is>
      </c>
      <c r="D244" s="2" t="inlineStr">
        <is>
          <t>Feuchtigkeit oder Kondensat an sicherheitsrelevanten Bauteilen (Steuerung, Bremse, Türverriegelung)?</t>
        </is>
      </c>
      <c r="E244" s="2" t="inlineStr">
        <is>
          <t>YES_NO</t>
        </is>
      </c>
      <c r="F244" s="2" t="inlineStr"/>
      <c r="G244" s="2" t="inlineStr"/>
      <c r="H244" s="2" t="inlineStr"/>
      <c r="I244" s="2" t="inlineStr">
        <is>
          <t>MF-U07</t>
        </is>
      </c>
    </row>
    <row r="245">
      <c r="A245" s="4" t="inlineStr">
        <is>
          <t>qu_korrosion</t>
        </is>
      </c>
      <c r="B245" s="4" t="inlineStr">
        <is>
          <t>15.23b</t>
        </is>
      </c>
      <c r="C245" s="4" t="inlineStr">
        <is>
          <t>U – Umfeld, Gebäude und Nutzung</t>
        </is>
      </c>
      <c r="D245" s="4" t="inlineStr">
        <is>
          <t>Massive Korrosion, Betonabplatzungen oder andere bauliche Schäden am Schacht oder Triebwerksraum?</t>
        </is>
      </c>
      <c r="E245" s="4" t="inlineStr">
        <is>
          <t>YES_NO</t>
        </is>
      </c>
      <c r="F245" s="4" t="inlineStr"/>
      <c r="G245" s="4" t="inlineStr"/>
      <c r="H245" s="4" t="inlineStr"/>
      <c r="I245" s="4" t="inlineStr">
        <is>
          <t>MF-U07</t>
        </is>
      </c>
    </row>
    <row r="246">
      <c r="A246" s="2" t="inlineStr">
        <is>
          <t>qu_bauliche_aenderung</t>
        </is>
      </c>
      <c r="B246" s="2" t="inlineStr">
        <is>
          <t>15.26</t>
        </is>
      </c>
      <c r="C246" s="2" t="inlineStr">
        <is>
          <t>U – Umfeld, Gebäude und Nutzung</t>
        </is>
      </c>
      <c r="D246" s="2" t="inlineStr">
        <is>
          <t>Bauliche Änderungen am Schacht / Triebwerksraum ohne statische und sicherheitstechnische Bewertung?</t>
        </is>
      </c>
      <c r="E246" s="2" t="inlineStr">
        <is>
          <t>YES_NO</t>
        </is>
      </c>
      <c r="F246" s="2" t="inlineStr"/>
      <c r="G246" s="2" t="inlineStr"/>
      <c r="H246" s="2" t="inlineStr"/>
      <c r="I246" s="2" t="inlineStr">
        <is>
          <t>MF-U08</t>
        </is>
      </c>
    </row>
    <row r="247">
      <c r="A247" s="4" t="inlineStr">
        <is>
          <t>qu_verkleidung</t>
        </is>
      </c>
      <c r="B247" s="4" t="inlineStr">
        <is>
          <t>15.26a</t>
        </is>
      </c>
      <c r="C247" s="4" t="inlineStr">
        <is>
          <t>U – Umfeld, Gebäude und Nutzung</t>
        </is>
      </c>
      <c r="D247" s="4" t="inlineStr">
        <is>
          <t>Nachträgliche Verkleidungen oder Änderungen, die den Sicherheitszustand verschlechtern (Schutzräume, Lüftung, Zugänge)?</t>
        </is>
      </c>
      <c r="E247" s="4" t="inlineStr">
        <is>
          <t>YES_NO</t>
        </is>
      </c>
      <c r="F247" s="4" t="inlineStr"/>
      <c r="G247" s="4" t="inlineStr"/>
      <c r="H247" s="4" t="inlineStr"/>
      <c r="I247" s="4" t="inlineStr">
        <is>
          <t>MF-U08</t>
        </is>
      </c>
    </row>
    <row r="248">
      <c r="A248" s="2" t="inlineStr">
        <is>
          <t>qu_bma_abgestimmt</t>
        </is>
      </c>
      <c r="B248" s="2" t="inlineStr">
        <is>
          <t>15.8a</t>
        </is>
      </c>
      <c r="C248" s="2" t="inlineStr">
        <is>
          <t>U – Umfeld, Gebäude und Nutzung</t>
        </is>
      </c>
      <c r="D248" s="2" t="inlineStr">
        <is>
          <t>Schnittstelle Brandmeldeanlage – Aufzug bekannt und abgestimmt (Brandfallsteuerung, Rückholung, Evakuierung)?</t>
        </is>
      </c>
      <c r="E248" s="2" t="inlineStr">
        <is>
          <t>YES_NO</t>
        </is>
      </c>
      <c r="F248" s="2" t="inlineStr"/>
      <c r="G248" s="2" t="inlineStr"/>
      <c r="H248" s="2" t="inlineStr">
        <is>
          <t>15.8 Brandmeldeanlage (BMA) im Gebäude vorhanden? = Ja</t>
        </is>
      </c>
      <c r="I248" s="2" t="inlineStr">
        <is>
          <t>MF-U09</t>
        </is>
      </c>
    </row>
    <row r="249">
      <c r="A249" s="4" t="inlineStr">
        <is>
          <t>qu_bma_geprueft</t>
        </is>
      </c>
      <c r="B249" s="4" t="inlineStr">
        <is>
          <t>15.8b</t>
        </is>
      </c>
      <c r="C249" s="4" t="inlineStr">
        <is>
          <t>U – Umfeld, Gebäude und Nutzung</t>
        </is>
      </c>
      <c r="D249" s="4" t="inlineStr">
        <is>
          <t>Funktion der Schnittstelle BMA – Aufzug geprüft (Nachweis)?</t>
        </is>
      </c>
      <c r="E249" s="4" t="inlineStr">
        <is>
          <t>YES_NO</t>
        </is>
      </c>
      <c r="F249" s="4" t="inlineStr"/>
      <c r="G249" s="4" t="inlineStr"/>
      <c r="H249" s="4" t="inlineStr">
        <is>
          <t>15.8a Schnittstelle Brandmeldeanlage – Aufzug bekannt und abgestimmt (Brandfallsteuerung, Rückholung, Evakuierung)? = Ja</t>
        </is>
      </c>
      <c r="I249" s="4" t="inlineStr">
        <is>
          <t>MF-U09</t>
        </is>
      </c>
    </row>
    <row r="250">
      <c r="A250" s="2" t="inlineStr">
        <is>
          <t>qu_evak_in_gbu</t>
        </is>
      </c>
      <c r="B250" s="2" t="inlineStr">
        <is>
          <t>15.8c</t>
        </is>
      </c>
      <c r="C250" s="2" t="inlineStr">
        <is>
          <t>U – Umfeld, Gebäude und Nutzung</t>
        </is>
      </c>
      <c r="D250" s="2" t="inlineStr">
        <is>
          <t>Evakuierungs-/Sonderfunktion des Aufzugs in dieser Gefährdungsbeurteilung berücksichtigt?</t>
        </is>
      </c>
      <c r="E250" s="2" t="inlineStr">
        <is>
          <t>YES_NO</t>
        </is>
      </c>
      <c r="F250" s="2" t="inlineStr"/>
      <c r="G250" s="2" t="inlineStr"/>
      <c r="H250" s="2" t="inlineStr">
        <is>
          <t>15.8 Brandmeldeanlage (BMA) im Gebäude vorhanden? = Ja</t>
        </is>
      </c>
      <c r="I250" s="2" t="inlineStr">
        <is>
          <t>MF-U09</t>
        </is>
      </c>
    </row>
    <row r="251">
      <c r="A251" s="4" t="inlineStr">
        <is>
          <t>qu_brandschutz_behindert</t>
        </is>
      </c>
      <c r="B251" s="4" t="inlineStr">
        <is>
          <t>15.8d</t>
        </is>
      </c>
      <c r="C251" s="4" t="inlineStr">
        <is>
          <t>U – Umfeld, Gebäude und Nutzung</t>
        </is>
      </c>
      <c r="D251" s="4" t="inlineStr">
        <is>
          <t>Behindert eine Brandschutzeinrichtung (Brandschutztür, Abschottung) den Aufzugsbetrieb oder die Personenrettung?</t>
        </is>
      </c>
      <c r="E251" s="4" t="inlineStr">
        <is>
          <t>YES_NO</t>
        </is>
      </c>
      <c r="F251" s="4" t="inlineStr"/>
      <c r="G251" s="4" t="inlineStr"/>
      <c r="H251" s="4" t="inlineStr"/>
      <c r="I251" s="4" t="inlineStr">
        <is>
          <t>MF-U09</t>
        </is>
      </c>
    </row>
    <row r="252">
      <c r="A252" s="2" t="inlineStr">
        <is>
          <t>qu_entrauchung</t>
        </is>
      </c>
      <c r="B252" s="2" t="inlineStr">
        <is>
          <t>15.9a</t>
        </is>
      </c>
      <c r="C252" s="2" t="inlineStr">
        <is>
          <t>U – Umfeld, Gebäude und Nutzung</t>
        </is>
      </c>
      <c r="D252" s="2" t="inlineStr">
        <is>
          <t>Zustand der Schachtentrauchung / RWA / Lüftungsöffnung</t>
        </is>
      </c>
      <c r="E252" s="2" t="inlineStr">
        <is>
          <t>SELECT</t>
        </is>
      </c>
      <c r="F252" s="2" t="inlineStr">
        <is>
          <t>Funktion geprüft, Öffnungen frei
Funktion unklar, blockiert oder defekt
Öffnungen verschlossen, verändert oder unzureichend
Kein Nachweis über Prüfung</t>
        </is>
      </c>
      <c r="G252" s="2" t="inlineStr"/>
      <c r="H252" s="2" t="inlineStr">
        <is>
          <t>15.9 Schachtentrauchung / RWA / Lüftungsöffnung im Schachtkopf vorhanden? = Ja</t>
        </is>
      </c>
      <c r="I252" s="2" t="inlineStr">
        <is>
          <t>MF-U10</t>
        </is>
      </c>
    </row>
    <row r="253">
      <c r="A253" s="4" t="inlineStr">
        <is>
          <t>qu_sprinkler_bewertet</t>
        </is>
      </c>
      <c r="B253" s="4" t="inlineStr">
        <is>
          <t>15.10a</t>
        </is>
      </c>
      <c r="C253" s="4" t="inlineStr">
        <is>
          <t>U – Umfeld, Gebäude und Nutzung</t>
        </is>
      </c>
      <c r="D253" s="4" t="inlineStr">
        <is>
          <t>Wechselwirkung der Löschanlage mit der Aufzugsanlage (Wasserbeaufschlagung, Abschaltung) bewertet?</t>
        </is>
      </c>
      <c r="E253" s="4" t="inlineStr">
        <is>
          <t>YES_NO</t>
        </is>
      </c>
      <c r="F253" s="4" t="inlineStr"/>
      <c r="G253" s="4" t="inlineStr"/>
      <c r="H253" s="4" t="inlineStr">
        <is>
          <t>15.10 Löschanlage / Sprinkler im Schacht oder Triebwerksraum vorhanden? = Ja</t>
        </is>
      </c>
      <c r="I253" s="4" t="inlineStr">
        <is>
          <t>MF-U11</t>
        </is>
      </c>
    </row>
    <row r="254">
      <c r="A254" s="2" t="inlineStr">
        <is>
          <t>qu_wartung_gefaehrlicher_zugang</t>
        </is>
      </c>
      <c r="B254" s="2" t="inlineStr">
        <is>
          <t>15.36</t>
        </is>
      </c>
      <c r="C254" s="2" t="inlineStr">
        <is>
          <t>U – Umfeld, Gebäude und Nutzung</t>
        </is>
      </c>
      <c r="D254" s="2" t="inlineStr">
        <is>
          <t>Müssen Fremdgewerke (Lüftung, Elektro, Reinigung) für ihre Arbeiten in den Aufzugsbereich (Schacht, Triebwerksraum) eindringen?</t>
        </is>
      </c>
      <c r="E254" s="2" t="inlineStr">
        <is>
          <t>YES_NO</t>
        </is>
      </c>
      <c r="F254" s="2" t="inlineStr"/>
      <c r="G254" s="2" t="inlineStr"/>
      <c r="H254" s="2" t="inlineStr"/>
      <c r="I254" s="2" t="inlineStr">
        <is>
          <t>MF-U12</t>
        </is>
      </c>
    </row>
    <row r="255">
      <c r="A255" s="4" t="inlineStr">
        <is>
          <t>qu_fremd_zugangskonzept</t>
        </is>
      </c>
      <c r="B255" s="4" t="inlineStr">
        <is>
          <t>15.36a</t>
        </is>
      </c>
      <c r="C255" s="4" t="inlineStr">
        <is>
          <t>U – Umfeld, Gebäude und Nutzung</t>
        </is>
      </c>
      <c r="D255" s="4" t="inlineStr">
        <is>
          <t>Zugangs- und Schutzkonzept für Fremdgewerke / Reinigungspersonal vorhanden?</t>
        </is>
      </c>
      <c r="E255" s="4" t="inlineStr">
        <is>
          <t>YES_NO</t>
        </is>
      </c>
      <c r="F255" s="4" t="inlineStr"/>
      <c r="G255" s="4" t="inlineStr"/>
      <c r="H255" s="4" t="inlineStr">
        <is>
          <t>15.36 Müssen Fremdgewerke (Lüftung, Elektro, Reinigung) für ihre Arbeiten in den Aufzugsbereich (Schacht, Triebwerksraum) eindringen? = Ja</t>
        </is>
      </c>
      <c r="I255" s="4" t="inlineStr">
        <is>
          <t>MF-U12</t>
        </is>
      </c>
    </row>
    <row r="256">
      <c r="A256" s="2" t="inlineStr">
        <is>
          <t>qu_nachweise_fremdgewerke</t>
        </is>
      </c>
      <c r="B256" s="2" t="inlineStr">
        <is>
          <t>15.37</t>
        </is>
      </c>
      <c r="C256" s="2" t="inlineStr">
        <is>
          <t>U – Umfeld, Gebäude und Nutzung</t>
        </is>
      </c>
      <c r="D256" s="2" t="inlineStr">
        <is>
          <t>Prüfnachweise der angrenzenden Gewerke (BMA, RWA, Ersatzstrom, Löschanlage) verfügbar?</t>
        </is>
      </c>
      <c r="E256" s="2" t="inlineStr">
        <is>
          <t>YES_NO</t>
        </is>
      </c>
      <c r="F256" s="2" t="inlineStr"/>
      <c r="G256" s="2" t="inlineStr"/>
      <c r="H256" s="2" t="inlineStr"/>
      <c r="I256" s="2" t="inlineStr">
        <is>
          <t>MF-U13</t>
        </is>
      </c>
    </row>
    <row r="257">
      <c r="A257" s="4" t="inlineStr">
        <is>
          <t>qu_zustaendigkeit</t>
        </is>
      </c>
      <c r="B257" s="4" t="inlineStr">
        <is>
          <t>15.38</t>
        </is>
      </c>
      <c r="C257" s="4" t="inlineStr">
        <is>
          <t>U – Umfeld, Gebäude und Nutzung</t>
        </is>
      </c>
      <c r="D257" s="4" t="inlineStr">
        <is>
          <t>Zuständigkeiten zwischen den Gewerken für Maßnahmen an den Schnittstellen geregelt?</t>
        </is>
      </c>
      <c r="E257" s="4" t="inlineStr">
        <is>
          <t>YES_NO</t>
        </is>
      </c>
      <c r="F257" s="4" t="inlineStr"/>
      <c r="G257" s="4" t="inlineStr"/>
      <c r="H257" s="4" t="inlineStr"/>
      <c r="I257" s="4" t="inlineStr">
        <is>
          <t>MF-U13</t>
        </is>
      </c>
    </row>
    <row r="258">
      <c r="A258" s="2" t="inlineStr">
        <is>
          <t>qu_verkehrswege</t>
        </is>
      </c>
      <c r="B258" s="2" t="inlineStr">
        <is>
          <t>15.27</t>
        </is>
      </c>
      <c r="C258" s="2" t="inlineStr">
        <is>
          <t>U – Umfeld, Gebäude und Nutzung</t>
        </is>
      </c>
      <c r="D258" s="2" t="inlineStr">
        <is>
          <t>Grenzt der Aufzugszugang unmittelbar an Fahrwege oder Verkehrsflächen (Tiefgarage, Anlieferung, Flurförderzeuge)?</t>
        </is>
      </c>
      <c r="E258" s="2" t="inlineStr">
        <is>
          <t>YES_NO</t>
        </is>
      </c>
      <c r="F258" s="2" t="inlineStr"/>
      <c r="G258" s="2" t="inlineStr"/>
      <c r="H258" s="2" t="inlineStr"/>
      <c r="I258" s="2" t="inlineStr">
        <is>
          <t>MF-U14</t>
        </is>
      </c>
    </row>
    <row r="259">
      <c r="A259" s="4" t="inlineStr">
        <is>
          <t>qu_abgase</t>
        </is>
      </c>
      <c r="B259" s="4" t="inlineStr">
        <is>
          <t>15.24</t>
        </is>
      </c>
      <c r="C259" s="4" t="inlineStr">
        <is>
          <t>U – Umfeld, Gebäude und Nutzung</t>
        </is>
      </c>
      <c r="D259" s="4" t="inlineStr">
        <is>
          <t>Abgase oder Emissionen im Aufstellbereich (Tiefgarage, Werkstatt, Notstromaggregat)?</t>
        </is>
      </c>
      <c r="E259" s="4" t="inlineStr">
        <is>
          <t>YES_NO</t>
        </is>
      </c>
      <c r="F259" s="4" t="inlineStr"/>
      <c r="G259" s="4" t="inlineStr"/>
      <c r="H259" s="4" t="inlineStr"/>
      <c r="I259" s="4" t="inlineStr">
        <is>
          <t>MF-U15</t>
        </is>
      </c>
    </row>
    <row r="260">
      <c r="A260" s="2" t="inlineStr">
        <is>
          <t>qu_laerm</t>
        </is>
      </c>
      <c r="B260" s="2" t="inlineStr">
        <is>
          <t>15.22</t>
        </is>
      </c>
      <c r="C260" s="2" t="inlineStr">
        <is>
          <t>U – Umfeld, Gebäude und Nutzung</t>
        </is>
      </c>
      <c r="D260" s="2" t="inlineStr">
        <is>
          <t>Erhöhte Lärmbelastung im Triebwerksraum oder am Aufzug (über 85 dB(A))?</t>
        </is>
      </c>
      <c r="E260" s="2" t="inlineStr">
        <is>
          <t>YES_NO</t>
        </is>
      </c>
      <c r="F260" s="2" t="inlineStr"/>
      <c r="G260" s="2" t="inlineStr"/>
      <c r="H260" s="2" t="inlineStr"/>
      <c r="I260" s="2" t="inlineStr">
        <is>
          <t>MF-U15</t>
        </is>
      </c>
    </row>
    <row r="261">
      <c r="A261" s="4" t="inlineStr">
        <is>
          <t>qu_unfaelle</t>
        </is>
      </c>
      <c r="B261" s="4" t="inlineStr">
        <is>
          <t>15.30</t>
        </is>
      </c>
      <c r="C261" s="4" t="inlineStr">
        <is>
          <t>U – Umfeld, Gebäude und Nutzung</t>
        </is>
      </c>
      <c r="D261" s="4" t="inlineStr">
        <is>
          <t>Unfälle oder gefährliche Ereignisse an der Anlage in den letzten Jahren</t>
        </is>
      </c>
      <c r="E261" s="4" t="inlineStr">
        <is>
          <t>SELECT</t>
        </is>
      </c>
      <c r="F261" s="4" t="inlineStr">
        <is>
          <t>Keine bekannt
Ereignisse mit Sachschaden
Unfälle mit Personenschaden</t>
        </is>
      </c>
      <c r="G261" s="4" t="inlineStr"/>
      <c r="H261" s="4" t="inlineStr"/>
      <c r="I261" s="4" t="inlineStr">
        <is>
          <t>MF-U15</t>
        </is>
      </c>
    </row>
    <row r="262">
      <c r="A262" s="2" t="inlineStr">
        <is>
          <t>qu_umfeld_kritisch</t>
        </is>
      </c>
      <c r="B262" s="2" t="inlineStr">
        <is>
          <t>15.4</t>
        </is>
      </c>
      <c r="C262" s="2" t="inlineStr">
        <is>
          <t>U – Umfeld, Gebäude und Nutzung</t>
        </is>
      </c>
      <c r="D262" s="2" t="inlineStr">
        <is>
          <t>Kritisches soziales Umfeld (Vandalismus, Missbrauch der Anlage)?</t>
        </is>
      </c>
      <c r="E262" s="2" t="inlineStr">
        <is>
          <t>YES_NO</t>
        </is>
      </c>
      <c r="F262" s="2" t="inlineStr"/>
      <c r="G262" s="2" t="inlineStr"/>
      <c r="H262" s="2" t="inlineStr"/>
      <c r="I262" s="2" t="inlineStr">
        <is>
          <t>MF-U15</t>
        </is>
      </c>
    </row>
    <row r="263">
      <c r="A263" s="4" t="inlineStr">
        <is>
          <t>qsf_unterlagen</t>
        </is>
      </c>
      <c r="B263" s="4" t="inlineStr">
        <is>
          <t>16.1</t>
        </is>
      </c>
      <c r="C263" s="4" t="inlineStr">
        <is>
          <t>SF – Sonderfunktionen</t>
        </is>
      </c>
      <c r="D263" s="4" t="inlineStr">
        <is>
          <t>Anforderungen und Unterlagen des Feuerwehraufzugs (EN 81-72, Brandschutzkonzept) vorhanden und erfüllt?</t>
        </is>
      </c>
      <c r="E263" s="4" t="inlineStr">
        <is>
          <t>YES_NO</t>
        </is>
      </c>
      <c r="F263" s="4" t="inlineStr"/>
      <c r="G263" s="4" t="inlineStr"/>
      <c r="H263" s="4" t="inlineStr">
        <is>
          <t>15.6 Feuerwehraufzug oder Aufzug mit Brandfall-Sonderbetrieb (EN 81-72 / EN 81-73 Evakuierung)? = Ja</t>
        </is>
      </c>
      <c r="I263" s="4" t="inlineStr">
        <is>
          <t>MF-SF01</t>
        </is>
      </c>
    </row>
    <row r="264">
      <c r="A264" s="2" t="inlineStr">
        <is>
          <t>qsf_bma</t>
        </is>
      </c>
      <c r="B264" s="2" t="inlineStr">
        <is>
          <t>16.2</t>
        </is>
      </c>
      <c r="C264" s="2" t="inlineStr">
        <is>
          <t>SF – Sonderfunktionen</t>
        </is>
      </c>
      <c r="D264" s="2" t="inlineStr">
        <is>
          <t>Brandmeldeanlage und Feuerwehraufzugsfunktion aufeinander abgestimmt?</t>
        </is>
      </c>
      <c r="E264" s="2" t="inlineStr">
        <is>
          <t>YES_NO</t>
        </is>
      </c>
      <c r="F264" s="2" t="inlineStr"/>
      <c r="G264" s="2" t="inlineStr"/>
      <c r="H264" s="2" t="inlineStr">
        <is>
          <t>15.6 Feuerwehraufzug oder Aufzug mit Brandfall-Sonderbetrieb (EN 81-72 / EN 81-73 Evakuierung)? = Ja</t>
        </is>
      </c>
      <c r="I264" s="2" t="inlineStr">
        <is>
          <t>MF-SF01</t>
        </is>
      </c>
    </row>
    <row r="265">
      <c r="A265" s="4" t="inlineStr">
        <is>
          <t>qsf_druckbelueftung</t>
        </is>
      </c>
      <c r="B265" s="4" t="inlineStr">
        <is>
          <t>16.3</t>
        </is>
      </c>
      <c r="C265" s="4" t="inlineStr">
        <is>
          <t>SF – Sonderfunktionen</t>
        </is>
      </c>
      <c r="D265" s="4" t="inlineStr">
        <is>
          <t>Druckbelüftungs-/Rauchschutzanlagen für Schacht und Vorräume vorhanden und geprüft?</t>
        </is>
      </c>
      <c r="E265" s="4" t="inlineStr">
        <is>
          <t>YES_NO</t>
        </is>
      </c>
      <c r="F265" s="4" t="inlineStr"/>
      <c r="G265" s="4" t="inlineStr"/>
      <c r="H265" s="4" t="inlineStr">
        <is>
          <t>15.6 Feuerwehraufzug oder Aufzug mit Brandfall-Sonderbetrieb (EN 81-72 / EN 81-73 Evakuierung)? = Ja</t>
        </is>
      </c>
      <c r="I265" s="4" t="inlineStr">
        <is>
          <t>MF-SF01</t>
        </is>
      </c>
    </row>
    <row r="266">
      <c r="A266" s="2" t="inlineStr">
        <is>
          <t>qsf_loeschwasser</t>
        </is>
      </c>
      <c r="B266" s="2" t="inlineStr">
        <is>
          <t>16.4</t>
        </is>
      </c>
      <c r="C266" s="2" t="inlineStr">
        <is>
          <t>SF – Sonderfunktionen</t>
        </is>
      </c>
      <c r="D266" s="2" t="inlineStr">
        <is>
          <t>Löschwasser-/Pumpeneinrichtungen mit Schnittstelle zum Aufzug berücksichtigt?</t>
        </is>
      </c>
      <c r="E266" s="2" t="inlineStr">
        <is>
          <t>YES_NO</t>
        </is>
      </c>
      <c r="F266" s="2" t="inlineStr"/>
      <c r="G266" s="2" t="inlineStr"/>
      <c r="H266" s="2" t="inlineStr">
        <is>
          <t>15.6 Feuerwehraufzug oder Aufzug mit Brandfall-Sonderbetrieb (EN 81-72 / EN 81-73 Evakuierung)? = Ja</t>
        </is>
      </c>
      <c r="I266" s="2" t="inlineStr">
        <is>
          <t>MF-SF01</t>
        </is>
      </c>
    </row>
    <row r="267">
      <c r="A267" s="4" t="inlineStr">
        <is>
          <t>qsf_ersatzstrom</t>
        </is>
      </c>
      <c r="B267" s="4" t="inlineStr">
        <is>
          <t>16.5</t>
        </is>
      </c>
      <c r="C267" s="4" t="inlineStr">
        <is>
          <t>SF – Sonderfunktionen</t>
        </is>
      </c>
      <c r="D267" s="4" t="inlineStr">
        <is>
          <t>Sicherheits-/Ersatzstromversorgung vorhanden und geprüft?</t>
        </is>
      </c>
      <c r="E267" s="4" t="inlineStr">
        <is>
          <t>YES_NO</t>
        </is>
      </c>
      <c r="F267" s="4" t="inlineStr"/>
      <c r="G267" s="4" t="inlineStr"/>
      <c r="H267" s="4" t="inlineStr">
        <is>
          <t>15.6 Feuerwehraufzug oder Aufzug mit Brandfall-Sonderbetrieb (EN 81-72 / EN 81-73 Evakuierung)? = Ja</t>
        </is>
      </c>
      <c r="I267" s="4" t="inlineStr">
        <is>
          <t>MF-SF01</t>
        </is>
      </c>
    </row>
    <row r="268">
      <c r="A268" s="2" t="inlineStr">
        <is>
          <t>qsf_ersatzstrom_test</t>
        </is>
      </c>
      <c r="B268" s="2" t="inlineStr">
        <is>
          <t>16.6</t>
        </is>
      </c>
      <c r="C268" s="2" t="inlineStr">
        <is>
          <t>SF – Sonderfunktionen</t>
        </is>
      </c>
      <c r="D268" s="2" t="inlineStr">
        <is>
          <t>Funktion des Aufzugs unter Ersatzstrombedingungen geprüft?</t>
        </is>
      </c>
      <c r="E268" s="2" t="inlineStr">
        <is>
          <t>YES_NO</t>
        </is>
      </c>
      <c r="F268" s="2" t="inlineStr"/>
      <c r="G268" s="2" t="inlineStr"/>
      <c r="H268" s="2" t="inlineStr">
        <is>
          <t>15.6 Feuerwehraufzug oder Aufzug mit Brandfall-Sonderbetrieb (EN 81-72 / EN 81-73 Evakuierung)? = Ja</t>
        </is>
      </c>
      <c r="I268" s="2" t="inlineStr">
        <is>
          <t>MF-SF01</t>
        </is>
      </c>
    </row>
    <row r="269">
      <c r="A269" s="4" t="inlineStr">
        <is>
          <t>qsf_nachweise</t>
        </is>
      </c>
      <c r="B269" s="4" t="inlineStr">
        <is>
          <t>16.7</t>
        </is>
      </c>
      <c r="C269" s="4" t="inlineStr">
        <is>
          <t>SF – Sonderfunktionen</t>
        </is>
      </c>
      <c r="D269" s="4" t="inlineStr">
        <is>
          <t>Erforderliche Prüfnachweise der Fremdgewerke verfügbar?</t>
        </is>
      </c>
      <c r="E269" s="4" t="inlineStr">
        <is>
          <t>YES_NO</t>
        </is>
      </c>
      <c r="F269" s="4" t="inlineStr"/>
      <c r="G269" s="4" t="inlineStr"/>
      <c r="H269" s="4" t="inlineStr">
        <is>
          <t>15.6 Feuerwehraufzug oder Aufzug mit Brandfall-Sonderbetrieb (EN 81-72 / EN 81-73 Evakuierung)? = Ja</t>
        </is>
      </c>
      <c r="I269" s="4" t="inlineStr">
        <is>
          <t>MF-SF01</t>
        </is>
      </c>
    </row>
    <row r="270">
      <c r="A270" s="2" t="inlineStr">
        <is>
          <t>qsf_feuerwehr_doku</t>
        </is>
      </c>
      <c r="B270" s="2" t="inlineStr">
        <is>
          <t>16.8</t>
        </is>
      </c>
      <c r="C270" s="2" t="inlineStr">
        <is>
          <t>SF – Sonderfunktionen</t>
        </is>
      </c>
      <c r="D270" s="2" t="inlineStr">
        <is>
          <t>Schnittstellen zur Feuerwehr / Brandschutzdienststelle dokumentiert (Feuerwehrplan, Schlüsseldepot)?</t>
        </is>
      </c>
      <c r="E270" s="2" t="inlineStr">
        <is>
          <t>YES_NO</t>
        </is>
      </c>
      <c r="F270" s="2" t="inlineStr"/>
      <c r="G270" s="2" t="inlineStr"/>
      <c r="H270" s="2" t="inlineStr">
        <is>
          <t>15.6 Feuerwehraufzug oder Aufzug mit Brandfall-Sonderbetrieb (EN 81-72 / EN 81-73 Evakuierung)? = Ja</t>
        </is>
      </c>
      <c r="I270" s="2" t="inlineStr">
        <is>
          <t>MF-SF01</t>
        </is>
      </c>
    </row>
    <row r="271">
      <c r="A271" s="4" t="inlineStr">
        <is>
          <t>qsf_organisation</t>
        </is>
      </c>
      <c r="B271" s="4" t="inlineStr">
        <is>
          <t>16.9</t>
        </is>
      </c>
      <c r="C271" s="4" t="inlineStr">
        <is>
          <t>SF – Sonderfunktionen</t>
        </is>
      </c>
      <c r="D271" s="4" t="inlineStr">
        <is>
          <t>Betreiberorganisation auf den Sonderbetrieb abgestimmt (Zuständigkeit, Unterweisung, Übungen)?</t>
        </is>
      </c>
      <c r="E271" s="4" t="inlineStr">
        <is>
          <t>YES_NO</t>
        </is>
      </c>
      <c r="F271" s="4" t="inlineStr"/>
      <c r="G271" s="4" t="inlineStr"/>
      <c r="H271" s="4" t="inlineStr">
        <is>
          <t>15.6 Feuerwehraufzug oder Aufzug mit Brandfall-Sonderbetrieb (EN 81-72 / EN 81-73 Evakuierung)? = Ja</t>
        </is>
      </c>
      <c r="I271" s="4" t="inlineStr">
        <is>
          <t>MF-SF01</t>
        </is>
      </c>
    </row>
    <row r="272">
      <c r="A272" s="2" t="inlineStr">
        <is>
          <t>qsf_cyber</t>
        </is>
      </c>
      <c r="B272" s="2" t="inlineStr">
        <is>
          <t>16.10</t>
        </is>
      </c>
      <c r="C272" s="2" t="inlineStr">
        <is>
          <t>SF – Sonderfunktionen</t>
        </is>
      </c>
      <c r="D272" s="2" t="inlineStr">
        <is>
          <t>Cyber-Auswirkungen auf die Feuerwehrfunktionen gesondert betrachtet?</t>
        </is>
      </c>
      <c r="E272" s="2" t="inlineStr">
        <is>
          <t>YES_NO</t>
        </is>
      </c>
      <c r="F272" s="2" t="inlineStr"/>
      <c r="G272" s="2" t="inlineStr"/>
      <c r="H272" s="2" t="inlineStr">
        <is>
          <t>15.6 Feuerwehraufzug oder Aufzug mit Brandfall-Sonderbetrieb (EN 81-72 / EN 81-73 Evakuierung)? = Ja</t>
        </is>
      </c>
      <c r="I272" s="2" t="inlineStr">
        <is>
          <t>MF-SF01</t>
        </is>
      </c>
    </row>
    <row r="273">
      <c r="A273" s="4" t="inlineStr">
        <is>
          <t>qd_notfallplan</t>
        </is>
      </c>
      <c r="B273" s="4" t="inlineStr">
        <is>
          <t>3.2</t>
        </is>
      </c>
      <c r="C273" s="4" t="inlineStr">
        <is>
          <t>D – Unterlagen und Betreiberorganisation</t>
        </is>
      </c>
      <c r="D273" s="4" t="inlineStr">
        <is>
          <t>Notfallplan für die Anlage vorhanden und aktuell (Ansprechpartner, Befreiungsdienst, Meldewege)?</t>
        </is>
      </c>
      <c r="E273" s="4" t="inlineStr">
        <is>
          <t>YES_NO</t>
        </is>
      </c>
      <c r="F273" s="4" t="inlineStr"/>
      <c r="G273" s="4" t="inlineStr"/>
      <c r="H273" s="4" t="inlineStr"/>
      <c r="I273" s="4" t="inlineStr">
        <is>
          <t>MF-D01</t>
        </is>
      </c>
    </row>
    <row r="274">
      <c r="A274" s="2" t="inlineStr">
        <is>
          <t>qd_notbefreiungsanleitung</t>
        </is>
      </c>
      <c r="B274" s="2" t="inlineStr">
        <is>
          <t>3.3</t>
        </is>
      </c>
      <c r="C274" s="2" t="inlineStr">
        <is>
          <t>D – Unterlagen und Betreiberorganisation</t>
        </is>
      </c>
      <c r="D274" s="2" t="inlineStr">
        <is>
          <t>Anlagenbezogene Notbefreiungs-/Evakuierungsanleitung</t>
        </is>
      </c>
      <c r="E274" s="2" t="inlineStr">
        <is>
          <t>SELECT</t>
        </is>
      </c>
      <c r="F274" s="2" t="inlineStr">
        <is>
          <t>Vorhanden, zur Anlage passend und aktuell
Vorhanden, aber veraltet oder nicht zur Anlage passend
Nicht vorhanden</t>
        </is>
      </c>
      <c r="G274" s="2" t="inlineStr"/>
      <c r="H274" s="2" t="inlineStr"/>
      <c r="I274" s="2" t="inlineStr">
        <is>
          <t>MF-D02</t>
        </is>
      </c>
    </row>
    <row r="275">
      <c r="A275" s="4" t="inlineStr">
        <is>
          <t>qd_wartungsunterlagen</t>
        </is>
      </c>
      <c r="B275" s="4" t="inlineStr">
        <is>
          <t>3.9</t>
        </is>
      </c>
      <c r="C275" s="4" t="inlineStr">
        <is>
          <t>D – Unterlagen und Betreiberorganisation</t>
        </is>
      </c>
      <c r="D275" s="4" t="inlineStr">
        <is>
          <t>Wartungsunterlagen und Prüfbuch vorhanden und aktuell?</t>
        </is>
      </c>
      <c r="E275" s="4" t="inlineStr">
        <is>
          <t>YES_NO</t>
        </is>
      </c>
      <c r="F275" s="4" t="inlineStr"/>
      <c r="G275" s="4" t="inlineStr"/>
      <c r="H275" s="4" t="inlineStr"/>
      <c r="I275" s="4" t="inlineStr">
        <is>
          <t>MF-D03</t>
        </is>
      </c>
    </row>
    <row r="276">
      <c r="A276" s="2" t="inlineStr">
        <is>
          <t>qd_regelmaessige_wartung</t>
        </is>
      </c>
      <c r="B276" s="2" t="inlineStr">
        <is>
          <t>3.10</t>
        </is>
      </c>
      <c r="C276" s="2" t="inlineStr">
        <is>
          <t>D – Unterlagen und Betreiberorganisation</t>
        </is>
      </c>
      <c r="D276" s="2" t="inlineStr">
        <is>
          <t>Wird die Anlage regelmäßig durch ein Fachunternehmen instand gehalten (Wartungsvertrag)?</t>
        </is>
      </c>
      <c r="E276" s="2" t="inlineStr">
        <is>
          <t>YES_NO</t>
        </is>
      </c>
      <c r="F276" s="2" t="inlineStr"/>
      <c r="G276" s="2" t="inlineStr"/>
      <c r="H276" s="2" t="inlineStr"/>
      <c r="I276" s="2" t="inlineStr">
        <is>
          <t>MF-D03</t>
        </is>
      </c>
    </row>
    <row r="277">
      <c r="A277" s="4" t="inlineStr">
        <is>
          <t>qd_pruefplakette</t>
        </is>
      </c>
      <c r="B277" s="4" t="inlineStr">
        <is>
          <t>3.6</t>
        </is>
      </c>
      <c r="C277" s="4" t="inlineStr">
        <is>
          <t>D – Unterlagen und Betreiberorganisation</t>
        </is>
      </c>
      <c r="D277" s="4" t="inlineStr">
        <is>
          <t>Prüfplakette der ZÜS vorhanden und lesbar?</t>
        </is>
      </c>
      <c r="E277" s="4" t="inlineStr">
        <is>
          <t>YES_NO</t>
        </is>
      </c>
      <c r="F277" s="4" t="inlineStr"/>
      <c r="G277" s="4" t="inlineStr"/>
      <c r="H277" s="4" t="inlineStr"/>
      <c r="I277" s="4" t="inlineStr">
        <is>
          <t>MF-D04</t>
        </is>
      </c>
    </row>
    <row r="278">
      <c r="A278" s="2" t="inlineStr">
        <is>
          <t>qd_pruefung_ueberfaellig</t>
        </is>
      </c>
      <c r="B278" s="2" t="inlineStr">
        <is>
          <t>3.8</t>
        </is>
      </c>
      <c r="C278" s="2" t="inlineStr">
        <is>
          <t>D – Unterlagen und Betreiberorganisation</t>
        </is>
      </c>
      <c r="D278" s="2" t="inlineStr">
        <is>
          <t>Prüffrist der wiederkehrenden Prüfung (ZÜS) überschritten?</t>
        </is>
      </c>
      <c r="E278" s="2" t="inlineStr">
        <is>
          <t>YES_NO</t>
        </is>
      </c>
      <c r="F278" s="2" t="inlineStr"/>
      <c r="G278" s="2" t="inlineStr"/>
      <c r="H278" s="2" t="inlineStr"/>
      <c r="I278" s="2" t="inlineStr">
        <is>
          <t>MF-D04</t>
        </is>
      </c>
    </row>
    <row r="279">
      <c r="A279" s="4" t="inlineStr">
        <is>
          <t>qd_beauftragte_person</t>
        </is>
      </c>
      <c r="B279" s="4" t="inlineStr">
        <is>
          <t>E1</t>
        </is>
      </c>
      <c r="C279" s="4" t="inlineStr">
        <is>
          <t>D – Unterlagen und Betreiberorganisation</t>
        </is>
      </c>
      <c r="D279" s="4" t="inlineStr">
        <is>
          <t>Beauftragte Person für die Aufzugsanlage (Aufzugswärter) schriftlich benannt?</t>
        </is>
      </c>
      <c r="E279" s="4" t="inlineStr">
        <is>
          <t>YES_NO</t>
        </is>
      </c>
      <c r="F279" s="4" t="inlineStr"/>
      <c r="G279" s="4" t="inlineStr"/>
      <c r="H279" s="4" t="inlineStr"/>
      <c r="I279" s="4" t="inlineStr">
        <is>
          <t>MF-D05</t>
        </is>
      </c>
    </row>
    <row r="280">
      <c r="A280" s="2" t="inlineStr">
        <is>
          <t>qd_unterweisung</t>
        </is>
      </c>
      <c r="B280" s="2" t="inlineStr">
        <is>
          <t>E2</t>
        </is>
      </c>
      <c r="C280" s="2" t="inlineStr">
        <is>
          <t>D – Unterlagen und Betreiberorganisation</t>
        </is>
      </c>
      <c r="D280" s="2" t="inlineStr">
        <is>
          <t>Unterweisung der beauftragten Person dokumentiert?</t>
        </is>
      </c>
      <c r="E280" s="2" t="inlineStr">
        <is>
          <t>YES_NO</t>
        </is>
      </c>
      <c r="F280" s="2" t="inlineStr"/>
      <c r="G280" s="2" t="inlineStr"/>
      <c r="H280" s="2" t="inlineStr">
        <is>
          <t>E1 Beauftragte Person für die Aufzugsanlage (Aufzugswärter) schriftlich benannt? = Ja</t>
        </is>
      </c>
      <c r="I280" s="2" t="inlineStr">
        <is>
          <t>MF-D05</t>
        </is>
      </c>
    </row>
    <row r="281">
      <c r="A281" s="4" t="inlineStr">
        <is>
          <t>qd_betriebsanweisung</t>
        </is>
      </c>
      <c r="B281" s="4" t="inlineStr">
        <is>
          <t>E3</t>
        </is>
      </c>
      <c r="C281" s="4" t="inlineStr">
        <is>
          <t>D – Unterlagen und Betreiberorganisation</t>
        </is>
      </c>
      <c r="D281" s="4" t="inlineStr">
        <is>
          <t>Betriebsanweisung für die Anlage vorhanden und ausgehängt?</t>
        </is>
      </c>
      <c r="E281" s="4" t="inlineStr">
        <is>
          <t>YES_NO</t>
        </is>
      </c>
      <c r="F281" s="4" t="inlineStr"/>
      <c r="G281" s="4" t="inlineStr"/>
      <c r="H281" s="4" t="inlineStr"/>
      <c r="I281" s="4" t="inlineStr">
        <is>
          <t>MF-D05</t>
        </is>
      </c>
    </row>
    <row r="282">
      <c r="A282" s="2" t="inlineStr">
        <is>
          <t>qd_zugang_mr_geregelt</t>
        </is>
      </c>
      <c r="B282" s="2" t="inlineStr">
        <is>
          <t>E4</t>
        </is>
      </c>
      <c r="C282" s="2" t="inlineStr">
        <is>
          <t>D – Unterlagen und Betreiberorganisation</t>
        </is>
      </c>
      <c r="D282" s="2" t="inlineStr">
        <is>
          <t>Zutritt zum Triebwerksraum / Steuerschrank organisatorisch geregelt (Schlüsselverwaltung, nur befugte Personen)?</t>
        </is>
      </c>
      <c r="E282" s="2" t="inlineStr">
        <is>
          <t>YES_NO</t>
        </is>
      </c>
      <c r="F282" s="2" t="inlineStr"/>
      <c r="G282" s="2" t="inlineStr"/>
      <c r="H282" s="2" t="inlineStr"/>
      <c r="I282" s="2" t="inlineStr">
        <is>
          <t>MF-D05</t>
        </is>
      </c>
    </row>
    <row r="283">
      <c r="A283" s="4" t="inlineStr">
        <is>
          <t>qd_gbu_vorhanden</t>
        </is>
      </c>
      <c r="B283" s="4" t="inlineStr">
        <is>
          <t>E5</t>
        </is>
      </c>
      <c r="C283" s="4" t="inlineStr">
        <is>
          <t>D – Unterlagen und Betreiberorganisation</t>
        </is>
      </c>
      <c r="D283" s="4" t="inlineStr">
        <is>
          <t>Liegt für die Anlage bereits eine dokumentierte Gefährdungsbeurteilung des Betreibers vor?</t>
        </is>
      </c>
      <c r="E283" s="4" t="inlineStr">
        <is>
          <t>YES_NO</t>
        </is>
      </c>
      <c r="F283" s="4" t="inlineStr"/>
      <c r="G283" s="4" t="inlineStr"/>
      <c r="H283" s="4" t="inlineStr"/>
      <c r="I283" s="4" t="inlineStr">
        <is>
          <t>MF-D05</t>
        </is>
      </c>
    </row>
  </sheetData>
  <autoFilter ref="A1:I28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Mehrfragiger GBU-Typ „EN 81-20 mehrfragig" (MF) – Klärungsliste zur fachlichen Gegenlesung</t>
        </is>
      </c>
    </row>
    <row r="2">
      <c r="A2" s="9" t="inlineStr">
        <is>
          <t>Stand 02.09.2026 · Regelwerk 81-20-mf-2026.3 · 282 Fragen · 99 Gefährdungen · 387 Regeln · 47 Klärungspunkte</t>
        </is>
      </c>
    </row>
    <row r="3">
      <c r="A3" s="9" t="inlineStr"/>
    </row>
    <row r="4">
      <c r="A4" s="9" t="inlineStr">
        <is>
          <t>Aufbau: Frage → Gefährdung (Rolle) → Regel → Stufe. Eine Gefährdung hat mehrere Fragen. Anlagenmerkmale (Blatt Fragen, Bereich A) filtern Gefährdungen auf „Nicht zutreffend". Fehlt eine Pflichtfrage, ist die Gefährdung „Unvollständig" – nie „Kein Risiko".</t>
        </is>
      </c>
    </row>
    <row r="5">
      <c r="A5" s="9" t="inlineStr">
        <is>
          <t>Quellen: Fragen, Stufen und Maßnahmen stammen aus den App-Katalogen (81-20 erweitert, Ergänzung 2026); die Zuordnung mehrerer Fragen zu einer Gefährdung, die Anlagenmerkmale als Filter und die Ortsmatrix (Zugang/Triebwerksraum/Schacht/Grube) folgen als Methode der Schindler-Analyse. Alle Texte sind eigenständig formuliert.</t>
        </is>
      </c>
    </row>
    <row r="6">
      <c r="A6" s="9" t="inlineStr">
        <is>
          <t>Evidenz je Regel: HIGH_CONFIDENCE = Stufe und Maßnahme aus einer bestehenden App-Option übernommen; INFERRED = aus App-Katalog oder Schindler-Struktur abgeleitet, Text neu; HYPOTHESIS = eigener Vorschlag ohne Vorlage – bitte besonders prüfen.</t>
        </is>
      </c>
    </row>
    <row r="7">
      <c r="A7" s="9" t="inlineStr">
        <is>
          <t>Was zu tun ist: (1) Blatt Klaerungen – jede Zeile entscheiden (gelbe Spalten). (2) Blatt Regeln – stichprobenartig oder vollständig prüfen, Spalte „Prüfung OK?" und ggf. Korrektur eintragen. (3) Rückgabe der Datei; die Änderungen werden in mf_content/*.py eingepflegt und das Seed neu erzeugt.</t>
        </is>
      </c>
    </row>
    <row r="8">
      <c r="A8" s="9" t="inlineStr">
        <is>
          <t>Dieselben Inhalte sind im Prototyp „GBU-Bewertung" (Typ „GBU mehrfragig") interaktiv durchklickbar; dort zeigt jede Gefährdung ihre Fragen, die zutreffende Regel, Maßnahmen, Quellen und offene Klärungen.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2026-09-04T09:58:47Z</dcterms:created>
  <dcterms:modified xmlns:dcterms="http://purl.org/dc/terms/" xmlns:xsi="http://www.w3.org/2001/XMLSchema-instance" xsi:type="dcterms:W3CDTF">2026-09-04T09:58:47Z</dcterms:modified>
</cp:coreProperties>
</file>