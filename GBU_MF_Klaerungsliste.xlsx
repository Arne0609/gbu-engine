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laerungen" sheetId="1" state="visible" r:id="rId1"/>
    <sheet xmlns:r="http://schemas.openxmlformats.org/officeDocument/2006/relationships" name="Regeln" sheetId="2" state="visible" r:id="rId2"/>
    <sheet xmlns:r="http://schemas.openxmlformats.org/officeDocument/2006/relationships" name="Gefaehrdungen" sheetId="3" state="visible" r:id="rId3"/>
    <sheet xmlns:r="http://schemas.openxmlformats.org/officeDocument/2006/relationships" name="Fragen" sheetId="4" state="visible" r:id="rId4"/>
    <sheet xmlns:r="http://schemas.openxmlformats.org/officeDocument/2006/relationships" name="Lesehinweise" sheetId="5" state="visible" r:id="rId5"/>
  </sheets>
  <definedNames>
    <definedName name="_xlnm._FilterDatabase" localSheetId="1" hidden="1">'Regeln'!$A$1:$N$433</definedName>
    <definedName name="_xlnm._FilterDatabase" localSheetId="2" hidden="1">'Gefaehrdungen'!$A$1:$K$101</definedName>
    <definedName name="_xlnm._FilterDatabase" localSheetId="3" hidden="1">'Fragen'!$A$1:$I$314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sz val="10"/>
    </font>
    <font>
      <name val="Arial"/>
      <sz val="9"/>
    </font>
    <font>
      <name val="Arial"/>
      <b val="1"/>
      <sz val="11"/>
    </font>
  </fonts>
  <fills count="5">
    <fill>
      <patternFill/>
    </fill>
    <fill>
      <patternFill patternType="gray125"/>
    </fill>
    <fill>
      <patternFill patternType="solid">
        <fgColor rgb="001F3A5F"/>
      </patternFill>
    </fill>
    <fill>
      <patternFill patternType="solid">
        <fgColor rgb="00F3F5F8"/>
      </patternFill>
    </fill>
    <fill>
      <patternFill patternType="solid">
        <fgColor rgb="00FFF2CC"/>
      </patternFill>
    </fill>
  </fills>
  <borders count="2">
    <border>
      <left/>
      <right/>
      <top/>
      <bottom/>
      <diagonal/>
    </border>
    <border>
      <left style="thin">
        <color rgb="00C9D1DB"/>
      </left>
      <right style="thin">
        <color rgb="00C9D1DB"/>
      </right>
      <top style="thin">
        <color rgb="00C9D1DB"/>
      </top>
      <bottom style="thin">
        <color rgb="00C9D1DB"/>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2" fillId="0" borderId="0" pivotButton="0" quotePrefix="0" xfId="0"/>
    <xf numFmtId="0" fontId="4" fillId="0" borderId="0" pivotButton="0" quotePrefix="0" xfId="0"/>
    <xf numFmtId="0" fontId="5"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5"/>
  <sheetViews>
    <sheetView workbookViewId="0">
      <pane ySplit="1" topLeftCell="A2" activePane="bottomLeft" state="frozen"/>
      <selection pane="bottomLeft" activeCell="A1" sqref="A1"/>
    </sheetView>
  </sheetViews>
  <sheetFormatPr baseColWidth="8" defaultRowHeight="15"/>
  <cols>
    <col width="9" customWidth="1" min="1" max="1"/>
    <col width="14" customWidth="1" min="2" max="2"/>
    <col width="24" customWidth="1" min="3" max="3"/>
    <col width="60" customWidth="1" min="4" max="4"/>
    <col width="30" customWidth="1" min="5" max="5"/>
    <col width="34" customWidth="1" min="6" max="6"/>
    <col width="36" customWidth="1" min="7" max="7"/>
    <col width="24" customWidth="1" min="8" max="8"/>
    <col width="18" customWidth="1" min="9" max="9"/>
    <col width="40" customWidth="1" min="10" max="10"/>
  </cols>
  <sheetData>
    <row r="1" ht="30" customHeight="1">
      <c r="A1" s="1" t="inlineStr">
        <is>
          <t>ID</t>
        </is>
      </c>
      <c r="B1" s="1" t="inlineStr">
        <is>
          <t>Bereich</t>
        </is>
      </c>
      <c r="C1" s="1" t="inlineStr">
        <is>
          <t>Thema</t>
        </is>
      </c>
      <c r="D1" s="1" t="inlineStr">
        <is>
          <t>Frage</t>
        </is>
      </c>
      <c r="E1" s="1" t="inlineStr">
        <is>
          <t>Vorschlag</t>
        </is>
      </c>
      <c r="F1" s="1" t="inlineStr">
        <is>
          <t>Alternative</t>
        </is>
      </c>
      <c r="G1" s="1" t="inlineStr">
        <is>
          <t>Grund</t>
        </is>
      </c>
      <c r="H1" s="1" t="inlineStr">
        <is>
          <t>Betroffene Gefährdungen</t>
        </is>
      </c>
      <c r="I1" s="1" t="inlineStr">
        <is>
          <t>Entscheidung</t>
        </is>
      </c>
      <c r="J1" s="1" t="inlineStr">
        <is>
          <t>Bemerkung / Festlegung</t>
        </is>
      </c>
    </row>
    <row r="2">
      <c r="A2" s="2" t="inlineStr">
        <is>
          <t>K-Z01</t>
        </is>
      </c>
      <c r="B2" s="2" t="inlineStr">
        <is>
          <t>Zugang</t>
        </is>
      </c>
      <c r="C2" s="2" t="inlineStr">
        <is>
          <t>Schlüsseltresor</t>
        </is>
      </c>
      <c r="D2" s="2" t="inlineStr">
        <is>
          <t>Ist ein Zugang „jederzeit über Schlüsseltresor" wirklich „Kein Risiko" – oder ein niedriges Restrisiko (Tresor kann fehlen/defekt sein)?</t>
        </is>
      </c>
      <c r="E2" s="2" t="inlineStr">
        <is>
          <t>Kein Risiko (wie App-Katalog Z5)</t>
        </is>
      </c>
      <c r="F2" s="2" t="inlineStr">
        <is>
          <t>Niedrig (so bewertet es die Schindler-App bei „Ja, über Schlüsseltresor")</t>
        </is>
      </c>
      <c r="G2" s="2" t="inlineStr">
        <is>
          <t>App und Schindler weichen voneinander ab.</t>
        </is>
      </c>
      <c r="H2" s="2" t="inlineStr">
        <is>
          <t>MF-Z09</t>
        </is>
      </c>
      <c r="I2" s="3" t="inlineStr">
        <is>
          <t>Vorschlag</t>
        </is>
      </c>
      <c r="J2" s="3" t="inlineStr">
        <is>
          <t>Schlüsseltresor = Kein Risiko. (Stand 2026-09-02)</t>
        </is>
      </c>
    </row>
    <row r="3">
      <c r="A3" s="4" t="inlineStr">
        <is>
          <t>K-Z02</t>
        </is>
      </c>
      <c r="B3" s="4" t="inlineStr">
        <is>
          <t>Zugang</t>
        </is>
      </c>
      <c r="C3" s="4" t="inlineStr">
        <is>
          <t>Fluchtweg Triebwerksraum</t>
        </is>
      </c>
      <c r="D3" s="4" t="inlineStr">
        <is>
          <t>Versperrter Flucht-/Rettungsweg im Triebwerksraum: Hoch oder Niedrig?</t>
        </is>
      </c>
      <c r="E3" s="4" t="inlineStr">
        <is>
          <t>Hoch (App-Katalog Z10)</t>
        </is>
      </c>
      <c r="F3" s="4" t="inlineStr">
        <is>
          <t>Niedrig (Schindler M120, da nur Instandhaltungspersonal betroffen; an den Fahrkorbausgängen dagegen Mittel)</t>
        </is>
      </c>
      <c r="G3" s="4" t="inlineStr">
        <is>
          <t>App und Schindler weichen deutlich voneinander ab.</t>
        </is>
      </c>
      <c r="H3" s="4" t="inlineStr">
        <is>
          <t>MF-Z08</t>
        </is>
      </c>
      <c r="I3" s="3" t="inlineStr">
        <is>
          <t>Alternative</t>
        </is>
      </c>
      <c r="J3" s="3" t="inlineStr">
        <is>
          <t>Flucht-/Rettungsweg Triebwerksraum: Niedrig (alle drei Befunde). (Stand 2026-09-02)</t>
        </is>
      </c>
    </row>
    <row r="4">
      <c r="A4" s="2" t="inlineStr">
        <is>
          <t>K-Z03</t>
        </is>
      </c>
      <c r="B4" s="2" t="inlineStr">
        <is>
          <t>Zugang</t>
        </is>
      </c>
      <c r="C4" s="2" t="inlineStr">
        <is>
          <t>Enge Durchgänge</t>
        </is>
      </c>
      <c r="D4" s="2" t="inlineStr">
        <is>
          <t>Enge/niedrige Durchgänge (&lt; 0,60 m / &lt; 2,00 m) als eigene Stufe Mittel – oder nur als Hinweis ohne Stufe?</t>
        </is>
      </c>
      <c r="E4" s="2" t="inlineStr">
        <is>
          <t>Mittel</t>
        </is>
      </c>
      <c r="F4" s="2" t="inlineStr">
        <is>
          <t>Nur Dokumentation</t>
        </is>
      </c>
      <c r="G4" s="2" t="inlineStr">
        <is>
          <t>Schindler zählt es zu M019 (Hoch im Worst Case), der App-Katalog kennt es nicht.</t>
        </is>
      </c>
      <c r="H4" s="2" t="inlineStr"/>
      <c r="I4" s="3" t="inlineStr">
        <is>
          <t>Alternative</t>
        </is>
      </c>
      <c r="J4" s="3" t="inlineStr">
        <is>
          <t>Enge Durchgänge nur Dokumentation, keine Stufe. (Stand 2026-09-02)</t>
        </is>
      </c>
    </row>
    <row r="5">
      <c r="A5" s="4" t="inlineStr">
        <is>
          <t>K-Z04</t>
        </is>
      </c>
      <c r="B5" s="4" t="inlineStr">
        <is>
          <t>Zugang</t>
        </is>
      </c>
      <c r="C5" s="4" t="inlineStr">
        <is>
          <t>Mobile Leiter</t>
        </is>
      </c>
      <c r="D5" s="4" t="inlineStr">
        <is>
          <t>Zugang nur über mobile Anlegeleiter: Mittel oder Hoch?</t>
        </is>
      </c>
      <c r="E5" s="4" t="inlineStr">
        <is>
          <t>Mittel</t>
        </is>
      </c>
      <c r="F5" s="4" t="inlineStr">
        <is>
          <t>Hoch (Absturz)</t>
        </is>
      </c>
      <c r="G5" s="4" t="inlineStr">
        <is>
          <t>Im App-Katalog nicht als eigene Option enthalten.</t>
        </is>
      </c>
      <c r="H5" s="4" t="inlineStr">
        <is>
          <t>MF-Z03</t>
        </is>
      </c>
      <c r="I5" s="3" t="inlineStr">
        <is>
          <t>Alternative</t>
        </is>
      </c>
      <c r="J5" s="3" t="inlineStr">
        <is>
          <t>Zugang nur über mobile Leiter: Hoch. (Stand 2026-09-02)</t>
        </is>
      </c>
    </row>
    <row r="6">
      <c r="A6" s="2" t="inlineStr">
        <is>
          <t>K-M01</t>
        </is>
      </c>
      <c r="B6" s="2" t="inlineStr">
        <is>
          <t>Triebwerksraum</t>
        </is>
      </c>
      <c r="C6" s="2" t="inlineStr">
        <is>
          <t>DGUV-V3-Nachweis</t>
        </is>
      </c>
      <c r="D6" s="2" t="inlineStr">
        <is>
          <t>Fehlender Nachweis der Prüfung nach DGUV Vorschrift 3: Hoch (wie App M1) oder Mittel (organisatorischer Mangel, kein unmittelbarer Schaden)?</t>
        </is>
      </c>
      <c r="E6" s="2" t="inlineStr">
        <is>
          <t>Hoch (App-Katalog M1)</t>
        </is>
      </c>
      <c r="F6" s="2" t="inlineStr">
        <is>
          <t>Mittel</t>
        </is>
      </c>
      <c r="G6" s="2" t="inlineStr">
        <is>
          <t>Rein organisatorischer Befund mit Stufe Hoch.</t>
        </is>
      </c>
      <c r="H6" s="2" t="inlineStr">
        <is>
          <t>MF-M02</t>
        </is>
      </c>
      <c r="I6" s="3" t="inlineStr">
        <is>
          <t>Alternative</t>
        </is>
      </c>
      <c r="J6" s="3" t="inlineStr">
        <is>
          <t>Fehlender DGUV-V3-Nachweis: Mittel. (Stand 2026-09-02)</t>
        </is>
      </c>
    </row>
    <row r="7">
      <c r="A7" s="4" t="inlineStr">
        <is>
          <t>K-M02</t>
        </is>
      </c>
      <c r="B7" s="4" t="inlineStr">
        <is>
          <t>Triebwerksraum</t>
        </is>
      </c>
      <c r="C7" s="4" t="inlineStr">
        <is>
          <t>Hauptschalter nicht abschließbar</t>
        </is>
      </c>
      <c r="D7" s="4" t="inlineStr">
        <is>
          <t>Hauptschalter vorhanden, aber nicht abschließbar: Mittel (App M9) oder Hoch (App M5)?</t>
        </is>
      </c>
      <c r="E7" s="4" t="inlineStr">
        <is>
          <t>Mittel (M9 ist die neuere Kategorie)</t>
        </is>
      </c>
      <c r="F7" s="4" t="inlineStr">
        <is>
          <t>Hoch (M5)</t>
        </is>
      </c>
      <c r="G7" s="4" t="inlineStr">
        <is>
          <t>Die beiden App-Kategorien M5 und M9 widersprechen sich.</t>
        </is>
      </c>
      <c r="H7" s="4" t="inlineStr">
        <is>
          <t>MF-M07</t>
        </is>
      </c>
      <c r="I7" s="3" t="inlineStr">
        <is>
          <t>Alternative</t>
        </is>
      </c>
      <c r="J7" s="3" t="inlineStr">
        <is>
          <t>Hauptschalter nicht abschließbar: Hoch (App M5). (Stand 2026-09-02)</t>
        </is>
      </c>
    </row>
    <row r="8">
      <c r="A8" s="2" t="inlineStr">
        <is>
          <t>K-M03</t>
        </is>
      </c>
      <c r="B8" s="2" t="inlineStr">
        <is>
          <t>Antrieb</t>
        </is>
      </c>
      <c r="C8" s="2" t="inlineStr">
        <is>
          <t>Motorschutz</t>
        </is>
      </c>
      <c r="D8" s="2" t="inlineStr">
        <is>
          <t>Fehlender Schutz gegen Überhitzen des Antriebs: Hoch (App M10) oder Mittel (Schindler M006)?</t>
        </is>
      </c>
      <c r="E8" s="2" t="inlineStr">
        <is>
          <t>Hoch (App)</t>
        </is>
      </c>
      <c r="F8" s="2" t="inlineStr">
        <is>
          <t>Mittel (Schindler)</t>
        </is>
      </c>
      <c r="G8" s="2" t="inlineStr">
        <is>
          <t>Abweichung App/Schindler.</t>
        </is>
      </c>
      <c r="H8" s="2" t="inlineStr">
        <is>
          <t>MF-M09</t>
        </is>
      </c>
      <c r="I8" s="3" t="inlineStr">
        <is>
          <t>Alternative</t>
        </is>
      </c>
      <c r="J8" s="3" t="inlineStr">
        <is>
          <t>Fehlender Motorschutz: Mittel. (Stand 2026-09-02)</t>
        </is>
      </c>
    </row>
    <row r="9">
      <c r="A9" s="4" t="inlineStr">
        <is>
          <t>K-M04</t>
        </is>
      </c>
      <c r="B9" s="4" t="inlineStr">
        <is>
          <t>Antrieb</t>
        </is>
      </c>
      <c r="C9" s="4" t="inlineStr">
        <is>
          <t>Ein Fahrschütz mit selbstüberwachender Steuerung</t>
        </is>
      </c>
      <c r="D9" s="4" t="inlineStr">
        <is>
          <t>Nur ein Fahrschütz, aber selbstüberwachende Steuerung mit Baumusterprüfung: Kein Risiko (App M5) oder Mittel (App M10)?</t>
        </is>
      </c>
      <c r="E9" s="4" t="inlineStr">
        <is>
          <t>Kein Risiko</t>
        </is>
      </c>
      <c r="F9" s="4" t="inlineStr">
        <is>
          <t>Mittel</t>
        </is>
      </c>
      <c r="G9" s="4" t="inlineStr">
        <is>
          <t>Die App-Kategorien M5 und M10 widersprechen sich.</t>
        </is>
      </c>
      <c r="H9" s="4" t="inlineStr">
        <is>
          <t>MF-M10</t>
        </is>
      </c>
      <c r="I9" s="3" t="inlineStr">
        <is>
          <t>Vorschlag</t>
        </is>
      </c>
      <c r="J9" s="3" t="inlineStr">
        <is>
          <t>Ein Fahrschütz mit selbstüberwachender Steuerung: Kein Risiko. (Stand 2026-09-02)</t>
        </is>
      </c>
    </row>
    <row r="10">
      <c r="A10" s="2" t="inlineStr">
        <is>
          <t>K-M05</t>
        </is>
      </c>
      <c r="B10" s="2" t="inlineStr">
        <is>
          <t>Antrieb</t>
        </is>
      </c>
      <c r="C10" s="2" t="inlineStr">
        <is>
          <t>Phasenumkehrschutz bei geregelten Antrieben</t>
        </is>
      </c>
      <c r="D10" s="2" t="inlineStr">
        <is>
          <t>Darf der Phasenumkehrschutz bei Frequenzumrichter-Antrieben als „nicht zutreffend" gelten (Schutz ist im Umrichter enthalten)?</t>
        </is>
      </c>
      <c r="E10" s="2" t="inlineStr">
        <is>
          <t>Ja, nicht zutreffend</t>
        </is>
      </c>
      <c r="F10" s="2" t="inlineStr">
        <is>
          <t>Nein, immer prüfen</t>
        </is>
      </c>
      <c r="G10" s="2" t="inlineStr">
        <is>
          <t>Eigene Annahme; im App-Katalog nicht geregelt.</t>
        </is>
      </c>
      <c r="H10" s="2" t="inlineStr">
        <is>
          <t>MF-M12</t>
        </is>
      </c>
      <c r="I10" s="3" t="inlineStr">
        <is>
          <t>Vorschlag</t>
        </is>
      </c>
      <c r="J10" s="3" t="inlineStr">
        <is>
          <t>Phasenumkehrschutz bei geregelten Antrieben: nicht zutreffend. (Stand 2026-09-02)</t>
        </is>
      </c>
    </row>
    <row r="11">
      <c r="A11" s="4" t="inlineStr">
        <is>
          <t>K-M06</t>
        </is>
      </c>
      <c r="B11" s="4" t="inlineStr">
        <is>
          <t>Elektrik</t>
        </is>
      </c>
      <c r="C11" s="4" t="inlineStr">
        <is>
          <t>Potenzialausgleich</t>
        </is>
      </c>
      <c r="D11" s="4" t="inlineStr">
        <is>
          <t>Fehlender Hauptpotenzialausgleich: Hoch (App M14) oder Mittel (Schindler M110)?</t>
        </is>
      </c>
      <c r="E11" s="4" t="inlineStr">
        <is>
          <t>Hoch (App)</t>
        </is>
      </c>
      <c r="F11" s="4" t="inlineStr">
        <is>
          <t>Mittel (Schindler)</t>
        </is>
      </c>
      <c r="G11" s="4" t="inlineStr">
        <is>
          <t>Abweichung App/Schindler.</t>
        </is>
      </c>
      <c r="H11" s="4" t="inlineStr">
        <is>
          <t>MF-M16</t>
        </is>
      </c>
      <c r="I11" s="3" t="inlineStr">
        <is>
          <t>Alternative</t>
        </is>
      </c>
      <c r="J11" s="3" t="inlineStr">
        <is>
          <t>Fehlender Potenzialausgleich: Mittel. (Stand 2026-09-02)</t>
        </is>
      </c>
    </row>
    <row r="12">
      <c r="A12" s="2" t="inlineStr">
        <is>
          <t>K-M07</t>
        </is>
      </c>
      <c r="B12" s="2" t="inlineStr">
        <is>
          <t>Personenbefreiung</t>
        </is>
      </c>
      <c r="C12" s="2" t="inlineStr">
        <is>
          <t>Notbefreiungsanleitung</t>
        </is>
      </c>
      <c r="D12" s="2" t="inlineStr">
        <is>
          <t>Fehlende oder veraltete Notbefreiungsanleitung: Mittel (App M13) oder Hoch (Schindler M116)?</t>
        </is>
      </c>
      <c r="E12" s="2" t="inlineStr">
        <is>
          <t>Hoch, wenn sie fehlt; Mittel, wenn nur veraltet</t>
        </is>
      </c>
      <c r="F12" s="2" t="inlineStr">
        <is>
          <t>Immer Mittel</t>
        </is>
      </c>
      <c r="G12" s="2" t="inlineStr">
        <is>
          <t>Abweichung App/Schindler; hier als abgestufte Regel vorgeschlagen.</t>
        </is>
      </c>
      <c r="H12" s="2" t="inlineStr">
        <is>
          <t>MF-D02</t>
        </is>
      </c>
      <c r="I12" s="3" t="inlineStr">
        <is>
          <t>Vorschlag</t>
        </is>
      </c>
      <c r="J12" s="3" t="inlineStr">
        <is>
          <t>Notbefreiungsanleitung fehlt: Hoch; veraltet oder nicht zur Anlage passend: Mittel. (Stand 2026-09-02)</t>
        </is>
      </c>
    </row>
    <row r="13">
      <c r="A13" s="4" t="inlineStr">
        <is>
          <t>K-M08</t>
        </is>
      </c>
      <c r="B13" s="4" t="inlineStr">
        <is>
          <t>Elektrik</t>
        </is>
      </c>
      <c r="C13" s="4" t="inlineStr">
        <is>
          <t>Ohne Maschinenraum</t>
        </is>
      </c>
      <c r="D13" s="4" t="inlineStr">
        <is>
          <t>Bei maschinenraumlosen Anlagen: Gelten die Fragen zu Berührungssicherheit, Hauptschalter, Kennzeichnung und Stromlaufplan unverändert für den Steuerschrank?</t>
        </is>
      </c>
      <c r="E13" s="4" t="inlineStr">
        <is>
          <t>Ja (so umgesetzt: nur raumbezogene Gefährdungen entfallen)</t>
        </is>
      </c>
      <c r="F13" s="4" t="inlineStr">
        <is>
          <t>Eigener Fragensatz</t>
        </is>
      </c>
      <c r="G13" s="4" t="inlineStr">
        <is>
          <t>Eigene Annahme.</t>
        </is>
      </c>
      <c r="H13" s="4" t="inlineStr">
        <is>
          <t>MF-M02, MF-M07, MF-M17</t>
        </is>
      </c>
      <c r="I13" s="3" t="inlineStr">
        <is>
          <t>Vorschlag</t>
        </is>
      </c>
      <c r="J13" s="3" t="inlineStr">
        <is>
          <t>Ohne Maschinenraum gelten die Elektrik-Fragen für den Steuerschrank. (Stand 2026-09-02)</t>
        </is>
      </c>
    </row>
    <row r="14">
      <c r="A14" s="2" t="inlineStr">
        <is>
          <t>K-M09</t>
        </is>
      </c>
      <c r="B14" s="2" t="inlineStr">
        <is>
          <t>Antrieb</t>
        </is>
      </c>
      <c r="C14" s="2" t="inlineStr">
        <is>
          <t>Zweikreisbremse ohne Überwachung</t>
        </is>
      </c>
      <c r="D14" s="2" t="inlineStr">
        <is>
          <t>Zweikreisbremse vorhanden, aber kein Bremskontrollschalter: Mittel (App K4.2) – auch wenn kein SR-Modul / keine Nachregulierung mit offener Tür vorhanden ist?</t>
        </is>
      </c>
      <c r="E14" s="2" t="inlineStr">
        <is>
          <t>Mittel</t>
        </is>
      </c>
      <c r="F14" s="2" t="inlineStr">
        <is>
          <t>Kein Risiko ohne Türüberbrückung</t>
        </is>
      </c>
      <c r="G14" s="2" t="inlineStr">
        <is>
          <t>Eigene Nachfrage.</t>
        </is>
      </c>
      <c r="H14" s="2" t="inlineStr">
        <is>
          <t>MF-M08</t>
        </is>
      </c>
      <c r="I14" s="3" t="inlineStr">
        <is>
          <t>Alternative</t>
        </is>
      </c>
      <c r="J14" s="3" t="inlineStr">
        <is>
          <t>Zweikreisbremse ohne Überwachung: Mittel nur mit Türüberbrückung (SR-Modul), sonst Kein Risiko. (Stand 2026-09-02)</t>
        </is>
      </c>
    </row>
    <row r="15">
      <c r="A15" s="4" t="inlineStr">
        <is>
          <t>K-K01</t>
        </is>
      </c>
      <c r="B15" s="4" t="inlineStr">
        <is>
          <t>Fahrkorb</t>
        </is>
      </c>
      <c r="C15" s="4" t="inlineStr">
        <is>
          <t>Notruf ohne 24-h-Aufschaltung</t>
        </is>
      </c>
      <c r="D15" s="4" t="inlineStr">
        <is>
          <t>Notruf vorhanden, aber nicht auf eine rund um die Uhr besetzte Stelle aufgeschaltet: eigene Stufe Mittel?</t>
        </is>
      </c>
      <c r="E15" s="4" t="inlineStr">
        <is>
          <t>Mittel</t>
        </is>
      </c>
      <c r="F15" s="4" t="inlineStr">
        <is>
          <t>Kein eigener Beitrag (so verhält sich die Schindler-App)</t>
        </is>
      </c>
      <c r="G15" s="4" t="inlineStr">
        <is>
          <t>Schindler M032 wertet nur „Notruf vorhanden?"; 24 h und EN 81-28 ohne Beitrag – fachlich fragwürdig.</t>
        </is>
      </c>
      <c r="H15" s="4" t="inlineStr">
        <is>
          <t>MF-K01</t>
        </is>
      </c>
      <c r="I15" s="3" t="inlineStr">
        <is>
          <t>Vorschlag</t>
        </is>
      </c>
      <c r="J15" s="3" t="inlineStr">
        <is>
          <t>Notruf ohne 24-h-Aufschaltung: Mittel. (Stand 2026-09-02)</t>
        </is>
      </c>
    </row>
    <row r="16">
      <c r="A16" s="2" t="inlineStr">
        <is>
          <t>K-K02</t>
        </is>
      </c>
      <c r="B16" s="2" t="inlineStr">
        <is>
          <t>Fahrkorb</t>
        </is>
      </c>
      <c r="C16" s="2" t="inlineStr">
        <is>
          <t>Fehlende Notbeleuchtung</t>
        </is>
      </c>
      <c r="D16" s="2" t="inlineStr">
        <is>
          <t>Keine Notbeleuchtung im Fahrkorb: Mittel (App K10) oder Hoch (Schindler M023)?</t>
        </is>
      </c>
      <c r="E16" s="2" t="inlineStr">
        <is>
          <t>Mittel (App)</t>
        </is>
      </c>
      <c r="F16" s="2" t="inlineStr">
        <is>
          <t>Hoch (Schindler)</t>
        </is>
      </c>
      <c r="G16" s="2" t="inlineStr">
        <is>
          <t>Abweichung App/Schindler.</t>
        </is>
      </c>
      <c r="H16" s="2" t="inlineStr">
        <is>
          <t>MF-K02</t>
        </is>
      </c>
      <c r="I16" s="3" t="inlineStr">
        <is>
          <t>Alternative</t>
        </is>
      </c>
      <c r="J16" s="3" t="inlineStr">
        <is>
          <t>Keine Notbeleuchtung im Fahrkorb: Hoch. (Stand 2026-09-02)</t>
        </is>
      </c>
    </row>
    <row r="17">
      <c r="A17" s="4" t="inlineStr">
        <is>
          <t>K-K03</t>
        </is>
      </c>
      <c r="B17" s="4" t="inlineStr">
        <is>
          <t>Fahrkorb</t>
        </is>
      </c>
      <c r="C17" s="4" t="inlineStr">
        <is>
          <t>Stufenbildung bei Personen mit eingeschränkter Mobilität</t>
        </is>
      </c>
      <c r="D17" s="4" t="inlineStr">
        <is>
          <t>Stufenbildung 10–20 mm bei zu erwartender Nutzung durch Personen mit eingeschränkter Mobilität: Hochstufung auf Hoch?</t>
        </is>
      </c>
      <c r="E17" s="4" t="inlineStr">
        <is>
          <t>Ja (Modifier)</t>
        </is>
      </c>
      <c r="F17" s="4" t="inlineStr">
        <is>
          <t>Nein, bleibt Mittel</t>
        </is>
      </c>
      <c r="G17" s="4" t="inlineStr">
        <is>
          <t>Eigene Regel nach Schindler-Muster (A73 Behindertennutzung als Modifier bei M001).</t>
        </is>
      </c>
      <c r="H17" s="4" t="inlineStr">
        <is>
          <t>MF-K03</t>
        </is>
      </c>
      <c r="I17" s="3" t="inlineStr">
        <is>
          <t>Vorschlag</t>
        </is>
      </c>
      <c r="J17" s="3" t="inlineStr">
        <is>
          <t>Stufenbildung 10–20 mm bei PmeM-Nutzung: Hoch. (Stand 2026-09-02)</t>
        </is>
      </c>
    </row>
    <row r="18">
      <c r="A18" s="2" t="inlineStr">
        <is>
          <t>K-K04</t>
        </is>
      </c>
      <c r="B18" s="2" t="inlineStr">
        <is>
          <t>Fahrkorb</t>
        </is>
      </c>
      <c r="C18" s="2" t="inlineStr">
        <is>
          <t>Schwellenabstand</t>
        </is>
      </c>
      <c r="D18" s="2" t="inlineStr">
        <is>
          <t>Abstand Fahrkorbschwelle–Schachtwand &gt; 150 mm mit verriegelter Fahrkorbtür: Kein Risiko (App K8) – reicht die Verriegelung als vollständige Kompensation?</t>
        </is>
      </c>
      <c r="E18" s="2" t="inlineStr">
        <is>
          <t>Kein Risiko</t>
        </is>
      </c>
      <c r="F18" s="2" t="inlineStr">
        <is>
          <t>Niedrig</t>
        </is>
      </c>
      <c r="G18" s="2" t="inlineStr">
        <is>
          <t>Eigene Nachfrage.</t>
        </is>
      </c>
      <c r="H18" s="2" t="inlineStr">
        <is>
          <t>MF-K05</t>
        </is>
      </c>
      <c r="I18" s="3" t="inlineStr">
        <is>
          <t>Anders (siehe Bemerkung)</t>
        </is>
      </c>
      <c r="J18" s="3" t="inlineStr">
        <is>
          <t>Kein Risiko nur mit Fahrkorbtür-Verriegelung UND Zusatzverriegelung an der Schachttür (neue Frage 8.15a). (Stand 2026-09-02)</t>
        </is>
      </c>
    </row>
    <row r="19">
      <c r="A19" s="4" t="inlineStr">
        <is>
          <t>K-K05</t>
        </is>
      </c>
      <c r="B19" s="4" t="inlineStr">
        <is>
          <t>Fahrkorb</t>
        </is>
      </c>
      <c r="C19" s="4" t="inlineStr">
        <is>
          <t>Überlastkontrolle nicht geprüft</t>
        </is>
      </c>
      <c r="D19" s="4" t="inlineStr">
        <is>
          <t>Überlastkontrolle vorhanden, Funktion nicht nachweislich geprüft: Mittel?</t>
        </is>
      </c>
      <c r="E19" s="4" t="inlineStr">
        <is>
          <t>Mittel (App K13)</t>
        </is>
      </c>
      <c r="F19" s="4" t="inlineStr">
        <is>
          <t>Niedrig</t>
        </is>
      </c>
      <c r="G19" s="4" t="inlineStr">
        <is>
          <t>Eigene Nachfrage.</t>
        </is>
      </c>
      <c r="H19" s="4" t="inlineStr">
        <is>
          <t>MF-K06</t>
        </is>
      </c>
      <c r="I19" s="3" t="inlineStr">
        <is>
          <t>Alternative</t>
        </is>
      </c>
      <c r="J19" s="3" t="inlineStr">
        <is>
          <t>Überlastkontrolle nicht nachweislich geprüft: Niedrig. (Stand 2026-09-02)</t>
        </is>
      </c>
    </row>
    <row r="20">
      <c r="A20" s="2" t="inlineStr">
        <is>
          <t>K-K06</t>
        </is>
      </c>
      <c r="B20" s="2" t="inlineStr">
        <is>
          <t>Türen</t>
        </is>
      </c>
      <c r="C20" s="2" t="inlineStr">
        <is>
          <t>Notentriegelung nicht an allen Zugängen</t>
        </is>
      </c>
      <c r="D20" s="2" t="inlineStr">
        <is>
          <t>Notentriegelung fehlt an einzelnen Schachttüren: Mittel (App F5) oder Hoch (Schindler M079)?</t>
        </is>
      </c>
      <c r="E20" s="2" t="inlineStr">
        <is>
          <t>Mittel, wenn einzelne fehlen; Hoch, wenn Dreikant/Werkzeug fehlt</t>
        </is>
      </c>
      <c r="F20" s="2" t="inlineStr">
        <is>
          <t>Immer Hoch</t>
        </is>
      </c>
      <c r="G20" s="2" t="inlineStr">
        <is>
          <t>Abweichung App/Schindler.</t>
        </is>
      </c>
      <c r="H20" s="2" t="inlineStr">
        <is>
          <t>MF-T02</t>
        </is>
      </c>
      <c r="I20" s="3" t="inlineStr">
        <is>
          <t>Alternative</t>
        </is>
      </c>
      <c r="J20" s="3" t="inlineStr">
        <is>
          <t>Notentriegelung fehlt an einzelnen Schachttüren: Hoch. (Stand 2026-09-02)</t>
        </is>
      </c>
    </row>
    <row r="21">
      <c r="A21" s="4" t="inlineStr">
        <is>
          <t>K-K07</t>
        </is>
      </c>
      <c r="B21" s="4" t="inlineStr">
        <is>
          <t>Türen</t>
        </is>
      </c>
      <c r="C21" s="4" t="inlineStr">
        <is>
          <t>Feuerwiderstand unbekannt</t>
        </is>
      </c>
      <c r="D21" s="4" t="inlineStr">
        <is>
          <t>Feuerwiderstand der Schachttüren unbekannt (kein Nachweis): Mittel oder nur Dokumentation?</t>
        </is>
      </c>
      <c r="E21" s="4" t="inlineStr">
        <is>
          <t>Mittel</t>
        </is>
      </c>
      <c r="F21" s="4" t="inlineStr">
        <is>
          <t>Dokumentation</t>
        </is>
      </c>
      <c r="G21" s="4" t="inlineStr">
        <is>
          <t>Schindler M083 = Mittel; im App-Katalog nicht enthalten.</t>
        </is>
      </c>
      <c r="H21" s="4" t="inlineStr">
        <is>
          <t>MF-T05</t>
        </is>
      </c>
      <c r="I21" s="3" t="inlineStr">
        <is>
          <t>Vorschlag</t>
        </is>
      </c>
      <c r="J21" s="3" t="inlineStr">
        <is>
          <t>Feuerwiderstand unbekannt: Mittel. (Stand 2026-09-02)</t>
        </is>
      </c>
    </row>
    <row r="22">
      <c r="A22" s="2" t="inlineStr">
        <is>
          <t>K-K08</t>
        </is>
      </c>
      <c r="B22" s="2" t="inlineStr">
        <is>
          <t>Fahrkorb</t>
        </is>
      </c>
      <c r="C22" s="2" t="inlineStr">
        <is>
          <t>UCM „nicht notwendig"</t>
        </is>
      </c>
      <c r="D22" s="2" t="inlineStr">
        <is>
          <t>Kein UCM, aber kein SR-Modul, Zweikreisbremse mit Schalter und statisch bestimmte Lagerung: Mittel (App K4.2) oder Kein Risiko / Niedrig?</t>
        </is>
      </c>
      <c r="E22" s="2" t="inlineStr">
        <is>
          <t>Mittel (App)</t>
        </is>
      </c>
      <c r="F22" s="2" t="inlineStr">
        <is>
          <t>Niedrig</t>
        </is>
      </c>
      <c r="G22" s="2" t="inlineStr">
        <is>
          <t>Der App-Text sagt „UCM nicht notwendig", bewertet aber gelb.</t>
        </is>
      </c>
      <c r="H22" s="2" t="inlineStr">
        <is>
          <t>MF-K12</t>
        </is>
      </c>
      <c r="I22" s="3" t="inlineStr">
        <is>
          <t>Alternative</t>
        </is>
      </c>
      <c r="J22" s="3" t="inlineStr">
        <is>
          <t>UCM „nicht notwendig" (kein SR-Modul, 2K-Bremse mit Schalter, statisch bestimmt): Niedrig. (Stand 2026-09-02)</t>
        </is>
      </c>
    </row>
    <row r="23">
      <c r="A23" s="4" t="inlineStr">
        <is>
          <t>K-K09</t>
        </is>
      </c>
      <c r="B23" s="4" t="inlineStr">
        <is>
          <t>Fahrkorb</t>
        </is>
      </c>
      <c r="C23" s="4" t="inlineStr">
        <is>
          <t>Fahrkorb ohne Tür</t>
        </is>
      </c>
      <c r="D23" s="4" t="inlineStr">
        <is>
          <t>Fahrkorb ohne Abschlusstür, aber mit Sicherheitslichtgitter: Mittel (App K2.2). Bei Nutzung durch Personen mit eingeschränkter Mobilität oder Kinder Hoch?</t>
        </is>
      </c>
      <c r="E23" s="4" t="inlineStr">
        <is>
          <t>Ja (Modifier)</t>
        </is>
      </c>
      <c r="F23" s="4" t="inlineStr">
        <is>
          <t>Nein</t>
        </is>
      </c>
      <c r="G23" s="4" t="inlineStr">
        <is>
          <t>Schindler M076 nutzt A73 Behindertennutzung als Modifier.</t>
        </is>
      </c>
      <c r="H23" s="4" t="inlineStr">
        <is>
          <t>MF-T06</t>
        </is>
      </c>
      <c r="I23" s="3" t="inlineStr">
        <is>
          <t>Vorschlag</t>
        </is>
      </c>
      <c r="J23" s="3" t="inlineStr">
        <is>
          <t>Fahrkorb ohne Tür bei PmeM-/Kindernutzung: Hoch. (Stand 2026-09-02)</t>
        </is>
      </c>
    </row>
    <row r="24">
      <c r="A24" s="2" t="inlineStr">
        <is>
          <t>K-T01</t>
        </is>
      </c>
      <c r="B24" s="2" t="inlineStr">
        <is>
          <t>Türen</t>
        </is>
      </c>
      <c r="C24" s="2" t="inlineStr">
        <is>
          <t>Drahtglas (TRBS-Matrix)</t>
        </is>
      </c>
      <c r="D24" s="2" t="inlineStr">
        <is>
          <t>TRBS 3121 Anh. 1 Nr. 9 nennt das Risiko bei intaktem, sicher befestigtem Drahtglas ausdrücklich niedrig; der App-Katalog K9 bewertet Gitterglas gelb (Mittel). Umgesetzt: Niedrig.</t>
        </is>
      </c>
      <c r="E24" s="2" t="inlineStr">
        <is>
          <t>Niedrig (TRBS-explizit)</t>
        </is>
      </c>
      <c r="F24" s="2" t="inlineStr">
        <is>
          <t>Mittel (App K9)</t>
        </is>
      </c>
      <c r="G24" s="2" t="inlineStr">
        <is>
          <t>Neu aus der TRBS-Risikomatrix vom 02.09.2026.</t>
        </is>
      </c>
      <c r="H24" s="2" t="inlineStr">
        <is>
          <t>MF-T04</t>
        </is>
      </c>
      <c r="I24" s="3" t="inlineStr">
        <is>
          <t>Vorschlag</t>
        </is>
      </c>
      <c r="J24" s="3" t="inlineStr">
        <is>
          <t>Intaktes Drahtglas: Niedrig (TRBS 3121 Anh. 1 Nr. 9). (Stand 2026-09-02)</t>
        </is>
      </c>
    </row>
    <row r="25">
      <c r="A25" s="4" t="inlineStr">
        <is>
          <t>K-T02</t>
        </is>
      </c>
      <c r="B25" s="4" t="inlineStr">
        <is>
          <t>Türen</t>
        </is>
      </c>
      <c r="C25" s="4" t="inlineStr">
        <is>
          <t>Einzel-Lichtschranke (TRBS-Matrix)</t>
        </is>
      </c>
      <c r="D25" s="4" t="inlineStr">
        <is>
          <t>Neue Option „Einzel-Lichtschranke mit 150 N / 10 J": TRBS 3121 Anh. 1 Nr. 10 = ausdrücklich Mittel, bei behinderten/alten/gebrechlichen Personen höher. Umgesetzt: Mittel, Hoch mit PmeM-Nutzung.</t>
        </is>
      </c>
      <c r="E25" s="4" t="inlineStr">
        <is>
          <t>Mittel / Hoch mit PmeM</t>
        </is>
      </c>
      <c r="F25" s="4" t="inlineStr">
        <is>
          <t>Option nicht aufnehmen</t>
        </is>
      </c>
      <c r="G25" s="4" t="inlineStr">
        <is>
          <t>Neu aus der TRBS-Risikomatrix vom 02.09.2026.</t>
        </is>
      </c>
      <c r="H25" s="4" t="inlineStr">
        <is>
          <t>MF-T06</t>
        </is>
      </c>
      <c r="I25" s="3" t="inlineStr">
        <is>
          <t>Vorschlag</t>
        </is>
      </c>
      <c r="J25" s="3" t="inlineStr">
        <is>
          <t>Einzel-Lichtschranke 150 N / 10 J: Mittel, Hoch mit PmeM-Nutzung. (Stand 2026-09-02)</t>
        </is>
      </c>
    </row>
    <row r="26">
      <c r="A26" s="2" t="inlineStr">
        <is>
          <t>K-K10</t>
        </is>
      </c>
      <c r="B26" s="2" t="inlineStr">
        <is>
          <t>Fahrkorb</t>
        </is>
      </c>
      <c r="C26" s="2" t="inlineStr">
        <is>
          <t>Warnhinweis als Kompensation bei Stufenbildung (TRBS-Matrix)</t>
        </is>
      </c>
      <c r="D26" s="2" t="inlineStr">
        <is>
          <t>TRBS 3121 Anh. 1 Nr. 1 lässt einen Warnhinweis nur bei eingeschränktem Benutzerkreis zu, nicht bei behindertengerechten Aufzügen. Umgesetzt: Stufe 10–20 mm + eingewiesener Benutzerkreis + Warnhinweis, keine PmeM-Nutzung = Niedrig (neue Frage 8.10a).</t>
        </is>
      </c>
      <c r="E26" s="2" t="inlineStr">
        <is>
          <t>Niedrig als Kompensation</t>
        </is>
      </c>
      <c r="F26" s="2" t="inlineStr">
        <is>
          <t>Keine Kompensation, bleibt Mittel</t>
        </is>
      </c>
      <c r="G26" s="2" t="inlineStr">
        <is>
          <t>Neu aus der TRBS-Risikomatrix vom 02.09.2026.</t>
        </is>
      </c>
      <c r="H26" s="2" t="inlineStr">
        <is>
          <t>MF-K03</t>
        </is>
      </c>
      <c r="I26" s="3" t="inlineStr">
        <is>
          <t>Alternative</t>
        </is>
      </c>
      <c r="J26" s="3" t="inlineStr">
        <is>
          <t>Kein Warnhinweis als Kompensation bei Stufenbildung; 10–20 mm bleibt Mittel. (Stand 2026-09-02)</t>
        </is>
      </c>
    </row>
    <row r="27">
      <c r="A27" s="4" t="inlineStr">
        <is>
          <t>K-K11</t>
        </is>
      </c>
      <c r="B27" s="4" t="inlineStr">
        <is>
          <t>Fahrkorb</t>
        </is>
      </c>
      <c r="C27" s="4" t="inlineStr">
        <is>
          <t>UCM ohne Bremsüberwachung (TRBS-Matrix)</t>
        </is>
      </c>
      <c r="D27" s="4" t="inlineStr">
        <is>
          <t>TRBS 3121 Anh. 1 Nr. 16: statisch bestimmte Lagerung und Zweikreisbremse OHNE Überwachung = ausdrücklich Mittel (bisher fiel dieser Fall auf Hoch). Mit Überwachung bleibt es bei der Entscheidung K-K08 (Niedrig).</t>
        </is>
      </c>
      <c r="E27" s="4" t="inlineStr">
        <is>
          <t>Mittel (TRBS-explizit)</t>
        </is>
      </c>
      <c r="F27" s="4" t="inlineStr">
        <is>
          <t>Hoch</t>
        </is>
      </c>
      <c r="G27" s="4" t="inlineStr">
        <is>
          <t>Neu aus der TRBS-Risikomatrix vom 02.09.2026.</t>
        </is>
      </c>
      <c r="H27" s="4" t="inlineStr">
        <is>
          <t>MF-K12</t>
        </is>
      </c>
      <c r="I27" s="3" t="inlineStr">
        <is>
          <t>Vorschlag</t>
        </is>
      </c>
      <c r="J27" s="3" t="inlineStr">
        <is>
          <t>Statisch bestimmte Lagerung + Zweikreisbremse ohne Überwachung: Mittel. (Stand 2026-09-02)</t>
        </is>
      </c>
    </row>
    <row r="28">
      <c r="A28" s="2" t="inlineStr">
        <is>
          <t>K-K12</t>
        </is>
      </c>
      <c r="B28" s="2" t="inlineStr">
        <is>
          <t>Fahrkorb</t>
        </is>
      </c>
      <c r="C28" s="2" t="inlineStr">
        <is>
          <t>Hydraulikaufzug ohne UCM</t>
        </is>
      </c>
      <c r="D28" s="2" t="inlineStr">
        <is>
          <t>Hydraulikaufzug ohne UCM-Schutz und ohne Türüberbrückung: Mittel (eigene Annahme; Absinken wird über MF-M13 Hydraulikeinrichtungen bewertet) – oder Hoch wie bei Seilaufzügen?</t>
        </is>
      </c>
      <c r="E28" s="2" t="inlineStr">
        <is>
          <t>Mittel</t>
        </is>
      </c>
      <c r="F28" s="2" t="inlineStr">
        <is>
          <t>Hoch</t>
        </is>
      </c>
      <c r="G28" s="2" t="inlineStr">
        <is>
          <t>Letzte Regel ohne Vorlage (HYPOTHESIS); aus dem Review vom 02.09.2026. Entscheidung: der Fall existiert nicht – ein Hydraulikaufzug hat immer eine Türüberbrückung (Nachregulieren bei Druckverlust).</t>
        </is>
      </c>
      <c r="H28" s="2" t="inlineStr">
        <is>
          <t>MF-K12</t>
        </is>
      </c>
      <c r="I28" s="3" t="inlineStr">
        <is>
          <t>Anders (siehe Bemerkung)</t>
        </is>
      </c>
      <c r="J28" s="3" t="inlineStr">
        <is>
          <t>Fall existiert nicht: ein Hydraulikaufzug hat immer eine Türüberbrückung (Nachregulieren bei Druckverlust). Ohne UCM daher Hoch (MF-K12-R1); Frage 8.27 wird bei Hydraulik nicht gestellt. (Stand 2026-09-02)</t>
        </is>
      </c>
    </row>
    <row r="29">
      <c r="A29" s="4" t="inlineStr">
        <is>
          <t>K-F01</t>
        </is>
      </c>
      <c r="B29" s="4" t="inlineStr">
        <is>
          <t>Fahrkorbdach</t>
        </is>
      </c>
      <c r="C29" s="4" t="inlineStr">
        <is>
          <t>Geländerhöhe bei großem Spalt</t>
        </is>
      </c>
      <c r="D29" s="4" t="inlineStr">
        <is>
          <t>Spalt &gt; 850 mm und Geländer unter 1.100 mm: Hoch (eigene Regel) – App F1 nennt nur „Geländerhöhe 70 cm bei Spalt &gt; 50 ≤ 85 cm = Mittel"?</t>
        </is>
      </c>
      <c r="E29" s="4" t="inlineStr">
        <is>
          <t>Hoch</t>
        </is>
      </c>
      <c r="F29" s="4" t="inlineStr">
        <is>
          <t>Mittel</t>
        </is>
      </c>
      <c r="G29" s="4" t="inlineStr">
        <is>
          <t>Lücke im App-Katalog; nach EN 81-20 5.4.7.4 ist ab 850 mm ein Geländer 1.100 mm gefordert.</t>
        </is>
      </c>
      <c r="H29" s="4" t="inlineStr">
        <is>
          <t>MF-F01</t>
        </is>
      </c>
      <c r="I29" s="3" t="inlineStr">
        <is>
          <t>Vorschlag</t>
        </is>
      </c>
      <c r="J29" s="3" t="inlineStr">
        <is>
          <t>Spalt &gt; 850 mm und Geländer &lt; 1.100 mm: Hoch. (Stand 2026-09-02)</t>
        </is>
      </c>
    </row>
    <row r="30">
      <c r="A30" s="2" t="inlineStr">
        <is>
          <t>K-F02</t>
        </is>
      </c>
      <c r="B30" s="2" t="inlineStr">
        <is>
          <t>Fahrkorbdach</t>
        </is>
      </c>
      <c r="C30" s="2" t="inlineStr">
        <is>
          <t>Absturz gesamt</t>
        </is>
      </c>
      <c r="D30" s="2" t="inlineStr">
        <is>
          <t>Schindler bewertet die Absturzsicherung auf dem Fahrkorbdach (M028) im Worst Case nur mit Niedrig, der App-Katalog mit Hoch. Bleibt es bei Hoch?</t>
        </is>
      </c>
      <c r="E30" s="2" t="inlineStr">
        <is>
          <t>Hoch (App F1)</t>
        </is>
      </c>
      <c r="F30" s="2" t="inlineStr">
        <is>
          <t>Niedrig (Schindler M028)</t>
        </is>
      </c>
      <c r="G30" s="2" t="inlineStr">
        <is>
          <t>Deutliche Abweichung.</t>
        </is>
      </c>
      <c r="H30" s="2" t="inlineStr">
        <is>
          <t>MF-F01</t>
        </is>
      </c>
      <c r="I30" s="3" t="inlineStr">
        <is>
          <t>Vorschlag</t>
        </is>
      </c>
      <c r="J30" s="3" t="inlineStr">
        <is>
          <t>Absturzsicherung Fahrkorbdach bleibt Hoch. (Stand 2026-09-02)</t>
        </is>
      </c>
    </row>
    <row r="31">
      <c r="A31" s="4" t="inlineStr">
        <is>
          <t>K-F03</t>
        </is>
      </c>
      <c r="B31" s="4" t="inlineStr">
        <is>
          <t>Fahrkorbdach</t>
        </is>
      </c>
      <c r="C31" s="4" t="inlineStr">
        <is>
          <t>Reduzierter Schachtkopf</t>
        </is>
      </c>
      <c r="D31" s="4" t="inlineStr">
        <is>
          <t>Reduzierter Schachtkopf mit wirksamer Zusatzeinrichtung: Mittel (App F8) oder Kein Risiko (App F5 „Flacher Schachtkopf, aber Schutzraum durch temporäre Maßnahme gegeben")?</t>
        </is>
      </c>
      <c r="E31" s="4" t="inlineStr">
        <is>
          <t>Mittel</t>
        </is>
      </c>
      <c r="F31" s="4" t="inlineStr">
        <is>
          <t>Kein Risiko</t>
        </is>
      </c>
      <c r="G31" s="4" t="inlineStr">
        <is>
          <t>Die App-Kategorien F5 und F8 widersprechen sich.</t>
        </is>
      </c>
      <c r="H31" s="4" t="inlineStr">
        <is>
          <t>MF-F04, MF-G02</t>
        </is>
      </c>
      <c r="I31" s="3" t="inlineStr">
        <is>
          <t>Alternative</t>
        </is>
      </c>
      <c r="J31" s="3" t="inlineStr">
        <is>
          <t>Reduzierter Schachtkopf / reduzierte Grube mit wirksamer Zusatzeinrichtung: Kein Risiko. (Stand 2026-09-02)</t>
        </is>
      </c>
    </row>
    <row r="32">
      <c r="A32" s="2" t="inlineStr">
        <is>
          <t>K-F04</t>
        </is>
      </c>
      <c r="B32" s="2" t="inlineStr">
        <is>
          <t>Fahrkorbdach</t>
        </is>
      </c>
      <c r="C32" s="2" t="inlineStr">
        <is>
          <t>Notbeleuchtung auf dem Dach</t>
        </is>
      </c>
      <c r="D32" s="2" t="inlineStr">
        <is>
          <t>Fehlende Notbeleuchtung auf dem Fahrkorbdach: Mittel (eigener Vorschlag) oder Hoch (Schindler M023 gemeinsam mit Fahrkorb)?</t>
        </is>
      </c>
      <c r="E32" s="2" t="inlineStr">
        <is>
          <t>Mittel</t>
        </is>
      </c>
      <c r="F32" s="2" t="inlineStr">
        <is>
          <t>Hoch</t>
        </is>
      </c>
      <c r="G32" s="2" t="inlineStr">
        <is>
          <t>Im App-Katalog nicht als eigene Option enthalten.</t>
        </is>
      </c>
      <c r="H32" s="2" t="inlineStr">
        <is>
          <t>MF-F08</t>
        </is>
      </c>
      <c r="I32" s="3" t="inlineStr">
        <is>
          <t>Alternative</t>
        </is>
      </c>
      <c r="J32" s="3" t="inlineStr">
        <is>
          <t>Fehlende Notbeleuchtung auf dem Fahrkorbdach: Hoch. (Stand 2026-09-02)</t>
        </is>
      </c>
    </row>
    <row r="33">
      <c r="A33" s="4" t="inlineStr">
        <is>
          <t>K-F05</t>
        </is>
      </c>
      <c r="B33" s="4" t="inlineStr">
        <is>
          <t>Fahrkorbdach</t>
        </is>
      </c>
      <c r="C33" s="4" t="inlineStr">
        <is>
          <t>Schutzraum nach Altnorm (TRBS-Matrix)</t>
        </is>
      </c>
      <c r="D33" s="4" t="inlineStr">
        <is>
          <t>Neue Option „Schutzraum nach TRA 200 / EN 81-1/-2 (kleiner als EN 81-20)" für Schachtkopf und Grube: TRBS 3121 Anh. 1 Nr. 5 nennt das Risiko dafür niedrig. Umgesetzt: Niedrig statt Kein Risiko.</t>
        </is>
      </c>
      <c r="E33" s="4" t="inlineStr">
        <is>
          <t>Niedrig (TRBS-explizit)</t>
        </is>
      </c>
      <c r="F33" s="4" t="inlineStr">
        <is>
          <t>Kein Risiko / Option nicht aufnehmen</t>
        </is>
      </c>
      <c r="G33" s="4" t="inlineStr">
        <is>
          <t>Neu aus der TRBS-Risikomatrix vom 02.09.2026.</t>
        </is>
      </c>
      <c r="H33" s="4" t="inlineStr">
        <is>
          <t>MF-F04, MF-G02</t>
        </is>
      </c>
      <c r="I33" s="3" t="inlineStr">
        <is>
          <t>Vorschlag</t>
        </is>
      </c>
      <c r="J33" s="3" t="inlineStr">
        <is>
          <t>Schutzraum nach TRA 200 / EN 81-1/-2 als eigene Option: Niedrig (TRBS 3121 Anh. 1 Nr. 5). (Stand 2026-09-02)</t>
        </is>
      </c>
    </row>
    <row r="34">
      <c r="A34" s="2" t="inlineStr">
        <is>
          <t>K-S01</t>
        </is>
      </c>
      <c r="B34" s="2" t="inlineStr">
        <is>
          <t>Schachtgrube</t>
        </is>
      </c>
      <c r="C34" s="2" t="inlineStr">
        <is>
          <t>Inspektionssteuerung Grube</t>
        </is>
      </c>
      <c r="D34" s="2" t="inlineStr">
        <is>
          <t>Fehlende Inspektionssteuerung in der Schachtgrube: Hoch (App S8) oder Mittel (Schindler M051)?</t>
        </is>
      </c>
      <c r="E34" s="2" t="inlineStr">
        <is>
          <t>Hoch (App)</t>
        </is>
      </c>
      <c r="F34" s="2" t="inlineStr">
        <is>
          <t>Mittel (Schindler)</t>
        </is>
      </c>
      <c r="G34" s="2" t="inlineStr">
        <is>
          <t>Abweichung App/Schindler.</t>
        </is>
      </c>
      <c r="H34" s="2" t="inlineStr">
        <is>
          <t>MF-G03</t>
        </is>
      </c>
      <c r="I34" s="3" t="inlineStr">
        <is>
          <t>Alternative</t>
        </is>
      </c>
      <c r="J34" s="3" t="inlineStr">
        <is>
          <t>Fehlende Inspektionssteuerung in der Grube: Mittel. (Stand 2026-09-02)</t>
        </is>
      </c>
    </row>
    <row r="35">
      <c r="A35" s="4" t="inlineStr">
        <is>
          <t>K-S02</t>
        </is>
      </c>
      <c r="B35" s="4" t="inlineStr">
        <is>
          <t>Schachtgrube</t>
        </is>
      </c>
      <c r="C35" s="4" t="inlineStr">
        <is>
          <t>Leiter im Fahrzeug</t>
        </is>
      </c>
      <c r="D35" s="4" t="inlineStr">
        <is>
          <t>Grubenleiter wird nur im Kundendienstfahrzeug mitgeführt: Mittel (App S3) – auch für die beauftragte Person des Betreibers, die kein Fahrzeug hat?</t>
        </is>
      </c>
      <c r="E35" s="4" t="inlineStr">
        <is>
          <t>Mittel</t>
        </is>
      </c>
      <c r="F35" s="4" t="inlineStr">
        <is>
          <t>Hoch für Betreiber-Kontrollen</t>
        </is>
      </c>
      <c r="G35" s="4" t="inlineStr">
        <is>
          <t>Eigene Nachfrage.</t>
        </is>
      </c>
      <c r="H35" s="4" t="inlineStr">
        <is>
          <t>MF-G04</t>
        </is>
      </c>
      <c r="I35" s="3" t="inlineStr">
        <is>
          <t>Alternative</t>
        </is>
      </c>
      <c r="J35" s="3" t="inlineStr">
        <is>
          <t>Grubenleiter nur im Kundendienstfahrzeug: Hoch. (Stand 2026-09-02)</t>
        </is>
      </c>
    </row>
    <row r="36">
      <c r="A36" s="2" t="inlineStr">
        <is>
          <t>K-S03</t>
        </is>
      </c>
      <c r="B36" s="2" t="inlineStr">
        <is>
          <t>Schacht</t>
        </is>
      </c>
      <c r="C36" s="2" t="inlineStr">
        <is>
          <t>Aufzugsfremde Leitungen fachgerecht</t>
        </is>
      </c>
      <c r="D36" s="2" t="inlineStr">
        <is>
          <t>Aufzugsfremde Leitungen vorhanden, aber fachgerecht verlegt und gekennzeichnet: Mittel (App S12) oder Niedrig?</t>
        </is>
      </c>
      <c r="E36" s="2" t="inlineStr">
        <is>
          <t>Mittel</t>
        </is>
      </c>
      <c r="F36" s="2" t="inlineStr">
        <is>
          <t>Niedrig</t>
        </is>
      </c>
      <c r="G36" s="2" t="inlineStr">
        <is>
          <t>Eigene Nachfrage.</t>
        </is>
      </c>
      <c r="H36" s="2" t="inlineStr">
        <is>
          <t>MF-S06</t>
        </is>
      </c>
      <c r="I36" s="3" t="inlineStr">
        <is>
          <t>Vorschlag</t>
        </is>
      </c>
      <c r="J36" s="3" t="inlineStr">
        <is>
          <t>Aufzugsfremde Leitungen fachgerecht verlegt: Mittel. (Stand 2026-09-02)</t>
        </is>
      </c>
    </row>
    <row r="37">
      <c r="A37" s="4" t="inlineStr">
        <is>
          <t>K-S04</t>
        </is>
      </c>
      <c r="B37" s="4" t="inlineStr">
        <is>
          <t>Schacht</t>
        </is>
      </c>
      <c r="C37" s="4" t="inlineStr">
        <is>
          <t>Puffer bei &gt; 1,0 m/s</t>
        </is>
      </c>
      <c r="D37" s="4" t="inlineStr">
        <is>
          <t>Energiespeichernde Puffer bei Nenngeschwindigkeit über 1,0 m/s: Mittel (App S9)?</t>
        </is>
      </c>
      <c r="E37" s="4" t="inlineStr">
        <is>
          <t>Mittel</t>
        </is>
      </c>
      <c r="F37" s="4" t="inlineStr">
        <is>
          <t>Hoch</t>
        </is>
      </c>
      <c r="G37" s="4" t="inlineStr">
        <is>
          <t>Eigene Nachfrage; EN 81-20 5.8.2.1 begrenzt auf 1,0 m/s.</t>
        </is>
      </c>
      <c r="H37" s="4" t="inlineStr">
        <is>
          <t>MF-G06</t>
        </is>
      </c>
      <c r="I37" s="3" t="inlineStr">
        <is>
          <t>Alternative</t>
        </is>
      </c>
      <c r="J37" s="3" t="inlineStr">
        <is>
          <t>Energiespeichernde Puffer über 1,0 m/s: Hoch. (Stand 2026-09-02)</t>
        </is>
      </c>
    </row>
    <row r="38">
      <c r="A38" s="2" t="inlineStr">
        <is>
          <t>K-S05</t>
        </is>
      </c>
      <c r="B38" s="2" t="inlineStr">
        <is>
          <t>Schacht</t>
        </is>
      </c>
      <c r="C38" s="2" t="inlineStr">
        <is>
          <t>Teilumwehrter Schacht</t>
        </is>
      </c>
      <c r="D38" s="2" t="inlineStr">
        <is>
          <t>Teilumwehrter Schacht, nach aktuellen Vorgaben zulässig ausgeführt: Mittel (App S6) – oder Kein Risiko, wenn zulässig?</t>
        </is>
      </c>
      <c r="E38" s="2" t="inlineStr">
        <is>
          <t>Mittel</t>
        </is>
      </c>
      <c r="F38" s="2" t="inlineStr">
        <is>
          <t>Kein Risiko</t>
        </is>
      </c>
      <c r="G38" s="2" t="inlineStr">
        <is>
          <t>Die App-Option ist gelb, obwohl „zulässig".</t>
        </is>
      </c>
      <c r="H38" s="2" t="inlineStr">
        <is>
          <t>MF-S03</t>
        </is>
      </c>
      <c r="I38" s="3" t="inlineStr">
        <is>
          <t>Alternative</t>
        </is>
      </c>
      <c r="J38" s="3" t="inlineStr">
        <is>
          <t>Zulässig ausgeführte Teilumwehrung: Kein Risiko. (Stand 2026-09-02)</t>
        </is>
      </c>
    </row>
    <row r="39">
      <c r="A39" s="4" t="inlineStr">
        <is>
          <t>K-U01</t>
        </is>
      </c>
      <c r="B39" s="4" t="inlineStr">
        <is>
          <t>Umfeld</t>
        </is>
      </c>
      <c r="C39" s="4" t="inlineStr">
        <is>
          <t>Ortsfragen Pflicht oder optional</t>
        </is>
      </c>
      <c r="D39" s="4" t="inlineStr">
        <is>
          <t>Sollen die vier Ortsfragen (Zugang / Triebwerksraum / Schacht / Grube) je Mangeltyp alle beantwortet sein, bevor die Gefährdung bewertet wird (Pflicht -&gt; sonst Unvollständig)?</t>
        </is>
      </c>
      <c r="E39" s="4" t="inlineStr">
        <is>
          <t>Ja, alle Pflicht (ehrlicher Stand)</t>
        </is>
      </c>
      <c r="F39" s="4" t="inlineStr">
        <is>
          <t>Nein, eine Ja-Antwort genügt, Rest optional (Schindler-Verhalten M087/M090/M103)</t>
        </is>
      </c>
      <c r="G39" s="4" t="inlineStr">
        <is>
          <t>Bewusste Abweichung vom Original.</t>
        </is>
      </c>
      <c r="H39" s="4" t="inlineStr">
        <is>
          <t>MF-U01, MF-U02, MF-U03</t>
        </is>
      </c>
      <c r="I39" s="3" t="inlineStr">
        <is>
          <t>Vorschlag</t>
        </is>
      </c>
      <c r="J39" s="3" t="inlineStr">
        <is>
          <t>Ortsfragen sind alle Pflicht. (Stand 2026-09-02)</t>
        </is>
      </c>
    </row>
    <row r="40">
      <c r="A40" s="2" t="inlineStr">
        <is>
          <t>K-U02</t>
        </is>
      </c>
      <c r="B40" s="2" t="inlineStr">
        <is>
          <t>Umfeld</t>
        </is>
      </c>
      <c r="C40" s="2" t="inlineStr">
        <is>
          <t>Gefahrstofflagerung</t>
        </is>
      </c>
      <c r="D40" s="2" t="inlineStr">
        <is>
          <t>Chemische / biologische Gefahrstoffe in der Nähe gelagert: Niedrig (Schindler M101/M102) – oder Mittel wie bei brennbaren Stoffen?</t>
        </is>
      </c>
      <c r="E40" s="2" t="inlineStr">
        <is>
          <t>Niedrig</t>
        </is>
      </c>
      <c r="F40" s="2" t="inlineStr">
        <is>
          <t>Mittel</t>
        </is>
      </c>
      <c r="G40" s="2" t="inlineStr">
        <is>
          <t>Nur aus Schindler ableitbar; die Ergänzung 2026 (G5) kennt nur Hoch für „unbekannt/unbewertet".</t>
        </is>
      </c>
      <c r="H40" s="2" t="inlineStr">
        <is>
          <t>MF-U04</t>
        </is>
      </c>
      <c r="I40" s="3" t="inlineStr">
        <is>
          <t>Alternative</t>
        </is>
      </c>
      <c r="J40" s="3" t="inlineStr">
        <is>
          <t>Chemische/biologische Gefahrstoffe gelagert: Mittel. (Stand 2026-09-02)</t>
        </is>
      </c>
    </row>
    <row r="41">
      <c r="A41" s="4" t="inlineStr">
        <is>
          <t>K-U03</t>
        </is>
      </c>
      <c r="B41" s="4" t="inlineStr">
        <is>
          <t>Umfeld</t>
        </is>
      </c>
      <c r="C41" s="4" t="inlineStr">
        <is>
          <t>Explosionsfähiges Gemisch</t>
        </is>
      </c>
      <c r="D41" s="4" t="inlineStr">
        <is>
          <t>Explosionsfähiges Gemisch möglich, Explosionsschutz bewertet: Mittel? Nicht bewertet: Hoch?</t>
        </is>
      </c>
      <c r="E41" s="4" t="inlineStr">
        <is>
          <t>Mittel / Hoch</t>
        </is>
      </c>
      <c r="F41" s="4" t="inlineStr">
        <is>
          <t>Immer Mittel (Schindler M092)</t>
        </is>
      </c>
      <c r="G41" s="4" t="inlineStr">
        <is>
          <t>Ergänzung 2026 G5 sagt Hoch für „ohne Bewertung".</t>
        </is>
      </c>
      <c r="H41" s="4" t="inlineStr">
        <is>
          <t>MF-U06</t>
        </is>
      </c>
      <c r="I41" s="3" t="inlineStr">
        <is>
          <t>Vorschlag</t>
        </is>
      </c>
      <c r="J41" s="3" t="inlineStr">
        <is>
          <t>Ex-Gemisch bewertet: Mittel; nicht bewertet: Hoch. (Stand 2026-09-02)</t>
        </is>
      </c>
    </row>
    <row r="42">
      <c r="A42" s="2" t="inlineStr">
        <is>
          <t>K-U04</t>
        </is>
      </c>
      <c r="B42" s="2" t="inlineStr">
        <is>
          <t>Umfeld</t>
        </is>
      </c>
      <c r="C42" s="2" t="inlineStr">
        <is>
          <t>Lärm und Unfallhistorie</t>
        </is>
      </c>
      <c r="D42" s="2" t="inlineStr">
        <is>
          <t>Lärm (Niedrig), Unfälle mit Sachschaden (Niedrig) und mit Personenschaden (Hoch) sind aus der Schindler-Kundenbefragung übernommen – sinnvoll für die eigene GBU?</t>
        </is>
      </c>
      <c r="E42" s="2" t="inlineStr">
        <is>
          <t>Übernehmen</t>
        </is>
      </c>
      <c r="F42" s="2" t="inlineStr">
        <is>
          <t>Nur dokumentieren, keine Stufe</t>
        </is>
      </c>
      <c r="G42" s="2" t="inlineStr">
        <is>
          <t>Im App-Katalog nicht enthalten.</t>
        </is>
      </c>
      <c r="H42" s="2" t="inlineStr"/>
      <c r="I42" s="3" t="inlineStr">
        <is>
          <t>Alternative</t>
        </is>
      </c>
      <c r="J42" s="3" t="inlineStr">
        <is>
          <t>Lärm und Unfallhistorie nur Dokumentation, keine Stufe (MF-U16 entfällt). (Stand 2026-09-02)</t>
        </is>
      </c>
    </row>
    <row r="43">
      <c r="A43" s="4" t="inlineStr">
        <is>
          <t>K-U05</t>
        </is>
      </c>
      <c r="B43" s="4" t="inlineStr">
        <is>
          <t>Umfeld</t>
        </is>
      </c>
      <c r="C43" s="4" t="inlineStr">
        <is>
          <t>Angrenzende Verkehrswege</t>
        </is>
      </c>
      <c r="D43" s="4" t="inlineStr">
        <is>
          <t>Aufzugszugang an Fahrwegen: Mittel nur bei Nutzung durch Personen mit eingeschränkter Mobilität (Schindler M106) – oder immer Mittel?</t>
        </is>
      </c>
      <c r="E43" s="4" t="inlineStr">
        <is>
          <t>Immer Mittel, Hoch mit PmeM-Nutzung</t>
        </is>
      </c>
      <c r="F43" s="4" t="inlineStr">
        <is>
          <t>Nur mit PmeM-Nutzung</t>
        </is>
      </c>
      <c r="G43" s="4" t="inlineStr">
        <is>
          <t>Eigene Verschärfung.</t>
        </is>
      </c>
      <c r="H43" s="4" t="inlineStr">
        <is>
          <t>MF-U14</t>
        </is>
      </c>
      <c r="I43" s="3" t="inlineStr">
        <is>
          <t>Vorschlag</t>
        </is>
      </c>
      <c r="J43" s="3" t="inlineStr">
        <is>
          <t>Angrenzende Verkehrswege: Mittel, Hoch mit PmeM-Nutzung. (Stand 2026-09-02)</t>
        </is>
      </c>
    </row>
    <row r="44">
      <c r="A44" s="2" t="inlineStr">
        <is>
          <t>K-D01</t>
        </is>
      </c>
      <c r="B44" s="2" t="inlineStr">
        <is>
          <t>Organisation</t>
        </is>
      </c>
      <c r="C44" s="2" t="inlineStr">
        <is>
          <t>Notfallplan</t>
        </is>
      </c>
      <c r="D44" s="2" t="inlineStr">
        <is>
          <t>Fehlender oder veralteter Notfallplan: Hoch (Schindler M113) – oder Mittel?</t>
        </is>
      </c>
      <c r="E44" s="2" t="inlineStr">
        <is>
          <t>Hoch</t>
        </is>
      </c>
      <c r="F44" s="2" t="inlineStr">
        <is>
          <t>Mittel</t>
        </is>
      </c>
      <c r="G44" s="2" t="inlineStr">
        <is>
          <t>Im App-Katalog nur als Stammdatenfeld 3.2, ohne Stufe.</t>
        </is>
      </c>
      <c r="H44" s="2" t="inlineStr">
        <is>
          <t>MF-D01</t>
        </is>
      </c>
      <c r="I44" s="3" t="inlineStr">
        <is>
          <t>Vorschlag</t>
        </is>
      </c>
      <c r="J44" s="3" t="inlineStr">
        <is>
          <t>Fehlender Notfallplan: Hoch. (Stand 2026-09-02)</t>
        </is>
      </c>
    </row>
    <row r="45">
      <c r="A45" s="4" t="inlineStr">
        <is>
          <t>K-D02</t>
        </is>
      </c>
      <c r="B45" s="4" t="inlineStr">
        <is>
          <t>Organisation</t>
        </is>
      </c>
      <c r="C45" s="4" t="inlineStr">
        <is>
          <t>Keine regelmäßige Instandhaltung</t>
        </is>
      </c>
      <c r="D45" s="4" t="inlineStr">
        <is>
          <t>Anlage ohne regelmäßige Instandhaltung durch ein Fachunternehmen: Hoch (eigener Vorschlag)?</t>
        </is>
      </c>
      <c r="E45" s="4" t="inlineStr">
        <is>
          <t>Hoch</t>
        </is>
      </c>
      <c r="F45" s="4" t="inlineStr">
        <is>
          <t>Mittel</t>
        </is>
      </c>
      <c r="G45" s="4" t="inlineStr">
        <is>
          <t>Im App-Katalog nur als Stammdatenfeld 3.10, ohne Stufe.</t>
        </is>
      </c>
      <c r="H45" s="4" t="inlineStr">
        <is>
          <t>MF-D03</t>
        </is>
      </c>
      <c r="I45" s="3" t="inlineStr">
        <is>
          <t>Vorschlag</t>
        </is>
      </c>
      <c r="J45" s="3" t="inlineStr">
        <is>
          <t>Keine regelmäßige Instandhaltung: Hoch. (Stand 2026-09-02)</t>
        </is>
      </c>
    </row>
    <row r="46">
      <c r="A46" s="2" t="inlineStr">
        <is>
          <t>K-D03</t>
        </is>
      </c>
      <c r="B46" s="2" t="inlineStr">
        <is>
          <t>Organisation</t>
        </is>
      </c>
      <c r="C46" s="2" t="inlineStr">
        <is>
          <t>Überschrittene Prüffrist</t>
        </is>
      </c>
      <c r="D46" s="2" t="inlineStr">
        <is>
          <t>ZÜS-Prüffrist überschritten: Hoch (eigener Vorschlag); Plakette fehlt, Frist eingehalten: Mittel (Schindler M115)?</t>
        </is>
      </c>
      <c r="E46" s="2" t="inlineStr">
        <is>
          <t>Hoch / Mittel</t>
        </is>
      </c>
      <c r="F46" s="2" t="inlineStr">
        <is>
          <t>Immer Mittel</t>
        </is>
      </c>
      <c r="G46" s="2" t="inlineStr">
        <is>
          <t>Abgestufter eigener Vorschlag.</t>
        </is>
      </c>
      <c r="H46" s="2" t="inlineStr">
        <is>
          <t>MF-D04</t>
        </is>
      </c>
      <c r="I46" s="3" t="inlineStr">
        <is>
          <t>Vorschlag</t>
        </is>
      </c>
      <c r="J46" s="3" t="inlineStr">
        <is>
          <t>Prüffrist überschritten: Hoch; Plakette fehlt: Mittel. (Stand 2026-09-02)</t>
        </is>
      </c>
    </row>
    <row r="47">
      <c r="A47" s="4" t="inlineStr">
        <is>
          <t>K-D04</t>
        </is>
      </c>
      <c r="B47" s="4" t="inlineStr">
        <is>
          <t>Organisation</t>
        </is>
      </c>
      <c r="C47" s="4" t="inlineStr">
        <is>
          <t>Beauftragte Person, Unterweisung, Betriebsanweisung</t>
        </is>
      </c>
      <c r="D47" s="4" t="inlineStr">
        <is>
          <t>Fehlende beauftragte Person, fehlende Unterweisung, fehlende Betriebsanweisung: jeweils Mittel (eigener Vorschlag nach BetrSichV § 12 / Anh. 1 Nr. 4)?</t>
        </is>
      </c>
      <c r="E47" s="4" t="inlineStr">
        <is>
          <t>Mittel</t>
        </is>
      </c>
      <c r="F47" s="4" t="inlineStr">
        <is>
          <t>Niedrig / Hoch</t>
        </is>
      </c>
      <c r="G47" s="4" t="inlineStr">
        <is>
          <t>Eigene Ergänzung E1–E5, nicht aus einer Vorlage.</t>
        </is>
      </c>
      <c r="H47" s="4" t="inlineStr">
        <is>
          <t>MF-D05</t>
        </is>
      </c>
      <c r="I47" s="3" t="inlineStr">
        <is>
          <t>Vorschlag</t>
        </is>
      </c>
      <c r="J47" s="3" t="inlineStr">
        <is>
          <t>Beauftragte Person, Unterweisung, Betriebsanweisung, Zutritt: jeweils Mittel. (Stand 2026-09-02)</t>
        </is>
      </c>
    </row>
    <row r="48">
      <c r="A48" s="2" t="inlineStr">
        <is>
          <t>K-SF1</t>
        </is>
      </c>
      <c r="B48" s="2" t="inlineStr">
        <is>
          <t>Sonderfunktionen</t>
        </is>
      </c>
      <c r="C48" s="2" t="inlineStr">
        <is>
          <t>Feuerwehraufzug Einzelpunkte</t>
        </is>
      </c>
      <c r="D48" s="2" t="inlineStr">
        <is>
          <t>Jeder der zehn Feuerwehraufzug-Punkte ergibt bei Nein Hoch (wie Ergänzung 2026 SF1). Sollen einzelne Punkte (Cyber, Dokumentation) nur Mittel ergeben?</t>
        </is>
      </c>
      <c r="E48" s="2" t="inlineStr">
        <is>
          <t>Alle Hoch</t>
        </is>
      </c>
      <c r="F48" s="2" t="inlineStr">
        <is>
          <t>Cyber und Dokumentation Mittel</t>
        </is>
      </c>
      <c r="G48" s="2" t="inlineStr">
        <is>
          <t>Ergänzung 2026 kennt nur Hoch.</t>
        </is>
      </c>
      <c r="H48" s="2" t="inlineStr">
        <is>
          <t>MF-SF01</t>
        </is>
      </c>
      <c r="I48" s="3" t="inlineStr">
        <is>
          <t>Alternative</t>
        </is>
      </c>
      <c r="J48" s="3" t="inlineStr">
        <is>
          <t>Feuerwehraufzug: Unterlagen, Fremdgewerk-Nachweise, Feuerwehr-Doku und Cyber = Mittel, übrige Punkte Hoch. (Stand 2026-09-02)</t>
        </is>
      </c>
    </row>
    <row r="50">
      <c r="A50" s="5" t="inlineStr">
        <is>
          <t>Stand der Gegenlesung</t>
        </is>
      </c>
    </row>
    <row r="51">
      <c r="A51" s="6" t="inlineStr">
        <is>
          <t>Klärungen gesamt</t>
        </is>
      </c>
      <c r="B51" s="6">
        <f>COUNTA(A2:A48)</f>
        <v/>
      </c>
    </row>
    <row r="52">
      <c r="A52" s="6" t="inlineStr">
        <is>
          <t>entschieden</t>
        </is>
      </c>
      <c r="B52" s="6">
        <f>COUNTA(I2:I48)</f>
        <v/>
      </c>
    </row>
    <row r="53">
      <c r="A53" s="6" t="inlineStr">
        <is>
          <t>offen</t>
        </is>
      </c>
      <c r="B53" s="6">
        <f>B51-B52</f>
        <v/>
      </c>
    </row>
    <row r="55">
      <c r="A55" s="7" t="inlineStr">
        <is>
          <t>Legende: gelbe Zellen ausfüllen (Entscheidung als Auswahl, Bemerkung frei). „Vorschlag" = so wie im Seed umgesetzt; „Alternative" = die genannte Alternative; „Anders" = Festlegung in der Bemerkung.</t>
        </is>
      </c>
    </row>
  </sheetData>
  <dataValidations count="1">
    <dataValidation sqref="I2:I48" showDropDown="0" showInputMessage="0" showErrorMessage="0" allowBlank="1" type="list">
      <formula1>"Vorschlag,Alternative,Anders (siehe Bemerkung)"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33"/>
  <sheetViews>
    <sheetView workbookViewId="0">
      <pane ySplit="1" topLeftCell="A2" activePane="bottomLeft" state="frozen"/>
      <selection pane="bottomLeft" activeCell="A1" sqref="A1"/>
    </sheetView>
  </sheetViews>
  <sheetFormatPr baseColWidth="8" defaultRowHeight="15"/>
  <cols>
    <col width="11" customWidth="1" min="1" max="1"/>
    <col width="38" customWidth="1" min="2" max="2"/>
    <col width="22" customWidth="1" min="3" max="3"/>
    <col width="13" customWidth="1" min="4" max="4"/>
    <col width="6" customWidth="1" min="5" max="5"/>
    <col width="70" customWidth="1" min="6" max="6"/>
    <col width="13" customWidth="1" min="7" max="7"/>
    <col width="16" customWidth="1" min="8" max="8"/>
    <col width="12" customWidth="1" min="9" max="9"/>
    <col width="40" customWidth="1" min="10" max="10"/>
    <col width="40" customWidth="1" min="11" max="11"/>
    <col width="30" customWidth="1" min="12" max="12"/>
    <col width="11" customWidth="1" min="13" max="13"/>
    <col width="36" customWidth="1" min="14" max="14"/>
  </cols>
  <sheetData>
    <row r="1" ht="30" customHeight="1">
      <c r="A1" s="1" t="inlineStr">
        <is>
          <t>Gefährdung</t>
        </is>
      </c>
      <c r="B1" s="1" t="inlineStr">
        <is>
          <t>Titel</t>
        </is>
      </c>
      <c r="C1" s="1" t="inlineStr">
        <is>
          <t>Baugruppe</t>
        </is>
      </c>
      <c r="D1" s="1" t="inlineStr">
        <is>
          <t>Regel</t>
        </is>
      </c>
      <c r="E1" s="1" t="inlineStr">
        <is>
          <t>Prio</t>
        </is>
      </c>
      <c r="F1" s="1" t="inlineStr">
        <is>
          <t>Bedingung</t>
        </is>
      </c>
      <c r="G1" s="1" t="inlineStr">
        <is>
          <t>Stufe</t>
        </is>
      </c>
      <c r="H1" s="1" t="inlineStr">
        <is>
          <t>Evidenz</t>
        </is>
      </c>
      <c r="I1" s="1" t="inlineStr">
        <is>
          <t>Klärung</t>
        </is>
      </c>
      <c r="J1" s="1" t="inlineStr">
        <is>
          <t>Sofortmaßnahme</t>
        </is>
      </c>
      <c r="K1" s="1" t="inlineStr">
        <is>
          <t>Mittelfristige Maßnahme</t>
        </is>
      </c>
      <c r="L1" s="1" t="inlineStr">
        <is>
          <t>Hinweis</t>
        </is>
      </c>
      <c r="M1" s="1" t="inlineStr">
        <is>
          <t>Prüfung OK?</t>
        </is>
      </c>
      <c r="N1" s="1" t="inlineStr">
        <is>
          <t>Korrektur</t>
        </is>
      </c>
    </row>
    <row r="2">
      <c r="A2" s="2" t="inlineStr">
        <is>
          <t>MF-Z01</t>
        </is>
      </c>
      <c r="B2" s="2" t="inlineStr">
        <is>
          <t>Unzureichende Beleuchtung an den Zuwegen zum Triebwerks-/Steuerungsraum</t>
        </is>
      </c>
      <c r="C2" s="2" t="inlineStr">
        <is>
          <t>Beleuchtung</t>
        </is>
      </c>
      <c r="D2" s="2" t="inlineStr">
        <is>
          <t>MF-Z01-R1</t>
        </is>
      </c>
      <c r="E2" s="2" t="n">
        <v>100</v>
      </c>
      <c r="F2" s="2" t="inlineStr">
        <is>
          <t>5.1 Beleuchtung an den Zuwegen zum Triebwerks-/Steuerungsraum vorhanden? = Nein</t>
        </is>
      </c>
      <c r="G2" s="2" t="inlineStr">
        <is>
          <t>Hoch</t>
        </is>
      </c>
      <c r="H2" s="2" t="inlineStr">
        <is>
          <t>HIGH_CONFIDENCE</t>
        </is>
      </c>
      <c r="I2" s="2" t="inlineStr"/>
      <c r="J2" s="2" t="inlineStr">
        <is>
          <t>Handlampe benutzen</t>
        </is>
      </c>
      <c r="K2" s="2" t="inlineStr">
        <is>
          <t>Geeignete Leuchten nachrüsten</t>
        </is>
      </c>
      <c r="L2" s="2" t="inlineStr">
        <is>
          <t>Freigegeben 2026-09-20.</t>
        </is>
      </c>
      <c r="M2" s="3" t="n"/>
      <c r="N2" s="3" t="n"/>
    </row>
    <row r="3">
      <c r="A3" s="4" t="inlineStr">
        <is>
          <t>MF-Z01</t>
        </is>
      </c>
      <c r="B3" s="4" t="inlineStr">
        <is>
          <t>Unzureichende Beleuchtung an den Zuwegen zum Triebwerks-/Steuerungsraum</t>
        </is>
      </c>
      <c r="C3" s="4" t="inlineStr">
        <is>
          <t>Beleuchtung</t>
        </is>
      </c>
      <c r="D3" s="4" t="inlineStr">
        <is>
          <t>MF-Z01-R2</t>
        </is>
      </c>
      <c r="E3" s="4" t="n">
        <v>100</v>
      </c>
      <c r="F3" s="4" t="inlineStr">
        <is>
          <t>5.2 Beleuchtung an den Zuwegen ausreichend (mind. 50 Lux, funktionsfähig, Leuchten an geeigneter Stelle)? = Nein</t>
        </is>
      </c>
      <c r="G3" s="4" t="inlineStr">
        <is>
          <t>Mittel</t>
        </is>
      </c>
      <c r="H3" s="4" t="inlineStr">
        <is>
          <t>HIGH_CONFIDENCE</t>
        </is>
      </c>
      <c r="I3" s="4" t="inlineStr"/>
      <c r="J3" s="4" t="inlineStr">
        <is>
          <t>Handlampe benutzen</t>
        </is>
      </c>
      <c r="K3" s="4" t="inlineStr">
        <is>
          <t>Beleuchtung der Zuwege so herstellen, dass dauerhaft mindestens 50 lx erreicht werden – Leuchten ergänzen, Leuchtmittel erneuern oder Leuchten versetzen</t>
        </is>
      </c>
      <c r="L3" s="4" t="inlineStr">
        <is>
          <t>Regelprüfung 20.09.2026: Mittelfristmaßnahme verallgemeinert. „Leuchten versetzen" traf nur einen der drei von 5.2 erfassten Mängel (zu wenig Lux, nicht funktionsfähig, ungeeignete Stelle) und beseitigte bei zu geringer Beleuchtungsstärke die Ursache nicht; zusammen mit R3 entstand unter MAXIMUM zudem der Widerspruch „versetzen" gegen „instand setzen". Stufe, Bedingung und Priorität bleiben. Freigegeben 2026-09-20.</t>
        </is>
      </c>
      <c r="M3" s="3" t="n"/>
      <c r="N3" s="3" t="n"/>
    </row>
    <row r="4">
      <c r="A4" s="2" t="inlineStr">
        <is>
          <t>MF-Z01</t>
        </is>
      </c>
      <c r="B4" s="2" t="inlineStr">
        <is>
          <t>Unzureichende Beleuchtung an den Zuwegen zum Triebwerks-/Steuerungsraum</t>
        </is>
      </c>
      <c r="C4" s="2" t="inlineStr">
        <is>
          <t>Beleuchtung</t>
        </is>
      </c>
      <c r="D4" s="2" t="inlineStr">
        <is>
          <t>MF-Z01-R3</t>
        </is>
      </c>
      <c r="E4" s="2" t="n">
        <v>100</v>
      </c>
      <c r="F4" s="2" t="inlineStr">
        <is>
          <t>5.2a Defekte Leuchten oder Leuchtkörper an den Zuwegen? = Ja</t>
        </is>
      </c>
      <c r="G4" s="2" t="inlineStr">
        <is>
          <t>Mittel</t>
        </is>
      </c>
      <c r="H4" s="2" t="inlineStr">
        <is>
          <t>INFERRED</t>
        </is>
      </c>
      <c r="I4" s="2" t="inlineStr"/>
      <c r="J4" s="2" t="inlineStr">
        <is>
          <t>Zuweg nur mit Handlampe begehen; Betreiber unverzüglich zur Instandsetzung auffordern</t>
        </is>
      </c>
      <c r="K4" s="2" t="inlineStr">
        <is>
          <t>Defekte Leuchten und Leuchtmittel instand setzen und die Beleuchtung der Zuwege in die wiederkehrende Instandhaltung aufnehmen (Prüfintervall festlegen)</t>
        </is>
      </c>
      <c r="L4" s="2" t="inlineStr">
        <is>
          <t>Regelprüfung 20.09.2026: Sofort- und Mittelfristmaßnahme waren gegeneinander vertauscht: Die Instandsetzung [TECH] schützte den Prüfer, der den Zuweg jetzt begehen muss, gerade nicht und setzt je nach Defekt eine Elektrofachkraft voraus, während das Prüfintervall [ORGA] nur die Wiederholung verhindert. Damit war das TOP-Prinzip umgekehrt. Stufe Mittel und Bedingung bleiben. Freigegeben 2026-09-20.</t>
        </is>
      </c>
      <c r="M4" s="3" t="n"/>
      <c r="N4" s="3" t="n"/>
    </row>
    <row r="5">
      <c r="A5" s="4" t="inlineStr">
        <is>
          <t>MF-Z01</t>
        </is>
      </c>
      <c r="B5" s="4" t="inlineStr">
        <is>
          <t>Unzureichende Beleuchtung an den Zuwegen zum Triebwerks-/Steuerungsraum</t>
        </is>
      </c>
      <c r="C5" s="4" t="inlineStr">
        <is>
          <t>Beleuchtung</t>
        </is>
      </c>
      <c r="D5" s="4" t="inlineStr">
        <is>
          <t>MF-Z01-R4</t>
        </is>
      </c>
      <c r="E5" s="4" t="n">
        <v>1</v>
      </c>
      <c r="F5" s="4" t="inlineStr">
        <is>
          <t>5.1 Beleuchtung an den Zuwegen zum Triebwerks-/Steuerungsraum vorhanden? beantwortet</t>
        </is>
      </c>
      <c r="G5" s="4" t="inlineStr">
        <is>
          <t>Kein Risiko</t>
        </is>
      </c>
      <c r="H5" s="4" t="inlineStr">
        <is>
          <t>HIGH_CONFIDENCE</t>
        </is>
      </c>
      <c r="I5" s="4" t="inlineStr"/>
      <c r="J5" s="4" t="inlineStr">
        <is>
          <t>Zustand erhalten; bei der wiederkehrenden Prüfung und der Betreiberkontrolle erneut prüfen</t>
        </is>
      </c>
      <c r="K5" s="4" t="inlineStr"/>
      <c r="L5" s="4" t="inlineStr">
        <is>
          <t>Kein Risiko: keine Mangelregel trifft zu, alle Pflichtfragen beantwortet. Freigegeben 2026-09-20.</t>
        </is>
      </c>
      <c r="M5" s="3" t="n"/>
      <c r="N5" s="3" t="n"/>
    </row>
    <row r="6">
      <c r="A6" s="2" t="inlineStr">
        <is>
          <t>MF-Z02</t>
        </is>
      </c>
      <c r="B6" s="2" t="inlineStr">
        <is>
          <t>Unsicherer Verkehrsweg zum Triebwerks-/Steuerungsraum (Rutschen, Stolpern, Enge)</t>
        </is>
      </c>
      <c r="C6" s="2" t="inlineStr">
        <is>
          <t>Zugang und Verkehrswege</t>
        </is>
      </c>
      <c r="D6" s="2" t="inlineStr">
        <is>
          <t>MF-Z02-R1</t>
        </is>
      </c>
      <c r="E6" s="2" t="n">
        <v>100</v>
      </c>
      <c r="F6" s="2" t="inlineStr">
        <is>
          <t>5.3 Sicherer, freier Verkehrsweg zum Triebwerks-/Steuerungsraum (trocken, sauber, ohne Stolperstellen)? = Nein</t>
        </is>
      </c>
      <c r="G6" s="2" t="inlineStr">
        <is>
          <t>Mittel</t>
        </is>
      </c>
      <c r="H6" s="2" t="inlineStr">
        <is>
          <t>HIGH_CONFIDENCE</t>
        </is>
      </c>
      <c r="I6" s="2" t="inlineStr"/>
      <c r="J6" s="2" t="inlineStr">
        <is>
          <t>Verkehrsweg vor dem Begehen prüfen, Stolper- und Rutschstellen kennzeichnen, abgestellte Gegenstände aus dem Verkehrsweg entfernen lassen; rutschhemmendes Schuhwerk tragen</t>
        </is>
      </c>
      <c r="K6" s="2" t="inlineStr">
        <is>
          <t>Ursache beseitigen – Verkehrsweg dauerhaft freihalten, Bodenschäden instand setzen, rutschhemmenden Belag herstellen; Reinigungsintervall zusätzlich festlegen</t>
        </is>
      </c>
      <c r="L6" s="2" t="inlineStr">
        <is>
          <t>Regelprüfung 20.09.2026: Mittelfristmaßnahme war rein organisatorisch („Bodenbelag prüfen und häufig reinigen"), obwohl technische Abhilfe möglich und nach TOP vorrangig ist, und traf nicht alle von 5.3 erfassten Fälle: Ein Verkehrsweg kann auch zugestellt sein – dagegen hilft Reinigen nicht, und dieser Restfall wird weder von 5.3a noch von 5.3b erfasst. Die Bedingung bleibt bewusst weit: Die Aggregation ist MAXIMUM und alle drei Regeln liegen auf Mittel, ein Doppelbefund ändert also nichts, während eine Einschränkung den Befund bei 5.3=Nein mit 5.3a/5.3b=Nein verlieren würde (fail-open). Freigegeben 2026-09-20.</t>
        </is>
      </c>
      <c r="M6" s="3" t="n"/>
      <c r="N6" s="3" t="n"/>
    </row>
    <row r="7">
      <c r="A7" s="4" t="inlineStr">
        <is>
          <t>MF-Z02</t>
        </is>
      </c>
      <c r="B7" s="4" t="inlineStr">
        <is>
          <t>Unsicherer Verkehrsweg zum Triebwerks-/Steuerungsraum (Rutschen, Stolpern, Enge)</t>
        </is>
      </c>
      <c r="C7" s="4" t="inlineStr">
        <is>
          <t>Zugang und Verkehrswege</t>
        </is>
      </c>
      <c r="D7" s="4" t="inlineStr">
        <is>
          <t>MF-Z02-R3</t>
        </is>
      </c>
      <c r="E7" s="4" t="n">
        <v>100</v>
      </c>
      <c r="F7" s="4" t="inlineStr">
        <is>
          <t>5.3a Verkehrsweg rutschig, glatt oder verschmutzt? = Ja</t>
        </is>
      </c>
      <c r="G7" s="4" t="inlineStr">
        <is>
          <t>Mittel</t>
        </is>
      </c>
      <c r="H7" s="4" t="inlineStr">
        <is>
          <t>HIGH_CONFIDENCE</t>
        </is>
      </c>
      <c r="I7" s="4" t="inlineStr"/>
      <c r="J7" s="4" t="inlineStr">
        <is>
          <t>Rutschstellen kennzeichnen und reinigen lassen; rutschhemmendes Schuhwerk tragen</t>
        </is>
      </c>
      <c r="K7" s="4" t="inlineStr">
        <is>
          <t>Rutschhemmenden Bodenbelag herstellen bzw. Ursache der Verschmutzung/Nässe beseitigen</t>
        </is>
      </c>
      <c r="L7" s="4" t="inlineStr">
        <is>
          <t>Prüfbericht 20.09.2026: Folgefrage mit eigener Maßnahme statt optionaler Frage ohne Wirkung. Freigegeben 2026-09-20.</t>
        </is>
      </c>
      <c r="M7" s="3" t="n"/>
      <c r="N7" s="3" t="n"/>
    </row>
    <row r="8">
      <c r="A8" s="2" t="inlineStr">
        <is>
          <t>MF-Z02</t>
        </is>
      </c>
      <c r="B8" s="2" t="inlineStr">
        <is>
          <t>Unsicherer Verkehrsweg zum Triebwerks-/Steuerungsraum (Rutschen, Stolpern, Enge)</t>
        </is>
      </c>
      <c r="C8" s="2" t="inlineStr">
        <is>
          <t>Zugang und Verkehrswege</t>
        </is>
      </c>
      <c r="D8" s="2" t="inlineStr">
        <is>
          <t>MF-Z02-R4</t>
        </is>
      </c>
      <c r="E8" s="2" t="n">
        <v>100</v>
      </c>
      <c r="F8" s="2" t="inlineStr">
        <is>
          <t>5.3b Stolperstellen auf dem Verkehrsweg? = Ja</t>
        </is>
      </c>
      <c r="G8" s="2" t="inlineStr">
        <is>
          <t>Mittel</t>
        </is>
      </c>
      <c r="H8" s="2" t="inlineStr">
        <is>
          <t>HIGH_CONFIDENCE</t>
        </is>
      </c>
      <c r="I8" s="2" t="inlineStr"/>
      <c r="J8" s="2" t="inlineStr">
        <is>
          <t>Stolperstellen kennzeichnen (Warnmarkierung) und Beschäftigte hinweisen</t>
        </is>
      </c>
      <c r="K8" s="2" t="inlineStr">
        <is>
          <t>Stolperstellen beseitigen (Schwellen, Kabel, Bodenschäden) oder dauerhaft sichern</t>
        </is>
      </c>
      <c r="L8" s="2" t="inlineStr">
        <is>
          <t>Prüfbericht 20.09.2026: Folgefrage mit eigener Maßnahme statt optionaler Frage ohne Wirkung. Freigegeben 2026-09-20.</t>
        </is>
      </c>
      <c r="M8" s="3" t="n"/>
      <c r="N8" s="3" t="n"/>
    </row>
    <row r="9">
      <c r="A9" s="4" t="inlineStr">
        <is>
          <t>MF-Z02</t>
        </is>
      </c>
      <c r="B9" s="4" t="inlineStr">
        <is>
          <t>Unsicherer Verkehrsweg zum Triebwerks-/Steuerungsraum (Rutschen, Stolpern, Enge)</t>
        </is>
      </c>
      <c r="C9" s="4" t="inlineStr">
        <is>
          <t>Zugang und Verkehrswege</t>
        </is>
      </c>
      <c r="D9" s="4" t="inlineStr">
        <is>
          <t>MF-Z02-R2</t>
        </is>
      </c>
      <c r="E9" s="4" t="n">
        <v>1</v>
      </c>
      <c r="F9" s="4" t="inlineStr">
        <is>
          <t>5.3 Sicherer, freier Verkehrsweg zum Triebwerks-/Steuerungsraum (trocken, sauber, ohne Stolperstellen)? beantwortet</t>
        </is>
      </c>
      <c r="G9" s="4" t="inlineStr">
        <is>
          <t>Kein Risiko</t>
        </is>
      </c>
      <c r="H9" s="4" t="inlineStr">
        <is>
          <t>HIGH_CONFIDENCE</t>
        </is>
      </c>
      <c r="I9" s="4" t="inlineStr"/>
      <c r="J9" s="4" t="inlineStr">
        <is>
          <t>Zustand erhalten; bei der wiederkehrenden Prüfung und der Betreiberkontrolle erneut prüfen</t>
        </is>
      </c>
      <c r="K9" s="4" t="inlineStr"/>
      <c r="L9" s="4" t="inlineStr">
        <is>
          <t>Kein Risiko: keine Mangelregel trifft zu, alle Pflichtfragen beantwortet. Freigegeben 2026-09-20.</t>
        </is>
      </c>
      <c r="M9" s="3" t="n"/>
      <c r="N9" s="3" t="n"/>
    </row>
    <row r="10">
      <c r="A10" s="2" t="inlineStr">
        <is>
          <t>MF-Z03</t>
        </is>
      </c>
      <c r="B10" s="2" t="inlineStr">
        <is>
          <t>Unsicherer Aufstieg (Treppe, Leiter) zum Triebwerksraum</t>
        </is>
      </c>
      <c r="C10" s="2" t="inlineStr">
        <is>
          <t>Zugang und Verkehrswege</t>
        </is>
      </c>
      <c r="D10" s="2" t="inlineStr">
        <is>
          <t>MF-Z03-R1</t>
        </is>
      </c>
      <c r="E10" s="2" t="n">
        <v>100</v>
      </c>
      <c r="F10" s="2" t="inlineStr">
        <is>
          <t>5.5 Art des Aufstiegs zum Triebwerksraum = „Treppe ohne Handlauf"</t>
        </is>
      </c>
      <c r="G10" s="2" t="inlineStr">
        <is>
          <t>Mittel</t>
        </is>
      </c>
      <c r="H10" s="2" t="inlineStr">
        <is>
          <t>HIGH_CONFIDENCE</t>
        </is>
      </c>
      <c r="I10" s="2" t="inlineStr"/>
      <c r="J10" s="2" t="inlineStr">
        <is>
          <t>Aufstieg nur mit freien Händen (Dreipunktkontakt); Werkzeug und Material getrennt hochreichen; Betreiber zur Instandsetzung auffordern</t>
        </is>
      </c>
      <c r="K10" s="2" t="inlineStr">
        <is>
          <t>Handlauf nachrüsten</t>
        </is>
      </c>
      <c r="L10" s="2" t="inlineStr">
        <is>
          <t>[Prüfbericht 16.09.2026: konkrete Sofortmaßnahme statt „Vorsicht“] Freigegeben 2026-09-20.</t>
        </is>
      </c>
      <c r="M10" s="3" t="n"/>
      <c r="N10" s="3" t="n"/>
    </row>
    <row r="11">
      <c r="A11" s="4" t="inlineStr">
        <is>
          <t>MF-Z03</t>
        </is>
      </c>
      <c r="B11" s="4" t="inlineStr">
        <is>
          <t>Unsicherer Aufstieg (Treppe, Leiter) zum Triebwerksraum</t>
        </is>
      </c>
      <c r="C11" s="4" t="inlineStr">
        <is>
          <t>Zugang und Verkehrswege</t>
        </is>
      </c>
      <c r="D11" s="4" t="inlineStr">
        <is>
          <t>MF-Z03-R2</t>
        </is>
      </c>
      <c r="E11" s="4" t="n">
        <v>100</v>
      </c>
      <c r="F11" s="4" t="inlineStr">
        <is>
          <t>5.5 Art des Aufstiegs zum Triebwerksraum = „Zug-/Klapptreppe nicht sicherheitsgerecht"</t>
        </is>
      </c>
      <c r="G11" s="4" t="inlineStr">
        <is>
          <t>Mittel</t>
        </is>
      </c>
      <c r="H11" s="4" t="inlineStr">
        <is>
          <t>HIGH_CONFIDENCE</t>
        </is>
      </c>
      <c r="I11" s="4" t="inlineStr"/>
      <c r="J11" s="4" t="inlineStr">
        <is>
          <t>Aufstieg nur mit freien Händen (Dreipunktkontakt); Werkzeug und Material getrennt hochreichen; Betreiber zur Instandsetzung auffordern</t>
        </is>
      </c>
      <c r="K11" s="4" t="inlineStr">
        <is>
          <t>Treppe erneuern</t>
        </is>
      </c>
      <c r="L11" s="4" t="inlineStr">
        <is>
          <t>[Prüfbericht 16.09.2026: konkrete Sofortmaßnahme statt „Vorsicht“] Freigegeben 2026-09-20.</t>
        </is>
      </c>
      <c r="M11" s="3" t="n"/>
      <c r="N11" s="3" t="n"/>
    </row>
    <row r="12">
      <c r="A12" s="2" t="inlineStr">
        <is>
          <t>MF-Z03</t>
        </is>
      </c>
      <c r="B12" s="2" t="inlineStr">
        <is>
          <t>Unsicherer Aufstieg (Treppe, Leiter) zum Triebwerksraum</t>
        </is>
      </c>
      <c r="C12" s="2" t="inlineStr">
        <is>
          <t>Zugang und Verkehrswege</t>
        </is>
      </c>
      <c r="D12" s="2" t="inlineStr">
        <is>
          <t>MF-Z03-R3</t>
        </is>
      </c>
      <c r="E12" s="2" t="n">
        <v>100</v>
      </c>
      <c r="F12" s="2" t="inlineStr">
        <is>
          <t>5.5 Art des Aufstiegs zum Triebwerksraum = „Nur mobile Leiter / Anlegeleiter"</t>
        </is>
      </c>
      <c r="G12" s="2" t="inlineStr">
        <is>
          <t>Hoch</t>
        </is>
      </c>
      <c r="H12" s="2" t="inlineStr">
        <is>
          <t>INFERRED</t>
        </is>
      </c>
      <c r="I12" s="2" t="inlineStr"/>
      <c r="J12" s="2" t="inlineStr">
        <is>
          <t>Leiter gegen Wegrutschen sichern, nur zu zweit benutzen</t>
        </is>
      </c>
      <c r="K12" s="2" t="inlineStr">
        <is>
          <t>Fest angebrachte Steigleiter mit Haltegriffen oder Treppe herstellen</t>
        </is>
      </c>
      <c r="L12" s="2" t="inlineStr">
        <is>
          <t>Entschieden 2026-09-02: K-Z04.</t>
        </is>
      </c>
      <c r="M12" s="3" t="n"/>
      <c r="N12" s="3" t="n"/>
    </row>
    <row r="13">
      <c r="A13" s="4" t="inlineStr">
        <is>
          <t>MF-Z03</t>
        </is>
      </c>
      <c r="B13" s="4" t="inlineStr">
        <is>
          <t>Unsicherer Aufstieg (Treppe, Leiter) zum Triebwerksraum</t>
        </is>
      </c>
      <c r="C13" s="4" t="inlineStr">
        <is>
          <t>Zugang und Verkehrswege</t>
        </is>
      </c>
      <c r="D13" s="4" t="inlineStr">
        <is>
          <t>MF-Z03-R4</t>
        </is>
      </c>
      <c r="E13" s="4" t="n">
        <v>100</v>
      </c>
      <c r="F13" s="4" t="inlineStr">
        <is>
          <t>5.5 Art des Aufstiegs zum Triebwerksraum = „Kein sicherer Aufstieg vorhanden"</t>
        </is>
      </c>
      <c r="G13" s="4" t="inlineStr">
        <is>
          <t>Hoch</t>
        </is>
      </c>
      <c r="H13" s="4" t="inlineStr">
        <is>
          <t>HIGH_CONFIDENCE</t>
        </is>
      </c>
      <c r="I13" s="4" t="inlineStr"/>
      <c r="J13" s="4" t="inlineStr">
        <is>
          <t>Aufstieg unterlassen, Zugang sperren und Betreiber unverzüglich unterrichten; Begehung erst nach Herstellung eines sicheren Aufstiegs</t>
        </is>
      </c>
      <c r="K13" s="4" t="inlineStr">
        <is>
          <t>Sichere Treppe / Leiter / Zugang schaffen</t>
        </is>
      </c>
      <c r="L13" s="4" t="inlineStr">
        <is>
          <t>Regelprüfung 20.09.2026: Sofortmaßnahme ersetzt. „Geeignete Aufstiegshilfe verwenden" war in sich widersprüchlich: Ist festgestellt, dass kein sicherer Aufstieg vorhanden ist, kann nicht zugleich eine geeignete Aufstiegshilfe verwendet werden – eine Leerformel derselben Art wie das bereits beanstandete „Vorsicht walten lassen". Stufe Hoch und Mittelfristmaßnahme bleiben. Freigegeben 2026-09-20.</t>
        </is>
      </c>
      <c r="M13" s="3" t="n"/>
      <c r="N13" s="3" t="n"/>
    </row>
    <row r="14">
      <c r="A14" s="2" t="inlineStr">
        <is>
          <t>MF-Z03</t>
        </is>
      </c>
      <c r="B14" s="2" t="inlineStr">
        <is>
          <t>Unsicherer Aufstieg (Treppe, Leiter) zum Triebwerksraum</t>
        </is>
      </c>
      <c r="C14" s="2" t="inlineStr">
        <is>
          <t>Zugang und Verkehrswege</t>
        </is>
      </c>
      <c r="D14" s="2" t="inlineStr">
        <is>
          <t>MF-Z03-R5</t>
        </is>
      </c>
      <c r="E14" s="2" t="n">
        <v>100</v>
      </c>
      <c r="F14" s="2" t="inlineStr">
        <is>
          <t>5.6 Bruch- oder Kippgefahr am Aufstieg (beschädigte Stufen, lose Leiter, fehlende Befestigung)? = Ja</t>
        </is>
      </c>
      <c r="G14" s="2" t="inlineStr">
        <is>
          <t>Hoch</t>
        </is>
      </c>
      <c r="H14" s="2" t="inlineStr">
        <is>
          <t>HIGH_CONFIDENCE</t>
        </is>
      </c>
      <c r="I14" s="2" t="inlineStr"/>
      <c r="J14" s="2" t="inlineStr">
        <is>
          <t>Aufstieg sofort sperren und nicht benutzen, Betreiber unverzüglich unterrichten; Zugang bis zur Instandsetzung nur über einen anderen sicheren Weg</t>
        </is>
      </c>
      <c r="K14" s="2" t="inlineStr">
        <is>
          <t>Treppe / Leiter erneuern</t>
        </is>
      </c>
      <c r="L14" s="2" t="inlineStr">
        <is>
          <t>Regelprüfung 20.09.2026: Sofortmaßnahme ersetzt. „Nur mit Absturzsicherung begehen" greift hier nicht: Gegen das Durchbrechen einer beschädigten Stufe oder das Kippen einer losen Leiter schützt PSA gegen Absturz nicht, und im Zugangsbereich zum Triebwerksraum ist in aller Regel kein geprüfter Anschlagpunkt vorhanden. Stufe Hoch und Mittelfristmaßnahme bleiben. Freigegeben 2026-09-20.</t>
        </is>
      </c>
      <c r="M14" s="3" t="n"/>
      <c r="N14" s="3" t="n"/>
    </row>
    <row r="15">
      <c r="A15" s="4" t="inlineStr">
        <is>
          <t>MF-Z03</t>
        </is>
      </c>
      <c r="B15" s="4" t="inlineStr">
        <is>
          <t>Unsicherer Aufstieg (Treppe, Leiter) zum Triebwerksraum</t>
        </is>
      </c>
      <c r="C15" s="4" t="inlineStr">
        <is>
          <t>Zugang und Verkehrswege</t>
        </is>
      </c>
      <c r="D15" s="4" t="inlineStr">
        <is>
          <t>MF-Z03-R6</t>
        </is>
      </c>
      <c r="E15" s="4" t="n">
        <v>1</v>
      </c>
      <c r="F15" s="4" t="inlineStr">
        <is>
          <t>5.5 Art des Aufstiegs zum Triebwerksraum beantwortet</t>
        </is>
      </c>
      <c r="G15" s="4" t="inlineStr">
        <is>
          <t>Kein Risiko</t>
        </is>
      </c>
      <c r="H15" s="4" t="inlineStr">
        <is>
          <t>HIGH_CONFIDENCE</t>
        </is>
      </c>
      <c r="I15" s="4" t="inlineStr"/>
      <c r="J15" s="4" t="inlineStr">
        <is>
          <t>Zustand erhalten; bei der wiederkehrenden Prüfung und der Betreiberkontrolle erneut prüfen</t>
        </is>
      </c>
      <c r="K15" s="4" t="inlineStr"/>
      <c r="L15" s="4" t="inlineStr">
        <is>
          <t>Kein Risiko: keine Mangelregel trifft zu, alle Pflichtfragen beantwortet. Freigegeben 2026-09-20.</t>
        </is>
      </c>
      <c r="M15" s="3" t="n"/>
      <c r="N15" s="3" t="n"/>
    </row>
    <row r="16">
      <c r="A16" s="2" t="inlineStr">
        <is>
          <t>MF-Z04</t>
        </is>
      </c>
      <c r="B16" s="2" t="inlineStr">
        <is>
          <t>Absturzgefahr im Zugangsbereich (Dachfläche, Absturzkante, Übersteigen)</t>
        </is>
      </c>
      <c r="C16" s="2" t="inlineStr">
        <is>
          <t>Zugang und Verkehrswege</t>
        </is>
      </c>
      <c r="D16" s="2" t="inlineStr">
        <is>
          <t>MF-Z04-R1</t>
        </is>
      </c>
      <c r="E16" s="2" t="n">
        <v>100</v>
      </c>
      <c r="F16" s="2" t="inlineStr">
        <is>
          <t>(5.7 Führt der Zugang über eine Dachfläche, Dachkante, Empore oder eine andere Absturzkante? = Ja UND 5.7a Absturzkante durch Geländer oder Umwehrung dauerhaft gesichert? = Nein UND 5.7b Verkehrsweg an der Absturzkante festgelegt, gekennzeichnet und mit ausreichendem Sicherheitsabstand zur Absturzkante geführt (auf Dachflächen mindestens 2,00 m nach ASR A2.1)? = Nein)</t>
        </is>
      </c>
      <c r="G16" s="2" t="inlineStr">
        <is>
          <t>Hoch</t>
        </is>
      </c>
      <c r="H16" s="2" t="inlineStr">
        <is>
          <t>HIGH_CONFIDENCE</t>
        </is>
      </c>
      <c r="I16" s="2" t="inlineStr"/>
      <c r="J16" s="2" t="inlineStr">
        <is>
          <t>PSA gegen Absturz mit festgelegtem Anschlagpunkt verwenden, sonst Zugangsverbot</t>
        </is>
      </c>
      <c r="K16" s="2" t="inlineStr">
        <is>
          <t>Absturzsicherung und Anschlagpunkte herstellen, Verkehrswege festlegen</t>
        </is>
      </c>
      <c r="L16" s="2" t="inlineStr">
        <is>
          <t>Freigegeben 2026-09-20.</t>
        </is>
      </c>
      <c r="M16" s="3" t="n"/>
      <c r="N16" s="3" t="n"/>
    </row>
    <row r="17">
      <c r="A17" s="4" t="inlineStr">
        <is>
          <t>MF-Z04</t>
        </is>
      </c>
      <c r="B17" s="4" t="inlineStr">
        <is>
          <t>Absturzgefahr im Zugangsbereich (Dachfläche, Absturzkante, Übersteigen)</t>
        </is>
      </c>
      <c r="C17" s="4" t="inlineStr">
        <is>
          <t>Zugang und Verkehrswege</t>
        </is>
      </c>
      <c r="D17" s="4" t="inlineStr">
        <is>
          <t>MF-Z04-R2</t>
        </is>
      </c>
      <c r="E17" s="4" t="n">
        <v>100</v>
      </c>
      <c r="F17" s="4" t="inlineStr">
        <is>
          <t>(5.7 Führt der Zugang über eine Dachfläche, Dachkante, Empore oder eine andere Absturzkante? = Ja UND 5.7a Absturzkante durch Geländer oder Umwehrung dauerhaft gesichert? = Nein UND 5.7b Verkehrsweg an der Absturzkante festgelegt, gekennzeichnet und mit ausreichendem Sicherheitsabstand zur Absturzkante geführt (auf Dachflächen mindestens 2,00 m nach ASR A2.1)? = Ja)</t>
        </is>
      </c>
      <c r="G17" s="4" t="inlineStr">
        <is>
          <t>Mittel</t>
        </is>
      </c>
      <c r="H17" s="4" t="inlineStr">
        <is>
          <t>HIGH_CONFIDENCE</t>
        </is>
      </c>
      <c r="I17" s="4" t="inlineStr"/>
      <c r="J17" s="4" t="inlineStr">
        <is>
          <t>Nur den festgelegten, gekennzeichneten Verkehrsweg nutzen; mindestens 2 m Abstand zur Absturzkante halten</t>
        </is>
      </c>
      <c r="K17" s="4" t="inlineStr">
        <is>
          <t>Geländer oder dauerhafte Absturzsicherung anbringen</t>
        </is>
      </c>
      <c r="L17" s="4" t="inlineStr">
        <is>
          <t>Regelprüfung 20.09.2026: Stufe und Maßnahmen bleiben – für den Fall mit eingehaltenem Abstand ist Mittel (wirksame, aber unvollständige Schutzmaßnahme) richtig. Die Regel setzte die Kompensation aber voraus, ohne sie abzuprüfen: 5.7b fragte nur nach Festlegung und Kennzeichnung, den Abstand nannte erst die Sofortmaßnahme. Ein gekennzeichneter Weg dicht an der Kante ist keine wirksame Kompensation und durfte den Fall nicht auf Mittel herabstufen. Der Abstand steht deshalb jetzt in der Frage 5.7b selbst; wird er nicht eingehalten, ergibt 5.7b „Nein" und R1 (Hoch) greift von selbst – eine zusätzliche Regel ist nicht nötig. [Prüfbericht 16.09.2026: konkrete Sofortmaßnahme statt „Vorsicht“] Freigegeben 2026-09-20.</t>
        </is>
      </c>
      <c r="M17" s="3" t="n"/>
      <c r="N17" s="3" t="n"/>
    </row>
    <row r="18">
      <c r="A18" s="2" t="inlineStr">
        <is>
          <t>MF-Z04</t>
        </is>
      </c>
      <c r="B18" s="2" t="inlineStr">
        <is>
          <t>Absturzgefahr im Zugangsbereich (Dachfläche, Absturzkante, Übersteigen)</t>
        </is>
      </c>
      <c r="C18" s="2" t="inlineStr">
        <is>
          <t>Zugang und Verkehrswege</t>
        </is>
      </c>
      <c r="D18" s="2" t="inlineStr">
        <is>
          <t>MF-Z04-R3</t>
        </is>
      </c>
      <c r="E18" s="2" t="n">
        <v>100</v>
      </c>
      <c r="F18" s="2" t="inlineStr">
        <is>
          <t>5.8 Muss ein Treppenauge, eine Brüstung oder ein Fenster überstiegen werden? = Ja</t>
        </is>
      </c>
      <c r="G18" s="2" t="inlineStr">
        <is>
          <t>Hoch</t>
        </is>
      </c>
      <c r="H18" s="2" t="inlineStr">
        <is>
          <t>HIGH_CONFIDENCE</t>
        </is>
      </c>
      <c r="I18" s="2" t="inlineStr"/>
      <c r="J18" s="2" t="inlineStr">
        <is>
          <t>Zugang sperren und alternative Zugangsmöglichkeit festlegen</t>
        </is>
      </c>
      <c r="K18" s="2" t="inlineStr">
        <is>
          <t>Zugang baulich ändern</t>
        </is>
      </c>
      <c r="L18" s="2" t="inlineStr">
        <is>
          <t>Freigegeben 2026-09-20.</t>
        </is>
      </c>
      <c r="M18" s="3" t="n"/>
      <c r="N18" s="3" t="n"/>
    </row>
    <row r="19">
      <c r="A19" s="4" t="inlineStr">
        <is>
          <t>MF-Z04</t>
        </is>
      </c>
      <c r="B19" s="4" t="inlineStr">
        <is>
          <t>Absturzgefahr im Zugangsbereich (Dachfläche, Absturzkante, Übersteigen)</t>
        </is>
      </c>
      <c r="C19" s="4" t="inlineStr">
        <is>
          <t>Zugang und Verkehrswege</t>
        </is>
      </c>
      <c r="D19" s="4" t="inlineStr">
        <is>
          <t>MF-Z04-R4</t>
        </is>
      </c>
      <c r="E19" s="4" t="n">
        <v>1</v>
      </c>
      <c r="F19" s="4" t="inlineStr">
        <is>
          <t>5.7 Führt der Zugang über eine Dachfläche, Dachkante, Empore oder eine andere Absturzkante? beantwortet</t>
        </is>
      </c>
      <c r="G19" s="4" t="inlineStr">
        <is>
          <t>Kein Risiko</t>
        </is>
      </c>
      <c r="H19" s="4" t="inlineStr">
        <is>
          <t>HIGH_CONFIDENCE</t>
        </is>
      </c>
      <c r="I19" s="4" t="inlineStr"/>
      <c r="J19" s="4" t="inlineStr">
        <is>
          <t>Zustand erhalten; bei der wiederkehrenden Prüfung und der Betreiberkontrolle erneut prüfen</t>
        </is>
      </c>
      <c r="K19" s="4" t="inlineStr"/>
      <c r="L19" s="4" t="inlineStr">
        <is>
          <t>Kein Risiko: keine Mangelregel trifft zu, alle Pflichtfragen beantwortet. Freigegeben 2026-09-20.</t>
        </is>
      </c>
      <c r="M19" s="3" t="n"/>
      <c r="N19" s="3" t="n"/>
    </row>
    <row r="20">
      <c r="A20" s="2" t="inlineStr">
        <is>
          <t>MF-Z05</t>
        </is>
      </c>
      <c r="B20" s="2" t="inlineStr">
        <is>
          <t>Einschließen im Zugangsbereich / Triebwerksraum (keine Panikfunktion)</t>
        </is>
      </c>
      <c r="C20" s="2" t="inlineStr">
        <is>
          <t>Zugang und Verkehrswege</t>
        </is>
      </c>
      <c r="D20" s="2" t="inlineStr">
        <is>
          <t>MF-Z05-R1</t>
        </is>
      </c>
      <c r="E20" s="2" t="n">
        <v>100</v>
      </c>
      <c r="F20" s="2" t="inlineStr">
        <is>
          <t>5.9 Lässt sich der Zugangsbereich / Triebwerksraum jederzeit von innen verlassen? = „Nein – Einschließen möglich"</t>
        </is>
      </c>
      <c r="G20" s="2" t="inlineStr">
        <is>
          <t>Hoch</t>
        </is>
      </c>
      <c r="H20" s="2" t="inlineStr">
        <is>
          <t>HIGH_CONFIDENCE</t>
        </is>
      </c>
      <c r="I20" s="2" t="inlineStr"/>
      <c r="J20" s="2" t="inlineStr">
        <is>
          <t>Nur zu zweit betreten, an- und abmelden, Tür gegen Zufallen sichern</t>
        </is>
      </c>
      <c r="K20" s="2" t="inlineStr">
        <is>
          <t>Panikschloss installieren oder zweiten Fluchtweg schaffen</t>
        </is>
      </c>
      <c r="L20" s="2" t="inlineStr">
        <is>
          <t>Freigegeben 2026-09-20.</t>
        </is>
      </c>
      <c r="M20" s="3" t="n"/>
      <c r="N20" s="3" t="n"/>
    </row>
    <row r="21">
      <c r="A21" s="4" t="inlineStr">
        <is>
          <t>MF-Z05</t>
        </is>
      </c>
      <c r="B21" s="4" t="inlineStr">
        <is>
          <t>Einschließen im Zugangsbereich / Triebwerksraum (keine Panikfunktion)</t>
        </is>
      </c>
      <c r="C21" s="4" t="inlineStr">
        <is>
          <t>Zugang und Verkehrswege</t>
        </is>
      </c>
      <c r="D21" s="4" t="inlineStr">
        <is>
          <t>MF-Z05-R2</t>
        </is>
      </c>
      <c r="E21" s="4" t="n">
        <v>100</v>
      </c>
      <c r="F21" s="4" t="inlineStr">
        <is>
          <t>5.9 Lässt sich der Zugangsbereich / Triebwerksraum jederzeit von innen verlassen? = „Nur mit Schlüssel, Schlüssel dauerhaft innen hinterlegt"</t>
        </is>
      </c>
      <c r="G21" s="4" t="inlineStr">
        <is>
          <t>Mittel</t>
        </is>
      </c>
      <c r="H21" s="4" t="inlineStr">
        <is>
          <t>HIGH_CONFIDENCE</t>
        </is>
      </c>
      <c r="I21" s="4" t="inlineStr"/>
      <c r="J21" s="4" t="inlineStr">
        <is>
          <t>Vor dem Betreten Schlüssel prüfen, beim Betreiber an- und abmelden</t>
        </is>
      </c>
      <c r="K21" s="4" t="inlineStr">
        <is>
          <t>Panikschloss nachrüsten</t>
        </is>
      </c>
      <c r="L21" s="4" t="inlineStr">
        <is>
          <t>Freigegeben 2026-09-20.</t>
        </is>
      </c>
      <c r="M21" s="3" t="n"/>
      <c r="N21" s="3" t="n"/>
    </row>
    <row r="22">
      <c r="A22" s="2" t="inlineStr">
        <is>
          <t>MF-Z05</t>
        </is>
      </c>
      <c r="B22" s="2" t="inlineStr">
        <is>
          <t>Einschließen im Zugangsbereich / Triebwerksraum (keine Panikfunktion)</t>
        </is>
      </c>
      <c r="C22" s="2" t="inlineStr">
        <is>
          <t>Zugang und Verkehrswege</t>
        </is>
      </c>
      <c r="D22" s="2" t="inlineStr">
        <is>
          <t>MF-Z05-R3</t>
        </is>
      </c>
      <c r="E22" s="2" t="n">
        <v>1</v>
      </c>
      <c r="F22" s="2" t="inlineStr">
        <is>
          <t>5.9 Lässt sich der Zugangsbereich / Triebwerksraum jederzeit von innen verlassen? beantwortet</t>
        </is>
      </c>
      <c r="G22" s="2" t="inlineStr">
        <is>
          <t>Kein Risiko</t>
        </is>
      </c>
      <c r="H22" s="2" t="inlineStr">
        <is>
          <t>HIGH_CONFIDENCE</t>
        </is>
      </c>
      <c r="I22" s="2" t="inlineStr"/>
      <c r="J22" s="2" t="inlineStr">
        <is>
          <t>Zustand erhalten; bei der wiederkehrenden Prüfung und der Betreiberkontrolle erneut prüfen</t>
        </is>
      </c>
      <c r="K22" s="2" t="inlineStr"/>
      <c r="L22" s="2" t="inlineStr">
        <is>
          <t>Kein Risiko: keine Mangelregel trifft zu, alle Pflichtfragen beantwortet. Freigegeben 2026-09-20.</t>
        </is>
      </c>
      <c r="M22" s="3" t="n"/>
      <c r="N22" s="3" t="n"/>
    </row>
    <row r="23">
      <c r="A23" s="4" t="inlineStr">
        <is>
          <t>MF-Z06</t>
        </is>
      </c>
      <c r="B23" s="4" t="inlineStr">
        <is>
          <t>Zugang über fremde Räume, erschwerter Material- und Werkzeugtransport</t>
        </is>
      </c>
      <c r="C23" s="4" t="inlineStr">
        <is>
          <t>Zugang und Verkehrswege</t>
        </is>
      </c>
      <c r="D23" s="4" t="inlineStr">
        <is>
          <t>MF-Z06-R1</t>
        </is>
      </c>
      <c r="E23" s="4" t="n">
        <v>100</v>
      </c>
      <c r="F23" s="4" t="inlineStr">
        <is>
          <t>5.10 Führt der Zugang durch fremde Räume? = „Durch eine Wohnung oder einen nur zeitweise zugänglichen Bereich"</t>
        </is>
      </c>
      <c r="G23" s="4" t="inlineStr">
        <is>
          <t>Mittel</t>
        </is>
      </c>
      <c r="H23" s="4" t="inlineStr">
        <is>
          <t>HIGH_CONFIDENCE</t>
        </is>
      </c>
      <c r="I23" s="4" t="inlineStr"/>
      <c r="J23" s="4" t="inlineStr">
        <is>
          <t>Zutritt und Schlüsselregelung vorab schriftlich mit dem Betreiber vereinbaren; Erreichbarkeit des Wohnungsinhabers im Notfallplan hinterlegen</t>
        </is>
      </c>
      <c r="K23" s="4" t="inlineStr">
        <is>
          <t>Zugang dauerhaft ändern</t>
        </is>
      </c>
      <c r="L23" s="4" t="inlineStr">
        <is>
          <t>Regelprüfung 20.09.2026: Hoch auf Mittel. Die Stufe passte weder zum Gefährdungsfaktor dieser Gefährdung (physische Belastung, Zugangsorganisation) noch zum Stufenmaßstab: Ein Zugang durch eine Wohnung bedroht Leben und Gesundheit nicht unmittelbar. Das lebensbedrohliche Szenario – der Befreiungsdienst kommt nicht rechtzeitig an die Anlage – ist in MF-Z09 über 3.4 mit Hoch und dem richtigen Betroffenenkreis erfasst; eine Querbedingung auf 3.4 wurde bewusst NICHT eingebaut, sie erzeugte nur einen Doppelbefund. Stattdessen verweist die Hilfe zu 5.10 auf 3.4. Die unbestimmte Sofortmaßnahme („im Notfall Dritte hinzuziehen") ist konkretisiert. Freigegeben 2026-09-20.</t>
        </is>
      </c>
      <c r="M23" s="3" t="n"/>
      <c r="N23" s="3" t="n"/>
    </row>
    <row r="24">
      <c r="A24" s="2" t="inlineStr">
        <is>
          <t>MF-Z06</t>
        </is>
      </c>
      <c r="B24" s="2" t="inlineStr">
        <is>
          <t>Zugang über fremde Räume, erschwerter Material- und Werkzeugtransport</t>
        </is>
      </c>
      <c r="C24" s="2" t="inlineStr">
        <is>
          <t>Zugang und Verkehrswege</t>
        </is>
      </c>
      <c r="D24" s="2" t="inlineStr">
        <is>
          <t>MF-Z06-R2</t>
        </is>
      </c>
      <c r="E24" s="2" t="n">
        <v>100</v>
      </c>
      <c r="F24" s="2" t="inlineStr">
        <is>
          <t>5.10 Führt der Zugang durch fremde Räume? = „Durch Arbeits-, Lager- oder Technikräume Dritter"</t>
        </is>
      </c>
      <c r="G24" s="2" t="inlineStr">
        <is>
          <t>Mittel</t>
        </is>
      </c>
      <c r="H24" s="2" t="inlineStr">
        <is>
          <t>HIGH_CONFIDENCE</t>
        </is>
      </c>
      <c r="I24" s="2" t="inlineStr"/>
      <c r="J24" s="2" t="inlineStr">
        <is>
          <t>Zutritt vorab mit dem Betreiber abstimmen (Schlüssel, Begleitung); Material in tragbaren Teilmengen transportieren</t>
        </is>
      </c>
      <c r="K24" s="2" t="inlineStr">
        <is>
          <t>Eigenständigen Zugang schaffen oder Wegeführung verbindlich festlegen</t>
        </is>
      </c>
      <c r="L24" s="2" t="inlineStr">
        <is>
          <t>[Prüfbericht 16.09.2026: konkrete Sofortmaßnahme statt „Vorsicht“] Freigegeben 2026-09-20.</t>
        </is>
      </c>
      <c r="M24" s="3" t="n"/>
      <c r="N24" s="3" t="n"/>
    </row>
    <row r="25">
      <c r="A25" s="4" t="inlineStr">
        <is>
          <t>MF-Z06</t>
        </is>
      </c>
      <c r="B25" s="4" t="inlineStr">
        <is>
          <t>Zugang über fremde Räume, erschwerter Material- und Werkzeugtransport</t>
        </is>
      </c>
      <c r="C25" s="4" t="inlineStr">
        <is>
          <t>Zugang und Verkehrswege</t>
        </is>
      </c>
      <c r="D25" s="4" t="inlineStr">
        <is>
          <t>MF-Z06-R3</t>
        </is>
      </c>
      <c r="E25" s="4" t="n">
        <v>100</v>
      </c>
      <c r="F25" s="4" t="inlineStr">
        <is>
          <t>5.11 Erschwert die Art des Zugangs den Transport von Material und Werkzeug (z. B. nur über Leiter, Dachluke, enge Wendeltreppe)? = Ja</t>
        </is>
      </c>
      <c r="G25" s="4" t="inlineStr">
        <is>
          <t>Mittel</t>
        </is>
      </c>
      <c r="H25" s="4" t="inlineStr">
        <is>
          <t>HIGH_CONFIDENCE</t>
        </is>
      </c>
      <c r="I25" s="4" t="inlineStr"/>
      <c r="J25" s="4" t="inlineStr">
        <is>
          <t>Material in tragbaren Teilmengen befördern, Lasten mit Seil oder Hebehilfe getrennt hochgeben; Leiter oder Treppe nur mit freien Händen begehen (Dreipunktkontakt)</t>
        </is>
      </c>
      <c r="K25" s="4" t="inlineStr">
        <is>
          <t>Zugang so herrichten, dass Material sicher transportiert werden kann</t>
        </is>
      </c>
      <c r="L25" s="4" t="inlineStr">
        <is>
          <t>Regelprüfung 20.09.2026: Sofortmaßnahme ersetzt. „Geeignete Transporthilfen verwenden" ist eine Leerformel derselben Art, die der Katalog an anderen Stellen bereits ersetzt hat: Sie benennt nicht, was zu tun ist, und ist im Prüfmoment ohne vorhandene Hilfsmittel unwirksam. Der entscheidende Grundsatz – beim Auf- und Abstieg keine Last in der Hand – fehlte. Bedingung, Stufe und Mittelfristmaßnahme bleiben. Freigegeben 2026-09-20.</t>
        </is>
      </c>
      <c r="M25" s="3" t="n"/>
      <c r="N25" s="3" t="n"/>
    </row>
    <row r="26">
      <c r="A26" s="2" t="inlineStr">
        <is>
          <t>MF-Z06</t>
        </is>
      </c>
      <c r="B26" s="2" t="inlineStr">
        <is>
          <t>Zugang über fremde Räume, erschwerter Material- und Werkzeugtransport</t>
        </is>
      </c>
      <c r="C26" s="2" t="inlineStr">
        <is>
          <t>Zugang und Verkehrswege</t>
        </is>
      </c>
      <c r="D26" s="2" t="inlineStr">
        <is>
          <t>MF-Z06-R4</t>
        </is>
      </c>
      <c r="E26" s="2" t="n">
        <v>1</v>
      </c>
      <c r="F26" s="2" t="inlineStr">
        <is>
          <t>5.10 Führt der Zugang durch fremde Räume? beantwortet</t>
        </is>
      </c>
      <c r="G26" s="2" t="inlineStr">
        <is>
          <t>Kein Risiko</t>
        </is>
      </c>
      <c r="H26" s="2" t="inlineStr">
        <is>
          <t>HIGH_CONFIDENCE</t>
        </is>
      </c>
      <c r="I26" s="2" t="inlineStr"/>
      <c r="J26" s="2" t="inlineStr">
        <is>
          <t>Zustand erhalten; bei der wiederkehrenden Prüfung und der Betreiberkontrolle erneut prüfen</t>
        </is>
      </c>
      <c r="K26" s="2" t="inlineStr"/>
      <c r="L26" s="2" t="inlineStr">
        <is>
          <t>Kein Risiko: keine Mangelregel trifft zu, alle Pflichtfragen beantwortet. Freigegeben 2026-09-20.</t>
        </is>
      </c>
      <c r="M26" s="3" t="n"/>
      <c r="N26" s="3" t="n"/>
    </row>
    <row r="27">
      <c r="A27" s="4" t="inlineStr">
        <is>
          <t>MF-Z07</t>
        </is>
      </c>
      <c r="B27" s="4" t="inlineStr">
        <is>
          <t>Fehlende oder unzureichende Zugangstür zum Triebwerks-/Maschinenraum bzw. nicht abschließbarer Steuerschrank</t>
        </is>
      </c>
      <c r="C27" s="4" t="inlineStr">
        <is>
          <t>Zugang und Verkehrswege</t>
        </is>
      </c>
      <c r="D27" s="4" t="inlineStr">
        <is>
          <t>MF-Z07-R1</t>
        </is>
      </c>
      <c r="E27" s="4" t="n">
        <v>100</v>
      </c>
      <c r="F27" s="4" t="inlineStr">
        <is>
          <t>5.12 Zugangstür zum Triebwerks-/Maschinenraum vorhanden? = Nein</t>
        </is>
      </c>
      <c r="G27" s="4" t="inlineStr">
        <is>
          <t>Hoch</t>
        </is>
      </c>
      <c r="H27" s="4" t="inlineStr">
        <is>
          <t>HIGH_CONFIDENCE</t>
        </is>
      </c>
      <c r="I27" s="4" t="inlineStr"/>
      <c r="J27" s="4" t="inlineStr">
        <is>
          <t>Zugang gegen unbefugten Zutritt sichern</t>
        </is>
      </c>
      <c r="K27" s="4" t="inlineStr">
        <is>
          <t>Abschließbare Zugangstür nach DIN EN 81-20, 5.2.3.3 herstellen</t>
        </is>
      </c>
      <c r="L27" s="4" t="inlineStr">
        <is>
          <t>Freigegeben 2026-09-20.</t>
        </is>
      </c>
      <c r="M27" s="3" t="n"/>
      <c r="N27" s="3" t="n"/>
    </row>
    <row r="28">
      <c r="A28" s="2" t="inlineStr">
        <is>
          <t>MF-Z07</t>
        </is>
      </c>
      <c r="B28" s="2" t="inlineStr">
        <is>
          <t>Fehlende oder unzureichende Zugangstür zum Triebwerks-/Maschinenraum bzw. nicht abschließbarer Steuerschrank</t>
        </is>
      </c>
      <c r="C28" s="2" t="inlineStr">
        <is>
          <t>Zugang und Verkehrswege</t>
        </is>
      </c>
      <c r="D28" s="2" t="inlineStr">
        <is>
          <t>MF-Z07-R2</t>
        </is>
      </c>
      <c r="E28" s="2" t="n">
        <v>100</v>
      </c>
      <c r="F28" s="2" t="inlineStr">
        <is>
          <t>5.12a Zugangstür abschließbar (Zutritt nur für befugte Personen)? = Nein</t>
        </is>
      </c>
      <c r="G28" s="2" t="inlineStr">
        <is>
          <t>Hoch</t>
        </is>
      </c>
      <c r="H28" s="2" t="inlineStr">
        <is>
          <t>HIGH_CONFIDENCE</t>
        </is>
      </c>
      <c r="I28" s="2" t="inlineStr"/>
      <c r="J28" s="2" t="inlineStr">
        <is>
          <t>Zugang gegen unbefugten Zutritt sichern</t>
        </is>
      </c>
      <c r="K28" s="2" t="inlineStr">
        <is>
          <t>Abschließbare Zugangstür nach DIN EN 81-20, 5.2.3.3 herstellen</t>
        </is>
      </c>
      <c r="L28" s="2" t="inlineStr">
        <is>
          <t>Freigegeben 2026-09-20.</t>
        </is>
      </c>
      <c r="M28" s="3" t="n"/>
      <c r="N28" s="3" t="n"/>
    </row>
    <row r="29">
      <c r="A29" s="4" t="inlineStr">
        <is>
          <t>MF-Z07</t>
        </is>
      </c>
      <c r="B29" s="4" t="inlineStr">
        <is>
          <t>Fehlende oder unzureichende Zugangstür zum Triebwerks-/Maschinenraum bzw. nicht abschließbarer Steuerschrank</t>
        </is>
      </c>
      <c r="C29" s="4" t="inlineStr">
        <is>
          <t>Zugang und Verkehrswege</t>
        </is>
      </c>
      <c r="D29" s="4" t="inlineStr">
        <is>
          <t>MF-Z07-R3</t>
        </is>
      </c>
      <c r="E29" s="4" t="n">
        <v>100</v>
      </c>
      <c r="F29" s="4" t="inlineStr">
        <is>
          <t>5.12b Zugangstür unbeschädigt und leichtgängig? = Nein</t>
        </is>
      </c>
      <c r="G29" s="4" t="inlineStr">
        <is>
          <t>Mittel</t>
        </is>
      </c>
      <c r="H29" s="4" t="inlineStr">
        <is>
          <t>HIGH_CONFIDENCE</t>
        </is>
      </c>
      <c r="I29" s="4" t="inlineStr"/>
      <c r="J29" s="4" t="inlineStr">
        <is>
          <t>Tür beim Betreten gegen Zufallen sichern (feststellen oder aufkeilen), Raum nicht allein betreten, beim Betreiber an- und abmelden; Betreiber unverzüglich unterrichten</t>
        </is>
      </c>
      <c r="K29" s="4" t="inlineStr">
        <is>
          <t>Tür instand setzen oder ersetzen</t>
        </is>
      </c>
      <c r="L29" s="4" t="inlineStr">
        <is>
          <t>Regelprüfung 20.09.2026: Sofortmaßnahme ersetzt. „Tür gangbar machen" war inhaltsgleich mit der Mittelfristmaßnahme („Tür instand setzen oder ersetzen") und damit keine eigenständige Sofortmaßnahme; je nach Schadensbild (verzogenes Türblatt, defektes Schloss) ist sie im Prüfmoment gar nicht ausführbar. Vor allem schützte sie nicht vor der eigentlichen Gefahr, dem Einschließen im Triebwerksraum. Stufe Mittel und Bedingung bleiben. Freigegeben 2026-09-20.</t>
        </is>
      </c>
      <c r="M29" s="3" t="n"/>
      <c r="N29" s="3" t="n"/>
    </row>
    <row r="30">
      <c r="A30" s="2" t="inlineStr">
        <is>
          <t>MF-Z07</t>
        </is>
      </c>
      <c r="B30" s="2" t="inlineStr">
        <is>
          <t>Fehlende oder unzureichende Zugangstür zum Triebwerks-/Maschinenraum bzw. nicht abschließbarer Steuerschrank</t>
        </is>
      </c>
      <c r="C30" s="2" t="inlineStr">
        <is>
          <t>Zugang und Verkehrswege</t>
        </is>
      </c>
      <c r="D30" s="2" t="inlineStr">
        <is>
          <t>MF-Z07-R4</t>
        </is>
      </c>
      <c r="E30" s="2" t="n">
        <v>100</v>
      </c>
      <c r="F30" s="2" t="inlineStr">
        <is>
          <t>5.12c Durchgangsmaß der Zugangstür ausreichend (mind. 1,80 m hoch, 0,60 m breit)? = Nein</t>
        </is>
      </c>
      <c r="G30" s="2" t="inlineStr">
        <is>
          <t>Mittel</t>
        </is>
      </c>
      <c r="H30" s="2" t="inlineStr">
        <is>
          <t>HIGH_CONFIDENCE</t>
        </is>
      </c>
      <c r="I30" s="2" t="inlineStr"/>
      <c r="J30" s="2" t="inlineStr">
        <is>
          <t>Anstoßstelle kennzeichnen, Kopfschutz verwenden</t>
        </is>
      </c>
      <c r="K30" s="2" t="inlineStr">
        <is>
          <t>Anstoßschutz (Polsterung) und dauerhafte Kennzeichnung anbringen; Türöffnung nach DIN EN 81-20 5.2.3.3 anpassen, soweit verhältnismäßig</t>
        </is>
      </c>
      <c r="L30" s="2" t="inlineStr">
        <is>
          <t>Regelprüfung 20.09.2026: Das Höhenmaß in 5.12c ist von 2,00 m auf 1,80 m berichtigt – die Regel erzeugte sonst bei normgerechten Türen (1,80 m bis unter 2,00 m) einen Mangel. Die Mittelfristmaßnahme ist um den Anstoßschutz erweitert: „Türöffnung anpassen" als einzige Maßnahme ist für eine geringfügige Maßunterschreitung unverhältnismäßig, obwohl eine mildere technische Lösung zur Verfügung steht. Sofortmaßnahme und Stufe bleiben. Freigegeben 2026-09-20.</t>
        </is>
      </c>
      <c r="M30" s="3" t="n"/>
      <c r="N30" s="3" t="n"/>
    </row>
    <row r="31">
      <c r="A31" s="4" t="inlineStr">
        <is>
          <t>MF-Z07</t>
        </is>
      </c>
      <c r="B31" s="4" t="inlineStr">
        <is>
          <t>Fehlende oder unzureichende Zugangstür zum Triebwerks-/Maschinenraum bzw. nicht abschließbarer Steuerschrank</t>
        </is>
      </c>
      <c r="C31" s="4" t="inlineStr">
        <is>
          <t>Zugang und Verkehrswege</t>
        </is>
      </c>
      <c r="D31" s="4" t="inlineStr">
        <is>
          <t>MF-Z07-R6</t>
        </is>
      </c>
      <c r="E31" s="4" t="n">
        <v>100</v>
      </c>
      <c r="F31" s="4" t="inlineStr">
        <is>
          <t>5.14 Ohne Triebwerksraum: Steuerschrank (an der Haltestelle oder im Schacht) abschließbar, Zutritt nur für befugte Personen? = Nein</t>
        </is>
      </c>
      <c r="G31" s="4" t="inlineStr">
        <is>
          <t>Hoch</t>
        </is>
      </c>
      <c r="H31" s="4" t="inlineStr">
        <is>
          <t>INFERRED</t>
        </is>
      </c>
      <c r="I31" s="4" t="inlineStr"/>
      <c r="J31" s="4" t="inlineStr">
        <is>
          <t>Steuerschrank gegen unbefugten Zugriff sichern (Schloss, Zutritt beschränken); Betreiber informieren</t>
        </is>
      </c>
      <c r="K31" s="4" t="inlineStr">
        <is>
          <t>Abschließbaren Steuerschrank herstellen, Zutritt nur für befugte Personen (DIN EN 81-20 5.2.6, Steuerschränke außerhalb von Triebwerksräumen)</t>
        </is>
      </c>
      <c r="L31" s="4" t="inlineStr">
        <is>
          <t>Prüfbericht 20.09.2026: Gegenstück zu 5.12a für maschinenraumlose Anlagen – bisher entfiel die Gefährdung dort vollständig (nur im Cyber-Teil 2.1 erfasst). Freigegeben 2026-09-20.</t>
        </is>
      </c>
      <c r="M31" s="3" t="n"/>
      <c r="N31" s="3" t="n"/>
    </row>
    <row r="32">
      <c r="A32" s="2" t="inlineStr">
        <is>
          <t>MF-Z07</t>
        </is>
      </c>
      <c r="B32" s="2" t="inlineStr">
        <is>
          <t>Fehlende oder unzureichende Zugangstür zum Triebwerks-/Maschinenraum bzw. nicht abschließbarer Steuerschrank</t>
        </is>
      </c>
      <c r="C32" s="2" t="inlineStr">
        <is>
          <t>Zugang und Verkehrswege</t>
        </is>
      </c>
      <c r="D32" s="2" t="inlineStr">
        <is>
          <t>MF-Z07-R7</t>
        </is>
      </c>
      <c r="E32" s="2" t="n">
        <v>1</v>
      </c>
      <c r="F32" s="2" t="inlineStr">
        <is>
          <t>4.7 Eigener Triebwerks-/Maschinenraum vorhanden? beantwortet</t>
        </is>
      </c>
      <c r="G32" s="2" t="inlineStr">
        <is>
          <t>Kein Risiko</t>
        </is>
      </c>
      <c r="H32" s="2" t="inlineStr">
        <is>
          <t>HIGH_CONFIDENCE</t>
        </is>
      </c>
      <c r="I32" s="2" t="inlineStr"/>
      <c r="J32" s="2" t="inlineStr">
        <is>
          <t>Zustand erhalten; bei der wiederkehrenden Prüfung und der Betreiberkontrolle erneut prüfen</t>
        </is>
      </c>
      <c r="K32" s="2" t="inlineStr"/>
      <c r="L32" s="2" t="inlineStr">
        <is>
          <t>Kein Risiko: keine Mangelregel trifft zu, alle Pflichtfragen beantwortet. Freigegeben 2026-09-20.</t>
        </is>
      </c>
      <c r="M32" s="3" t="n"/>
      <c r="N32" s="3" t="n"/>
    </row>
    <row r="33">
      <c r="A33" s="4" t="inlineStr">
        <is>
          <t>MF-Z08</t>
        </is>
      </c>
      <c r="B33" s="4" t="inlineStr">
        <is>
          <t>Fehlende oder versperrte Flucht- und Rettungswege im Bereich des Triebwerks-/Steuerungsraums</t>
        </is>
      </c>
      <c r="C33" s="4" t="inlineStr">
        <is>
          <t>Zugang und Verkehrswege</t>
        </is>
      </c>
      <c r="D33" s="4" t="inlineStr">
        <is>
          <t>MF-Z08-R1</t>
        </is>
      </c>
      <c r="E33" s="4" t="n">
        <v>100</v>
      </c>
      <c r="F33" s="4" t="inlineStr">
        <is>
          <t>5.13 Flucht- und Rettungsweg vom Triebwerks-/Steuerungsraum frei und benutzbar? = Nein</t>
        </is>
      </c>
      <c r="G33" s="4" t="inlineStr">
        <is>
          <t>Niedrig</t>
        </is>
      </c>
      <c r="H33" s="4" t="inlineStr">
        <is>
          <t>HIGH_CONFIDENCE</t>
        </is>
      </c>
      <c r="I33" s="4" t="inlineStr"/>
      <c r="J33" s="4" t="inlineStr">
        <is>
          <t>Weg sofort freimachen, bis dahin Bereich nicht allein betreten</t>
        </is>
      </c>
      <c r="K33" s="4" t="inlineStr">
        <is>
          <t>Flucht- und Rettungswege nach ASR A2.3 herstellen und dauerhaft freihalten</t>
        </is>
      </c>
      <c r="L33" s="4" t="inlineStr">
        <is>
          <t>Entscheidung 02.09.2026: Niedrig (nur Instandhaltungspersonal betroffen, wie Schindler M120). Entschieden 2026-09-02: K-Z02.</t>
        </is>
      </c>
      <c r="M33" s="3" t="n"/>
      <c r="N33" s="3" t="n"/>
    </row>
    <row r="34">
      <c r="A34" s="2" t="inlineStr">
        <is>
          <t>MF-Z08</t>
        </is>
      </c>
      <c r="B34" s="2" t="inlineStr">
        <is>
          <t>Fehlende oder versperrte Flucht- und Rettungswege im Bereich des Triebwerks-/Steuerungsraums</t>
        </is>
      </c>
      <c r="C34" s="2" t="inlineStr">
        <is>
          <t>Zugang und Verkehrswege</t>
        </is>
      </c>
      <c r="D34" s="2" t="inlineStr">
        <is>
          <t>MF-Z08-R2</t>
        </is>
      </c>
      <c r="E34" s="2" t="n">
        <v>100</v>
      </c>
      <c r="F34" s="2" t="inlineStr">
        <is>
          <t>5.13a Flucht- und Rettungsweg gekennzeichnet und beleuchtet? = Nein</t>
        </is>
      </c>
      <c r="G34" s="2" t="inlineStr">
        <is>
          <t>Niedrig</t>
        </is>
      </c>
      <c r="H34" s="2" t="inlineStr">
        <is>
          <t>HIGH_CONFIDENCE</t>
        </is>
      </c>
      <c r="I34" s="2" t="inlineStr"/>
      <c r="J34" s="2" t="inlineStr">
        <is>
          <t>Provisorisch kennzeichnen</t>
        </is>
      </c>
      <c r="K34" s="2" t="inlineStr">
        <is>
          <t>Kennzeichnung nach ASR A1.3 und ASR A2.3 herstellen</t>
        </is>
      </c>
      <c r="L34" s="2" t="inlineStr">
        <is>
          <t>Entschieden 2026-09-02: K-Z02.</t>
        </is>
      </c>
      <c r="M34" s="3" t="n"/>
      <c r="N34" s="3" t="n"/>
    </row>
    <row r="35">
      <c r="A35" s="4" t="inlineStr">
        <is>
          <t>MF-Z08</t>
        </is>
      </c>
      <c r="B35" s="4" t="inlineStr">
        <is>
          <t>Fehlende oder versperrte Flucht- und Rettungswege im Bereich des Triebwerks-/Steuerungsraums</t>
        </is>
      </c>
      <c r="C35" s="4" t="inlineStr">
        <is>
          <t>Zugang und Verkehrswege</t>
        </is>
      </c>
      <c r="D35" s="4" t="inlineStr">
        <is>
          <t>MF-Z08-R3</t>
        </is>
      </c>
      <c r="E35" s="4" t="n">
        <v>100</v>
      </c>
      <c r="F35" s="4" t="inlineStr">
        <is>
          <t>5.13b Fluchtweg durch Lagerung eingeengt? = Ja</t>
        </is>
      </c>
      <c r="G35" s="4" t="inlineStr">
        <is>
          <t>Niedrig</t>
        </is>
      </c>
      <c r="H35" s="4" t="inlineStr">
        <is>
          <t>HIGH_CONFIDENCE</t>
        </is>
      </c>
      <c r="I35" s="4" t="inlineStr"/>
      <c r="J35" s="4" t="inlineStr">
        <is>
          <t>Fluchtweg sofort freiräumen</t>
        </is>
      </c>
      <c r="K35" s="4" t="inlineStr">
        <is>
          <t>Lagerflächen festlegen und Freihaltung regelmäßig kontrollieren</t>
        </is>
      </c>
      <c r="L35" s="4" t="inlineStr">
        <is>
          <t>Entschieden 2026-09-02: K-Z02.</t>
        </is>
      </c>
      <c r="M35" s="3" t="n"/>
      <c r="N35" s="3" t="n"/>
    </row>
    <row r="36">
      <c r="A36" s="2" t="inlineStr">
        <is>
          <t>MF-Z08</t>
        </is>
      </c>
      <c r="B36" s="2" t="inlineStr">
        <is>
          <t>Fehlende oder versperrte Flucht- und Rettungswege im Bereich des Triebwerks-/Steuerungsraums</t>
        </is>
      </c>
      <c r="C36" s="2" t="inlineStr">
        <is>
          <t>Zugang und Verkehrswege</t>
        </is>
      </c>
      <c r="D36" s="2" t="inlineStr">
        <is>
          <t>MF-Z08-R4</t>
        </is>
      </c>
      <c r="E36" s="2" t="n">
        <v>1</v>
      </c>
      <c r="F36" s="2" t="inlineStr">
        <is>
          <t>5.13 Flucht- und Rettungsweg vom Triebwerks-/Steuerungsraum frei und benutzbar? beantwortet</t>
        </is>
      </c>
      <c r="G36" s="2" t="inlineStr">
        <is>
          <t>Kein Risiko</t>
        </is>
      </c>
      <c r="H36" s="2" t="inlineStr">
        <is>
          <t>HIGH_CONFIDENCE</t>
        </is>
      </c>
      <c r="I36" s="2" t="inlineStr"/>
      <c r="J36" s="2" t="inlineStr">
        <is>
          <t>Zustand erhalten; bei der wiederkehrenden Prüfung und der Betreiberkontrolle erneut prüfen</t>
        </is>
      </c>
      <c r="K36" s="2" t="inlineStr"/>
      <c r="L36" s="2" t="inlineStr">
        <is>
          <t>Kein Risiko: keine Mangelregel trifft zu, alle Pflichtfragen beantwortet. Freigegeben 2026-09-20.</t>
        </is>
      </c>
      <c r="M36" s="3" t="n"/>
      <c r="N36" s="3" t="n"/>
    </row>
    <row r="37">
      <c r="A37" s="4" t="inlineStr">
        <is>
          <t>MF-Z09</t>
        </is>
      </c>
      <c r="B37" s="4" t="inlineStr">
        <is>
          <t>Zugang zur Anlage für die Personenbefreiung nicht jederzeit gewährleistet</t>
        </is>
      </c>
      <c r="C37" s="4" t="inlineStr">
        <is>
          <t>Notruf und Personenbefreiung</t>
        </is>
      </c>
      <c r="D37" s="4" t="inlineStr">
        <is>
          <t>MF-Z09-R1</t>
        </is>
      </c>
      <c r="E37" s="4" t="n">
        <v>100</v>
      </c>
      <c r="F37" s="4" t="inlineStr">
        <is>
          <t>3.4 Zugang zur Anlage für die Personenbefreiung jederzeit gewährleistet? = „Nein, nicht jederzeit möglich"</t>
        </is>
      </c>
      <c r="G37" s="4" t="inlineStr">
        <is>
          <t>Hoch</t>
        </is>
      </c>
      <c r="H37" s="4" t="inlineStr">
        <is>
          <t>HIGH_CONFIDENCE</t>
        </is>
      </c>
      <c r="I37" s="4" t="inlineStr"/>
      <c r="J37" s="4" t="inlineStr">
        <is>
          <t>Ständige Zugangsmöglichkeit schaffen, ansonsten Aufzug abschalten</t>
        </is>
      </c>
      <c r="K37" s="4" t="inlineStr">
        <is>
          <t>Schlüsseltresor nachrüsten</t>
        </is>
      </c>
      <c r="L37" s="4" t="inlineStr">
        <is>
          <t>Freigegeben 2026-09-20.</t>
        </is>
      </c>
      <c r="M37" s="3" t="n"/>
      <c r="N37" s="3" t="n"/>
    </row>
    <row r="38">
      <c r="A38" s="2" t="inlineStr">
        <is>
          <t>MF-Z09</t>
        </is>
      </c>
      <c r="B38" s="2" t="inlineStr">
        <is>
          <t>Zugang zur Anlage für die Personenbefreiung nicht jederzeit gewährleistet</t>
        </is>
      </c>
      <c r="C38" s="2" t="inlineStr">
        <is>
          <t>Notruf und Personenbefreiung</t>
        </is>
      </c>
      <c r="D38" s="2" t="inlineStr">
        <is>
          <t>MF-Z09-R2</t>
        </is>
      </c>
      <c r="E38" s="2" t="n">
        <v>100</v>
      </c>
      <c r="F38" s="2" t="inlineStr">
        <is>
          <t>3.4 Zugang zur Anlage für die Personenbefreiung jederzeit gewährleistet? = „Nur über Schlüssel bei Leitwarte, Pforte oder Hausmeister"</t>
        </is>
      </c>
      <c r="G38" s="2" t="inlineStr">
        <is>
          <t>Mittel</t>
        </is>
      </c>
      <c r="H38" s="2" t="inlineStr">
        <is>
          <t>HIGH_CONFIDENCE</t>
        </is>
      </c>
      <c r="I38" s="2" t="inlineStr"/>
      <c r="J38" s="2" t="inlineStr">
        <is>
          <t>Erreichbarkeit der Leitwarte und Schlüsselübergabe mit dem Notdienst abstimmen und im Notfallplan festhalten</t>
        </is>
      </c>
      <c r="K38" s="2" t="inlineStr">
        <is>
          <t>Schlüsseldepot bzw. Schlüsseltresor mit Zugriff für den Befreiungsdienst einrichten; ersatzweise, wo technisch nicht möglich, ständige Besetzung von Leitwarte oder Pforte vertraglich sicherstellen</t>
        </is>
      </c>
      <c r="L38" s="2" t="inlineStr">
        <is>
          <t>Regelprüfung 20.09.2026: Mittelfristmaßnahme war rein organisatorisch („ständige Besetzung der Leitwarte/Pforte gewährleisten"), obwohl mit dem Schlüsseldepot eine technische Lösung zur Verfügung steht, die dieselbe Ursache dauerhaft und personenunabhängig beseitigt – genau diese Lösung nennt die Parallelregel R1 bereits. TOP-Verstoß behoben. Stufe, Bedingung und Sofortmaßnahme bleiben. [Prüfbericht: H11 – Sofortmaßnahme ergänzt] Freigegeben 2026-09-20.</t>
        </is>
      </c>
      <c r="M38" s="3" t="n"/>
      <c r="N38" s="3" t="n"/>
    </row>
    <row r="39">
      <c r="A39" s="4" t="inlineStr">
        <is>
          <t>MF-Z09</t>
        </is>
      </c>
      <c r="B39" s="4" t="inlineStr">
        <is>
          <t>Zugang zur Anlage für die Personenbefreiung nicht jederzeit gewährleistet</t>
        </is>
      </c>
      <c r="C39" s="4" t="inlineStr">
        <is>
          <t>Notruf und Personenbefreiung</t>
        </is>
      </c>
      <c r="D39" s="4" t="inlineStr">
        <is>
          <t>MF-Z09-R3</t>
        </is>
      </c>
      <c r="E39" s="4" t="n">
        <v>100</v>
      </c>
      <c r="F39" s="4" t="inlineStr">
        <is>
          <t>3.4 Zugang zur Anlage für die Personenbefreiung jederzeit gewährleistet? = „Ja, jederzeit (Schlüsseltresor / ständig besetzte Stelle vor Ort)"</t>
        </is>
      </c>
      <c r="G39" s="4" t="inlineStr">
        <is>
          <t>Kein Risiko</t>
        </is>
      </c>
      <c r="H39" s="4" t="inlineStr">
        <is>
          <t>HIGH_CONFIDENCE</t>
        </is>
      </c>
      <c r="I39" s="4" t="inlineStr"/>
      <c r="J39" s="4" t="inlineStr"/>
      <c r="K39" s="4" t="inlineStr"/>
      <c r="L39" s="4" t="inlineStr">
        <is>
          <t>Entschieden 2026-09-02: K-Z01.</t>
        </is>
      </c>
      <c r="M39" s="3" t="n"/>
      <c r="N39" s="3" t="n"/>
    </row>
    <row r="40">
      <c r="A40" s="2" t="inlineStr">
        <is>
          <t>MF-Z09</t>
        </is>
      </c>
      <c r="B40" s="2" t="inlineStr">
        <is>
          <t>Zugang zur Anlage für die Personenbefreiung nicht jederzeit gewährleistet</t>
        </is>
      </c>
      <c r="C40" s="2" t="inlineStr">
        <is>
          <t>Notruf und Personenbefreiung</t>
        </is>
      </c>
      <c r="D40" s="2" t="inlineStr">
        <is>
          <t>MF-Z09-R4</t>
        </is>
      </c>
      <c r="E40" s="2" t="n">
        <v>1</v>
      </c>
      <c r="F40" s="2" t="inlineStr">
        <is>
          <t>3.4 Zugang zur Anlage für die Personenbefreiung jederzeit gewährleistet? beantwortet</t>
        </is>
      </c>
      <c r="G40" s="2" t="inlineStr">
        <is>
          <t>Kein Risiko</t>
        </is>
      </c>
      <c r="H40" s="2" t="inlineStr">
        <is>
          <t>HIGH_CONFIDENCE</t>
        </is>
      </c>
      <c r="I40" s="2" t="inlineStr"/>
      <c r="J40" s="2" t="inlineStr">
        <is>
          <t>Zustand erhalten; bei der wiederkehrenden Prüfung und der Betreiberkontrolle erneut prüfen</t>
        </is>
      </c>
      <c r="K40" s="2" t="inlineStr"/>
      <c r="L40" s="2" t="inlineStr">
        <is>
          <t>Kein Risiko: keine Mangelregel trifft zu, alle Pflichtfragen beantwortet. Freigegeben 2026-09-20.</t>
        </is>
      </c>
      <c r="M40" s="3" t="n"/>
      <c r="N40" s="3" t="n"/>
    </row>
    <row r="41">
      <c r="A41" s="4" t="inlineStr">
        <is>
          <t>MF-M01</t>
        </is>
      </c>
      <c r="B41" s="4" t="inlineStr">
        <is>
          <t>Unzureichende Beleuchtung im Triebwerks-/Maschinenraum</t>
        </is>
      </c>
      <c r="C41" s="4" t="inlineStr">
        <is>
          <t>Beleuchtung</t>
        </is>
      </c>
      <c r="D41" s="4" t="inlineStr">
        <is>
          <t>MF-M01-R1</t>
        </is>
      </c>
      <c r="E41" s="4" t="n">
        <v>100</v>
      </c>
      <c r="F41" s="4" t="inlineStr">
        <is>
          <t>5.20 Beleuchtung im Triebwerks-/Maschinenraum vorhanden? = Nein</t>
        </is>
      </c>
      <c r="G41" s="4" t="inlineStr">
        <is>
          <t>Mittel</t>
        </is>
      </c>
      <c r="H41" s="4" t="inlineStr">
        <is>
          <t>HIGH_CONFIDENCE</t>
        </is>
      </c>
      <c r="I41" s="4" t="inlineStr"/>
      <c r="J41" s="4" t="inlineStr">
        <is>
          <t>Betreten des Raumes ohne ausreichende Beleuchtung untersagen; ortsveränderliche Leuchte (Handlampe/Akkustrahler) dauerhaft im Zugangsbereich bereitstellen, Betreiber unterrichten</t>
        </is>
      </c>
      <c r="K41" s="4" t="inlineStr">
        <is>
          <t>Geeignete Leuchten nachrüsten (mind. 200 lx an den Arbeitsflächen nach DIN EN 81-20 5.2.1.4.2 / ASR A3.4)</t>
        </is>
      </c>
      <c r="L41" s="4" t="inlineStr">
        <is>
          <t>Regelprüfung 20.09.2026: Hoch auf Mittel. Die Gefahr entsteht erst beim Betreten und wird von einer mitgeführten Leuchte vollständig beherrscht; eine Hoch-Regel, deren eigene Sofortmaßnahme „Handlampe benutzen" lautet, widerspricht dem Stufenmaßstab (Hoch verlangt Absperren/Stilllegen). Sofortmaßnahme auf ein Betretungsverbot mit bereitgestellter Leuchte umgestellt [ORGA], Zielwert 200 lx ergänzt. Freigegeben 2026-09-20.</t>
        </is>
      </c>
      <c r="M41" s="3" t="n"/>
      <c r="N41" s="3" t="n"/>
    </row>
    <row r="42">
      <c r="A42" s="2" t="inlineStr">
        <is>
          <t>MF-M01</t>
        </is>
      </c>
      <c r="B42" s="2" t="inlineStr">
        <is>
          <t>Unzureichende Beleuchtung im Triebwerks-/Maschinenraum</t>
        </is>
      </c>
      <c r="C42" s="2" t="inlineStr">
        <is>
          <t>Beleuchtung</t>
        </is>
      </c>
      <c r="D42" s="2" t="inlineStr">
        <is>
          <t>MF-M01-R2</t>
        </is>
      </c>
      <c r="E42" s="2" t="n">
        <v>100</v>
      </c>
      <c r="F42" s="2" t="inlineStr">
        <is>
          <t>5.21 Beleuchtungsstärke an den Arbeitsflächen (Antrieb, Steuerschrank) mind. 200 Lux, Leuchten funktionsfähig? = Nein</t>
        </is>
      </c>
      <c r="G42" s="2" t="inlineStr">
        <is>
          <t>Mittel</t>
        </is>
      </c>
      <c r="H42" s="2" t="inlineStr">
        <is>
          <t>HIGH_CONFIDENCE</t>
        </is>
      </c>
      <c r="I42" s="2" t="inlineStr"/>
      <c r="J42" s="2" t="inlineStr">
        <is>
          <t>Handlampe benutzen</t>
        </is>
      </c>
      <c r="K42" s="2" t="inlineStr">
        <is>
          <t>Geeignete Leuchten nachrüsten</t>
        </is>
      </c>
      <c r="L42" s="2" t="inlineStr">
        <is>
          <t>Freigegeben 2026-09-20.</t>
        </is>
      </c>
      <c r="M42" s="3" t="n"/>
      <c r="N42" s="3" t="n"/>
    </row>
    <row r="43">
      <c r="A43" s="4" t="inlineStr">
        <is>
          <t>MF-M01</t>
        </is>
      </c>
      <c r="B43" s="4" t="inlineStr">
        <is>
          <t>Unzureichende Beleuchtung im Triebwerks-/Maschinenraum</t>
        </is>
      </c>
      <c r="C43" s="4" t="inlineStr">
        <is>
          <t>Beleuchtung</t>
        </is>
      </c>
      <c r="D43" s="4" t="inlineStr">
        <is>
          <t>MF-M01-R3</t>
        </is>
      </c>
      <c r="E43" s="4" t="n">
        <v>100</v>
      </c>
      <c r="F43" s="4" t="inlineStr">
        <is>
          <t>5.22 Leuchten an geeigneter Stelle (Arbeitsflächen nicht abgeschattet)? = Nein</t>
        </is>
      </c>
      <c r="G43" s="4" t="inlineStr">
        <is>
          <t>Mittel</t>
        </is>
      </c>
      <c r="H43" s="4" t="inlineStr">
        <is>
          <t>HIGH_CONFIDENCE</t>
        </is>
      </c>
      <c r="I43" s="4" t="inlineStr"/>
      <c r="J43" s="4" t="inlineStr">
        <is>
          <t>Handlampe benutzen</t>
        </is>
      </c>
      <c r="K43" s="4" t="inlineStr">
        <is>
          <t>Leuchten versetzen</t>
        </is>
      </c>
      <c r="L43" s="4" t="inlineStr">
        <is>
          <t>Freigegeben 2026-09-20.</t>
        </is>
      </c>
      <c r="M43" s="3" t="n"/>
      <c r="N43" s="3" t="n"/>
    </row>
    <row r="44">
      <c r="A44" s="2" t="inlineStr">
        <is>
          <t>MF-M01</t>
        </is>
      </c>
      <c r="B44" s="2" t="inlineStr">
        <is>
          <t>Unzureichende Beleuchtung im Triebwerks-/Maschinenraum</t>
        </is>
      </c>
      <c r="C44" s="2" t="inlineStr">
        <is>
          <t>Beleuchtung</t>
        </is>
      </c>
      <c r="D44" s="2" t="inlineStr">
        <is>
          <t>MF-M01-R4</t>
        </is>
      </c>
      <c r="E44" s="2" t="n">
        <v>100</v>
      </c>
      <c r="F44" s="2" t="inlineStr">
        <is>
          <t>5.23 Leuchten im Kopfbereich mit Splitterschutz / bruchsicher? = Nein</t>
        </is>
      </c>
      <c r="G44" s="2" t="inlineStr">
        <is>
          <t>Mittel</t>
        </is>
      </c>
      <c r="H44" s="2" t="inlineStr">
        <is>
          <t>HIGH_CONFIDENCE</t>
        </is>
      </c>
      <c r="I44" s="2" t="inlineStr"/>
      <c r="J44" s="2" t="inlineStr">
        <is>
          <t>Ungeschützte Leuchtmittel im Kopfbereich provisorisch sichern (Splitterschutzschlauch/-folie) oder betroffene Leuchte außer Betrieb nehmen und Handlampe verwenden; Betreiber unterrichten</t>
        </is>
      </c>
      <c r="K44" s="2" t="inlineStr">
        <is>
          <t>Splitterschutz nachrüsten</t>
        </is>
      </c>
      <c r="L44" s="2" t="inlineStr">
        <is>
          <t>Regelprüfung 20.09.2026: Stufe Mittel bleibt. Die bisherige Sofortmaßnahme „Beschädigte Leuchten sofort ersetzen" passte nicht zur Bedingung – die Regel feuert bei FEHLENDEM Splitterschutz, nicht bei beschädigten Leuchten – und war technisch statt organisatorisch. [Prüfbericht: H11 – Sofortmaßnahme ergänzt] Freigegeben 2026-09-20.</t>
        </is>
      </c>
      <c r="M44" s="3" t="n"/>
      <c r="N44" s="3" t="n"/>
    </row>
    <row r="45">
      <c r="A45" s="4" t="inlineStr">
        <is>
          <t>MF-M01</t>
        </is>
      </c>
      <c r="B45" s="4" t="inlineStr">
        <is>
          <t>Unzureichende Beleuchtung im Triebwerks-/Maschinenraum</t>
        </is>
      </c>
      <c r="C45" s="4" t="inlineStr">
        <is>
          <t>Beleuchtung</t>
        </is>
      </c>
      <c r="D45" s="4" t="inlineStr">
        <is>
          <t>MF-M01-R5</t>
        </is>
      </c>
      <c r="E45" s="4" t="n">
        <v>1</v>
      </c>
      <c r="F45" s="4" t="inlineStr">
        <is>
          <t>5.20 Beleuchtung im Triebwerks-/Maschinenraum vorhanden? beantwortet</t>
        </is>
      </c>
      <c r="G45" s="4" t="inlineStr">
        <is>
          <t>Kein Risiko</t>
        </is>
      </c>
      <c r="H45" s="4" t="inlineStr">
        <is>
          <t>HIGH_CONFIDENCE</t>
        </is>
      </c>
      <c r="I45" s="4" t="inlineStr"/>
      <c r="J45" s="4" t="inlineStr">
        <is>
          <t>Zustand erhalten; bei der wiederkehrenden Prüfung und der Betreiberkontrolle erneut prüfen</t>
        </is>
      </c>
      <c r="K45" s="4" t="inlineStr"/>
      <c r="L45" s="4" t="inlineStr">
        <is>
          <t>Kein Risiko: keine Mangelregel trifft zu, alle Pflichtfragen beantwortet. Freigegeben 2026-09-20.</t>
        </is>
      </c>
      <c r="M45" s="3" t="n"/>
      <c r="N45" s="3" t="n"/>
    </row>
    <row r="46">
      <c r="A46" s="2" t="inlineStr">
        <is>
          <t>MF-M02</t>
        </is>
      </c>
      <c r="B46" s="2" t="inlineStr">
        <is>
          <t>Unzureichender Schutz gegen elektrischen Schlag (offene Schalttafel, offene Kontakte, fehlende Berührungssicherheit)</t>
        </is>
      </c>
      <c r="C46" s="2" t="inlineStr">
        <is>
          <t>Steuerung und Elektrik</t>
        </is>
      </c>
      <c r="D46" s="2" t="inlineStr">
        <is>
          <t>MF-M02-R1</t>
        </is>
      </c>
      <c r="E46" s="2" t="n">
        <v>100</v>
      </c>
      <c r="F46" s="2" t="inlineStr">
        <is>
          <t>5.31 Offene Schalttafel ohne Schaltschrank vorhanden? = Ja</t>
        </is>
      </c>
      <c r="G46" s="2" t="inlineStr">
        <is>
          <t>Hoch</t>
        </is>
      </c>
      <c r="H46" s="2" t="inlineStr">
        <is>
          <t>HIGH_CONFIDENCE</t>
        </is>
      </c>
      <c r="I46" s="2" t="inlineStr"/>
      <c r="J46" s="2" t="inlineStr">
        <is>
          <t>Triebwerksraum verschlossen halten, Zutritt nur für Elektrofachkräfte bzw. elektrotechnisch unterwiesene Personen; beim Betreten Hauptschalter ausschalten – Achtung: die Einspeisung vor dem Hauptschalter (Zuleitung, Vorsicherung, Beleuchtungs- und Notrufkreis) bleibt unter Spannung</t>
        </is>
      </c>
      <c r="K46" s="2" t="inlineStr">
        <is>
          <t>Berührungsschutz herstellen (Abdeckungen, geschlossener Schaltschrank); sofern nicht möglich, Steuerung erneuern</t>
        </is>
      </c>
      <c r="L46" s="2" t="inlineStr">
        <is>
          <t>Regelprüfung 20.09.2026: Stufe Hoch bleibt. Die bisherige Sofortmaßnahme „Bei Betreten des Maschinenraumes ausschalten" war nur teilwirksam: Der Hauptschalter trennt die Einspeisung vor ihm gerade nicht, an einer offenen Schalttafel bleiben spannungsführende Teile berührbar. Mittelfristmaßnahme vom reinen Steuerungstausch auf den Berührungsschutz aufgeweitet. Freigegeben 2026-09-20.</t>
        </is>
      </c>
      <c r="M46" s="3" t="n"/>
      <c r="N46" s="3" t="n"/>
    </row>
    <row r="47">
      <c r="A47" s="4" t="inlineStr">
        <is>
          <t>MF-M02</t>
        </is>
      </c>
      <c r="B47" s="4" t="inlineStr">
        <is>
          <t>Unzureichender Schutz gegen elektrischen Schlag (offene Schalttafel, offene Kontakte, fehlende Berührungssicherheit)</t>
        </is>
      </c>
      <c r="C47" s="4" t="inlineStr">
        <is>
          <t>Steuerung und Elektrik</t>
        </is>
      </c>
      <c r="D47" s="4" t="inlineStr">
        <is>
          <t>MF-M02-R2</t>
        </is>
      </c>
      <c r="E47" s="4" t="n">
        <v>100</v>
      </c>
      <c r="F47" s="4" t="inlineStr">
        <is>
          <t>5.32 Offene Kontakte oder Schalter an Maschine, Kopierwerk oder Begrenzer? = Ja</t>
        </is>
      </c>
      <c r="G47" s="4" t="inlineStr">
        <is>
          <t>Hoch</t>
        </is>
      </c>
      <c r="H47" s="4" t="inlineStr">
        <is>
          <t>HIGH_CONFIDENCE</t>
        </is>
      </c>
      <c r="I47" s="4" t="inlineStr"/>
      <c r="J47" s="4" t="inlineStr">
        <is>
          <t>Bei Betreten des Maschinenraumes ausschalten</t>
        </is>
      </c>
      <c r="K47" s="4" t="inlineStr">
        <is>
          <t>Maschine erneuern oder Bauteile abdecken oder ersetzen</t>
        </is>
      </c>
      <c r="L47" s="4" t="inlineStr">
        <is>
          <t>Freigegeben 2026-09-20.</t>
        </is>
      </c>
      <c r="M47" s="3" t="n"/>
      <c r="N47" s="3" t="n"/>
    </row>
    <row r="48">
      <c r="A48" s="2" t="inlineStr">
        <is>
          <t>MF-M02</t>
        </is>
      </c>
      <c r="B48" s="2" t="inlineStr">
        <is>
          <t>Unzureichender Schutz gegen elektrischen Schlag (offene Schalttafel, offene Kontakte, fehlende Berührungssicherheit)</t>
        </is>
      </c>
      <c r="C48" s="2" t="inlineStr">
        <is>
          <t>Steuerung und Elektrik</t>
        </is>
      </c>
      <c r="D48" s="2" t="inlineStr">
        <is>
          <t>MF-M02-R3</t>
        </is>
      </c>
      <c r="E48" s="2" t="n">
        <v>100</v>
      </c>
      <c r="F48" s="2" t="inlineStr">
        <is>
          <t>5.33 Nicht berührungssichere Bauteile im Schaltschrank (bei geöffneter Tür erreichbar)? = Ja</t>
        </is>
      </c>
      <c r="G48" s="2" t="inlineStr">
        <is>
          <t>Mittel</t>
        </is>
      </c>
      <c r="H48" s="2" t="inlineStr">
        <is>
          <t>HIGH_CONFIDENCE</t>
        </is>
      </c>
      <c r="I48" s="2" t="inlineStr"/>
      <c r="J48" s="2" t="inlineStr">
        <is>
          <t>Bei Arbeiten am Schaltschrank immer ausschalten</t>
        </is>
      </c>
      <c r="K48" s="2" t="inlineStr">
        <is>
          <t>Berührungssichere Bauteile nachrüsten</t>
        </is>
      </c>
      <c r="L48" s="2" t="inlineStr">
        <is>
          <t>Freigegeben 2026-09-20.</t>
        </is>
      </c>
      <c r="M48" s="3" t="n"/>
      <c r="N48" s="3" t="n"/>
    </row>
    <row r="49">
      <c r="A49" s="4" t="inlineStr">
        <is>
          <t>MF-M02</t>
        </is>
      </c>
      <c r="B49" s="4" t="inlineStr">
        <is>
          <t>Unzureichender Schutz gegen elektrischen Schlag (offene Schalttafel, offene Kontakte, fehlende Berührungssicherheit)</t>
        </is>
      </c>
      <c r="C49" s="4" t="inlineStr">
        <is>
          <t>Steuerung und Elektrik</t>
        </is>
      </c>
      <c r="D49" s="4" t="inlineStr">
        <is>
          <t>MF-M02-R4</t>
        </is>
      </c>
      <c r="E49" s="4" t="n">
        <v>100</v>
      </c>
      <c r="F49" s="4" t="inlineStr">
        <is>
          <t>5.30 Alle spannungsführenden Teile berührungssicher (Abdeckungen vorhanden, Schaltschrank geschlossen)? = Nein</t>
        </is>
      </c>
      <c r="G49" s="4" t="inlineStr">
        <is>
          <t>Mittel</t>
        </is>
      </c>
      <c r="H49" s="4" t="inlineStr">
        <is>
          <t>HIGH_CONFIDENCE</t>
        </is>
      </c>
      <c r="I49" s="4" t="inlineStr"/>
      <c r="J49" s="4" t="inlineStr">
        <is>
          <t>Bei Arbeiten immer ausschalten</t>
        </is>
      </c>
      <c r="K49" s="4" t="inlineStr">
        <is>
          <t>Berührungssichere Bauteile nachrüsten</t>
        </is>
      </c>
      <c r="L49" s="4" t="inlineStr">
        <is>
          <t>Freigegeben 2026-09-20.</t>
        </is>
      </c>
      <c r="M49" s="3" t="n"/>
      <c r="N49" s="3" t="n"/>
    </row>
    <row r="50">
      <c r="A50" s="2" t="inlineStr">
        <is>
          <t>MF-M02</t>
        </is>
      </c>
      <c r="B50" s="2" t="inlineStr">
        <is>
          <t>Unzureichender Schutz gegen elektrischen Schlag (offene Schalttafel, offene Kontakte, fehlende Berührungssicherheit)</t>
        </is>
      </c>
      <c r="C50" s="2" t="inlineStr">
        <is>
          <t>Steuerung und Elektrik</t>
        </is>
      </c>
      <c r="D50" s="2" t="inlineStr">
        <is>
          <t>MF-M02-R5</t>
        </is>
      </c>
      <c r="E50" s="2" t="n">
        <v>100</v>
      </c>
      <c r="F50" s="2" t="inlineStr">
        <is>
          <t>5.35 Nachweis der elektrischen Prüfung der AUFZUGSANLAGE nach DGUV Vorschrift 3 vorhanden (Steuerung, Antrieb, Leitungen der Anlage; Prüfplakette / Protokoll aktuell)? = Nein</t>
        </is>
      </c>
      <c r="G50" s="2" t="inlineStr">
        <is>
          <t>Mittel</t>
        </is>
      </c>
      <c r="H50" s="2" t="inlineStr">
        <is>
          <t>HIGH_CONFIDENCE</t>
        </is>
      </c>
      <c r="I50" s="2" t="inlineStr"/>
      <c r="J50" s="2" t="inlineStr">
        <is>
          <t>Arbeiten an der Elektrik nur durch Fachkundige, ggf. Zusatzschutz (PRCD-S)</t>
        </is>
      </c>
      <c r="K50" s="2" t="inlineStr">
        <is>
          <t>Prüfung der Aufzugsanlage nach DGUV Vorschrift 3 unverzüglich beauftragen, Prüfprotokoll und Plakette dokumentieren, Prüffrist in den Prüfplan nach BetrSichV § 3 aufnehmen</t>
        </is>
      </c>
      <c r="L50" s="2" t="inlineStr">
        <is>
          <t>Regelprüfung 20.09.2026: Mittelfristmaßnahme neu gefasst. „Bei Notwendigkeit DGUV V3 Prüfung beauftragen" stellte die Prüfung ins Ermessen, obwohl der fehlende Nachweis die Notwendigkeit gerade begründet; der Vorbehalt ist gestrichen. Die Beauftragung einer Prüfung ist organisatorisch, nicht technisch [ORGA]. Stufe Mittel bleibt. Entschieden 2026-09-02: K-M01.</t>
        </is>
      </c>
      <c r="M50" s="3" t="n"/>
      <c r="N50" s="3" t="n"/>
    </row>
    <row r="51">
      <c r="A51" s="4" t="inlineStr">
        <is>
          <t>MF-M02</t>
        </is>
      </c>
      <c r="B51" s="4" t="inlineStr">
        <is>
          <t>Unzureichender Schutz gegen elektrischen Schlag (offene Schalttafel, offene Kontakte, fehlende Berührungssicherheit)</t>
        </is>
      </c>
      <c r="C51" s="4" t="inlineStr">
        <is>
          <t>Steuerung und Elektrik</t>
        </is>
      </c>
      <c r="D51" s="4" t="inlineStr">
        <is>
          <t>MF-M02-R7</t>
        </is>
      </c>
      <c r="E51" s="4" t="n">
        <v>100</v>
      </c>
      <c r="F51" s="4" t="inlineStr">
        <is>
          <t>5.34 Warnkennzeichnung für offene elektrische Kontakte vorhanden? = Nein</t>
        </is>
      </c>
      <c r="G51" s="4" t="inlineStr">
        <is>
          <t>Niedrig</t>
        </is>
      </c>
      <c r="H51" s="4" t="inlineStr">
        <is>
          <t>INFERRED</t>
        </is>
      </c>
      <c r="I51" s="4" t="inlineStr"/>
      <c r="J51" s="4" t="inlineStr">
        <is>
          <t>Offene Kontakte provisorisch mit Warnzeichen W012 kennzeichnen</t>
        </is>
      </c>
      <c r="K51" s="4" t="inlineStr">
        <is>
          <t>Dauerhafte Warnkennzeichnung anbringen; sie ersetzt den Berührungsschutz nicht</t>
        </is>
      </c>
      <c r="L51" s="4" t="inlineStr">
        <is>
          <t>Prüfbericht 20.09.2026: bisher optionale Frage ohne Regelwirkung. Eigener geringer Mangel, ausdrücklich KEINE Kompensation (Entscheidung K-K10). Freigegeben 2026-09-20.</t>
        </is>
      </c>
      <c r="M51" s="3" t="n"/>
      <c r="N51" s="3" t="n"/>
    </row>
    <row r="52">
      <c r="A52" s="2" t="inlineStr">
        <is>
          <t>MF-M02</t>
        </is>
      </c>
      <c r="B52" s="2" t="inlineStr">
        <is>
          <t>Unzureichender Schutz gegen elektrischen Schlag (offene Schalttafel, offene Kontakte, fehlende Berührungssicherheit)</t>
        </is>
      </c>
      <c r="C52" s="2" t="inlineStr">
        <is>
          <t>Steuerung und Elektrik</t>
        </is>
      </c>
      <c r="D52" s="2" t="inlineStr">
        <is>
          <t>MF-M02-R6</t>
        </is>
      </c>
      <c r="E52" s="2" t="n">
        <v>1</v>
      </c>
      <c r="F52" s="2" t="inlineStr">
        <is>
          <t>5.30 Alle spannungsführenden Teile berührungssicher (Abdeckungen vorhanden, Schaltschrank geschlossen)? beantwortet</t>
        </is>
      </c>
      <c r="G52" s="2" t="inlineStr">
        <is>
          <t>Kein Risiko</t>
        </is>
      </c>
      <c r="H52" s="2" t="inlineStr">
        <is>
          <t>HIGH_CONFIDENCE</t>
        </is>
      </c>
      <c r="I52" s="2" t="inlineStr"/>
      <c r="J52" s="2" t="inlineStr">
        <is>
          <t>Zustand erhalten; bei der wiederkehrenden Prüfung und der Betreiberkontrolle erneut prüfen</t>
        </is>
      </c>
      <c r="K52" s="2" t="inlineStr"/>
      <c r="L52" s="2" t="inlineStr">
        <is>
          <t>Kein Risiko: keine Mangelregel trifft zu, alle Pflichtfragen beantwortet. Freigegeben 2026-09-20.</t>
        </is>
      </c>
      <c r="M52" s="3" t="n"/>
      <c r="N52" s="3" t="n"/>
    </row>
    <row r="53">
      <c r="A53" s="4" t="inlineStr">
        <is>
          <t>MF-M03</t>
        </is>
      </c>
      <c r="B53" s="4" t="inlineStr">
        <is>
          <t>Fehlender oder unzureichender Schutz an drehenden Teilen (Treibscheibe, Umlenkrollen, Begrenzer)</t>
        </is>
      </c>
      <c r="C53" s="4" t="inlineStr">
        <is>
          <t>Triebwerksraum – Ausstattung</t>
        </is>
      </c>
      <c r="D53" s="4" t="inlineStr">
        <is>
          <t>MF-M03-R1</t>
        </is>
      </c>
      <c r="E53" s="4" t="n">
        <v>100</v>
      </c>
      <c r="F53" s="4" t="inlineStr">
        <is>
          <t>5.42 Abdeckung der Einzugstellen insgesamt = „Einzugstellen offen"</t>
        </is>
      </c>
      <c r="G53" s="4" t="inlineStr">
        <is>
          <t>Hoch</t>
        </is>
      </c>
      <c r="H53" s="4" t="inlineStr">
        <is>
          <t>HIGH_CONFIDENCE</t>
        </is>
      </c>
      <c r="I53" s="4" t="inlineStr"/>
      <c r="J53" s="4" t="inlineStr">
        <is>
          <t>Bei Betreten des Maschinenraumes ausschalten</t>
        </is>
      </c>
      <c r="K53" s="4" t="inlineStr">
        <is>
          <t>Komplettabdeckungen nachrüsten</t>
        </is>
      </c>
      <c r="L53" s="4" t="inlineStr">
        <is>
          <t>Freigegeben 2026-09-20.</t>
        </is>
      </c>
      <c r="M53" s="3" t="n"/>
      <c r="N53" s="3" t="n"/>
    </row>
    <row r="54">
      <c r="A54" s="2" t="inlineStr">
        <is>
          <t>MF-M03</t>
        </is>
      </c>
      <c r="B54" s="2" t="inlineStr">
        <is>
          <t>Fehlender oder unzureichender Schutz an drehenden Teilen (Treibscheibe, Umlenkrollen, Begrenzer)</t>
        </is>
      </c>
      <c r="C54" s="2" t="inlineStr">
        <is>
          <t>Triebwerksraum – Ausstattung</t>
        </is>
      </c>
      <c r="D54" s="2" t="inlineStr">
        <is>
          <t>MF-M03-R2</t>
        </is>
      </c>
      <c r="E54" s="2" t="n">
        <v>100</v>
      </c>
      <c r="F54" s="2" t="inlineStr">
        <is>
          <t>5.40 Einzugsschutz an Treibscheibe, Umlenkrollen und Kopierwerk vorhanden? = Nein</t>
        </is>
      </c>
      <c r="G54" s="2" t="inlineStr">
        <is>
          <t>Hoch</t>
        </is>
      </c>
      <c r="H54" s="2" t="inlineStr">
        <is>
          <t>HIGH_CONFIDENCE</t>
        </is>
      </c>
      <c r="I54" s="2" t="inlineStr"/>
      <c r="J54" s="2" t="inlineStr">
        <is>
          <t>Bei Betreten des Maschinenraumes ausschalten</t>
        </is>
      </c>
      <c r="K54" s="2" t="inlineStr">
        <is>
          <t>Komplettabdeckungen nachrüsten</t>
        </is>
      </c>
      <c r="L54" s="2" t="inlineStr">
        <is>
          <t>Freigegeben 2026-09-20.</t>
        </is>
      </c>
      <c r="M54" s="3" t="n"/>
      <c r="N54" s="3" t="n"/>
    </row>
    <row r="55">
      <c r="A55" s="4" t="inlineStr">
        <is>
          <t>MF-M03</t>
        </is>
      </c>
      <c r="B55" s="4" t="inlineStr">
        <is>
          <t>Fehlender oder unzureichender Schutz an drehenden Teilen (Treibscheibe, Umlenkrollen, Begrenzer)</t>
        </is>
      </c>
      <c r="C55" s="4" t="inlineStr">
        <is>
          <t>Triebwerksraum – Ausstattung</t>
        </is>
      </c>
      <c r="D55" s="4" t="inlineStr">
        <is>
          <t>MF-M03-R3</t>
        </is>
      </c>
      <c r="E55" s="4" t="n">
        <v>100</v>
      </c>
      <c r="F55" s="4" t="inlineStr">
        <is>
          <t>5.42 Abdeckung der Einzugstellen insgesamt = „Teilweise abgedeckt"</t>
        </is>
      </c>
      <c r="G55" s="4" t="inlineStr">
        <is>
          <t>Mittel</t>
        </is>
      </c>
      <c r="H55" s="4" t="inlineStr">
        <is>
          <t>HIGH_CONFIDENCE</t>
        </is>
      </c>
      <c r="I55" s="4" t="inlineStr"/>
      <c r="J55" s="4" t="inlineStr">
        <is>
          <t>Bei Betreten des Maschinenraumes ausschalten</t>
        </is>
      </c>
      <c r="K55" s="4" t="inlineStr">
        <is>
          <t>Komplettabdeckungen nachrüsten</t>
        </is>
      </c>
      <c r="L55" s="4" t="inlineStr">
        <is>
          <t>Freigegeben 2026-09-20.</t>
        </is>
      </c>
      <c r="M55" s="3" t="n"/>
      <c r="N55" s="3" t="n"/>
    </row>
    <row r="56">
      <c r="A56" s="2" t="inlineStr">
        <is>
          <t>MF-M03</t>
        </is>
      </c>
      <c r="B56" s="2" t="inlineStr">
        <is>
          <t>Fehlender oder unzureichender Schutz an drehenden Teilen (Treibscheibe, Umlenkrollen, Begrenzer)</t>
        </is>
      </c>
      <c r="C56" s="2" t="inlineStr">
        <is>
          <t>Triebwerksraum – Ausstattung</t>
        </is>
      </c>
      <c r="D56" s="2" t="inlineStr">
        <is>
          <t>MF-M03-R4</t>
        </is>
      </c>
      <c r="E56" s="2" t="n">
        <v>100</v>
      </c>
      <c r="F56" s="2" t="inlineStr">
        <is>
          <t>(5.40 Einzugsschutz an Treibscheibe, Umlenkrollen und Kopierwerk vorhanden? = Ja UND 5.41 Einzugsschutz am Geschwindigkeitsbegrenzer vorhanden? = Nein)</t>
        </is>
      </c>
      <c r="G56" s="2" t="inlineStr">
        <is>
          <t>Mittel</t>
        </is>
      </c>
      <c r="H56" s="2" t="inlineStr">
        <is>
          <t>HIGH_CONFIDENCE</t>
        </is>
      </c>
      <c r="I56" s="2" t="inlineStr"/>
      <c r="J56" s="2" t="inlineStr">
        <is>
          <t>Bei Arbeiten am Geschwindigkeitsbegrenzer ausschalten</t>
        </is>
      </c>
      <c r="K56" s="2" t="inlineStr">
        <is>
          <t>Abdeckungen nachrüsten</t>
        </is>
      </c>
      <c r="L56" s="2" t="inlineStr">
        <is>
          <t>Freigegeben 2026-09-20.</t>
        </is>
      </c>
      <c r="M56" s="3" t="n"/>
      <c r="N56" s="3" t="n"/>
    </row>
    <row r="57">
      <c r="A57" s="4" t="inlineStr">
        <is>
          <t>MF-M03</t>
        </is>
      </c>
      <c r="B57" s="4" t="inlineStr">
        <is>
          <t>Fehlender oder unzureichender Schutz an drehenden Teilen (Treibscheibe, Umlenkrollen, Begrenzer)</t>
        </is>
      </c>
      <c r="C57" s="4" t="inlineStr">
        <is>
          <t>Triebwerksraum – Ausstattung</t>
        </is>
      </c>
      <c r="D57" s="4" t="inlineStr">
        <is>
          <t>MF-M03-R5</t>
        </is>
      </c>
      <c r="E57" s="4" t="n">
        <v>1</v>
      </c>
      <c r="F57" s="4" t="inlineStr">
        <is>
          <t>5.40 Einzugsschutz an Treibscheibe, Umlenkrollen und Kopierwerk vorhanden? beantwortet</t>
        </is>
      </c>
      <c r="G57" s="4" t="inlineStr">
        <is>
          <t>Kein Risiko</t>
        </is>
      </c>
      <c r="H57" s="4" t="inlineStr">
        <is>
          <t>HIGH_CONFIDENCE</t>
        </is>
      </c>
      <c r="I57" s="4" t="inlineStr"/>
      <c r="J57" s="4" t="inlineStr">
        <is>
          <t>Zustand erhalten; bei der wiederkehrenden Prüfung und der Betreiberkontrolle erneut prüfen</t>
        </is>
      </c>
      <c r="K57" s="4" t="inlineStr"/>
      <c r="L57" s="4" t="inlineStr">
        <is>
          <t>Kein Risiko: keine Mangelregel trifft zu, alle Pflichtfragen beantwortet. Freigegeben 2026-09-20.</t>
        </is>
      </c>
      <c r="M57" s="3" t="n"/>
      <c r="N57" s="3" t="n"/>
    </row>
    <row r="58">
      <c r="A58" s="2" t="inlineStr">
        <is>
          <t>MF-M04</t>
        </is>
      </c>
      <c r="B58" s="2" t="inlineStr">
        <is>
          <t>Unzureichende Raumhöhe, Bewegungs- und Freiflächen im Triebwerksraum</t>
        </is>
      </c>
      <c r="C58" s="2" t="inlineStr">
        <is>
          <t>Triebwerksraum – Ausstattung</t>
        </is>
      </c>
      <c r="D58" s="2" t="inlineStr">
        <is>
          <t>MF-M04-R1</t>
        </is>
      </c>
      <c r="E58" s="2" t="n">
        <v>100</v>
      </c>
      <c r="F58" s="2" t="inlineStr">
        <is>
          <t>5.44 Freifläche für Notbetrieb/Handrad mind. 0,50 m × 0,60 m vor dem Antrieb vorhanden? = Nein</t>
        </is>
      </c>
      <c r="G58" s="2" t="inlineStr">
        <is>
          <t>Mittel</t>
        </is>
      </c>
      <c r="H58" s="2" t="inlineStr">
        <is>
          <t>HIGH_CONFIDENCE</t>
        </is>
      </c>
      <c r="I58" s="2" t="inlineStr"/>
      <c r="J58" s="2" t="inlineStr">
        <is>
          <t>Fläche sofort freiräumen</t>
        </is>
      </c>
      <c r="K58" s="2" t="inlineStr">
        <is>
          <t>Einbauten und Lagerflächen verlagern, Freifläche dauerhaft herstellen und am Boden markieren; Freihaltung zusätzlich organisatorisch sicherstellen</t>
        </is>
      </c>
      <c r="L58" s="2" t="inlineStr">
        <is>
          <t>Regelprüfung 20.09.2026: Hoch auf Mittel. Ein Mangel, den die eigene Sofortmaßnahme durch Freiräumen binnen Minuten beseitigt, ist keine unmittelbare Gefahr; die Unterschreitung bedeutet erschwerten, nicht unmöglichen Notbetrieb, und Hoch stand unplausibel neben R3 (Lagerung = Mittel), obwohl die Lagerung regelmäßig die Ursache ist. Der Hoch-Fall (Notbetriebseinrichtung nicht bedienbar) ist über 5.53 / MF-M15-R1 abgebildet – Hilfe zu 5.44 entsprechend ergänzt. Mittelfristmaßnahme technisch gefasst (TOP: T vor O). Freigegeben 2026-09-20.</t>
        </is>
      </c>
      <c r="M58" s="3" t="n"/>
      <c r="N58" s="3" t="n"/>
    </row>
    <row r="59">
      <c r="A59" s="4" t="inlineStr">
        <is>
          <t>MF-M04</t>
        </is>
      </c>
      <c r="B59" s="4" t="inlineStr">
        <is>
          <t>Unzureichende Raumhöhe, Bewegungs- und Freiflächen im Triebwerksraum</t>
        </is>
      </c>
      <c r="C59" s="4" t="inlineStr">
        <is>
          <t>Triebwerksraum – Ausstattung</t>
        </is>
      </c>
      <c r="D59" s="4" t="inlineStr">
        <is>
          <t>MF-M04-R2</t>
        </is>
      </c>
      <c r="E59" s="4" t="n">
        <v>100</v>
      </c>
      <c r="F59" s="4" t="inlineStr">
        <is>
          <t>5.43 Lichte Höhe im Gehbereich mind. 1,80 m? = Nein</t>
        </is>
      </c>
      <c r="G59" s="4" t="inlineStr">
        <is>
          <t>Mittel</t>
        </is>
      </c>
      <c r="H59" s="4" t="inlineStr">
        <is>
          <t>HIGH_CONFIDENCE</t>
        </is>
      </c>
      <c r="I59" s="4" t="inlineStr"/>
      <c r="J59" s="4" t="inlineStr">
        <is>
          <t>Niedrige Stellen kennzeichnen (Warnmarkierung, Polsterung), Beschäftigte unterweisen</t>
        </is>
      </c>
      <c r="K59" s="4" t="inlineStr">
        <is>
          <t>Lichte Höhe von 1,80 m im Gehbereich herstellen (Umbau, Verlegung von Einbauten)</t>
        </is>
      </c>
      <c r="L59" s="4" t="inlineStr">
        <is>
          <t>Freigegeben 2026-09-20.</t>
        </is>
      </c>
      <c r="M59" s="3" t="n"/>
      <c r="N59" s="3" t="n"/>
    </row>
    <row r="60">
      <c r="A60" s="2" t="inlineStr">
        <is>
          <t>MF-M04</t>
        </is>
      </c>
      <c r="B60" s="2" t="inlineStr">
        <is>
          <t>Unzureichende Raumhöhe, Bewegungs- und Freiflächen im Triebwerksraum</t>
        </is>
      </c>
      <c r="C60" s="2" t="inlineStr">
        <is>
          <t>Triebwerksraum – Ausstattung</t>
        </is>
      </c>
      <c r="D60" s="2" t="inlineStr">
        <is>
          <t>MF-M04-R3</t>
        </is>
      </c>
      <c r="E60" s="2" t="n">
        <v>100</v>
      </c>
      <c r="F60" s="2" t="inlineStr">
        <is>
          <t>5.45 Bewegungsflächen durch Lagerung eingeengt? = Ja</t>
        </is>
      </c>
      <c r="G60" s="2" t="inlineStr">
        <is>
          <t>Mittel</t>
        </is>
      </c>
      <c r="H60" s="2" t="inlineStr">
        <is>
          <t>HIGH_CONFIDENCE</t>
        </is>
      </c>
      <c r="I60" s="2" t="inlineStr"/>
      <c r="J60" s="2" t="inlineStr">
        <is>
          <t>Flächen sofort freiräumen</t>
        </is>
      </c>
      <c r="K60" s="2" t="inlineStr">
        <is>
          <t>Lagerung im Triebwerksraum dauerhaft unterbinden</t>
        </is>
      </c>
      <c r="L60" s="2" t="inlineStr">
        <is>
          <t>Freigegeben 2026-09-20.</t>
        </is>
      </c>
      <c r="M60" s="3" t="n"/>
      <c r="N60" s="3" t="n"/>
    </row>
    <row r="61">
      <c r="A61" s="4" t="inlineStr">
        <is>
          <t>MF-M04</t>
        </is>
      </c>
      <c r="B61" s="4" t="inlineStr">
        <is>
          <t>Unzureichende Raumhöhe, Bewegungs- und Freiflächen im Triebwerksraum</t>
        </is>
      </c>
      <c r="C61" s="4" t="inlineStr">
        <is>
          <t>Triebwerksraum – Ausstattung</t>
        </is>
      </c>
      <c r="D61" s="4" t="inlineStr">
        <is>
          <t>MF-M04-R4</t>
        </is>
      </c>
      <c r="E61" s="4" t="n">
        <v>1</v>
      </c>
      <c r="F61" s="4" t="inlineStr">
        <is>
          <t>5.43 Lichte Höhe im Gehbereich mind. 1,80 m? beantwortet</t>
        </is>
      </c>
      <c r="G61" s="4" t="inlineStr">
        <is>
          <t>Kein Risiko</t>
        </is>
      </c>
      <c r="H61" s="4" t="inlineStr">
        <is>
          <t>HIGH_CONFIDENCE</t>
        </is>
      </c>
      <c r="I61" s="4" t="inlineStr"/>
      <c r="J61" s="4" t="inlineStr">
        <is>
          <t>Zustand erhalten; bei der wiederkehrenden Prüfung und der Betreiberkontrolle erneut prüfen</t>
        </is>
      </c>
      <c r="K61" s="4" t="inlineStr"/>
      <c r="L61" s="4" t="inlineStr">
        <is>
          <t>Kein Risiko: keine Mangelregel trifft zu, alle Pflichtfragen beantwortet. Freigegeben 2026-09-20.</t>
        </is>
      </c>
      <c r="M61" s="3" t="n"/>
      <c r="N61" s="3" t="n"/>
    </row>
    <row r="62">
      <c r="A62" s="2" t="inlineStr">
        <is>
          <t>MF-M05</t>
        </is>
      </c>
      <c r="B62" s="2" t="inlineStr">
        <is>
          <t>Unterschiedliche Ebenen, Podeste und Bodenöffnungen im Triebwerksraum ungesichert</t>
        </is>
      </c>
      <c r="C62" s="2" t="inlineStr">
        <is>
          <t>Triebwerksraum – Ausstattung</t>
        </is>
      </c>
      <c r="D62" s="2" t="inlineStr">
        <is>
          <t>MF-M05-R1</t>
        </is>
      </c>
      <c r="E62" s="2" t="n">
        <v>100</v>
      </c>
      <c r="F62" s="2" t="inlineStr">
        <is>
          <t>(5.46 Niveauunterschiede über 0,50 m im Raum vorhanden? = Ja UND 5.46a Niveauunterschied durch Treppe oder Leiter überwindbar? = Nein)</t>
        </is>
      </c>
      <c r="G62" s="2" t="inlineStr">
        <is>
          <t>Mittel</t>
        </is>
      </c>
      <c r="H62" s="2" t="inlineStr">
        <is>
          <t>HIGH_CONFIDENCE</t>
        </is>
      </c>
      <c r="I62" s="2" t="inlineStr"/>
      <c r="J62" s="2" t="inlineStr">
        <is>
          <t>Sichere Aufstiegshilfe verwenden</t>
        </is>
      </c>
      <c r="K62" s="2" t="inlineStr">
        <is>
          <t>Treppe oder Leiter nach DIN EN 81-20, 5.2.6.3.2.4 herstellen</t>
        </is>
      </c>
      <c r="L62" s="2" t="inlineStr">
        <is>
          <t>Freigegeben 2026-09-20.</t>
        </is>
      </c>
      <c r="M62" s="3" t="n"/>
      <c r="N62" s="3" t="n"/>
    </row>
    <row r="63">
      <c r="A63" s="4" t="inlineStr">
        <is>
          <t>MF-M05</t>
        </is>
      </c>
      <c r="B63" s="4" t="inlineStr">
        <is>
          <t>Unterschiedliche Ebenen, Podeste und Bodenöffnungen im Triebwerksraum ungesichert</t>
        </is>
      </c>
      <c r="C63" s="4" t="inlineStr">
        <is>
          <t>Triebwerksraum – Ausstattung</t>
        </is>
      </c>
      <c r="D63" s="4" t="inlineStr">
        <is>
          <t>MF-M05-R2</t>
        </is>
      </c>
      <c r="E63" s="4" t="n">
        <v>100</v>
      </c>
      <c r="F63" s="4" t="inlineStr">
        <is>
          <t>5.46b Podest mit Absturzhöhe über 1,00 m ohne Geländer? = Ja</t>
        </is>
      </c>
      <c r="G63" s="4" t="inlineStr">
        <is>
          <t>Hoch</t>
        </is>
      </c>
      <c r="H63" s="4" t="inlineStr">
        <is>
          <t>HIGH_CONFIDENCE</t>
        </is>
      </c>
      <c r="I63" s="4" t="inlineStr"/>
      <c r="J63" s="4" t="inlineStr">
        <is>
          <t>Bereich absperren, PSA gegen Absturz verwenden</t>
        </is>
      </c>
      <c r="K63" s="4" t="inlineStr">
        <is>
          <t>Geländer nachrüsten</t>
        </is>
      </c>
      <c r="L63" s="4" t="inlineStr">
        <is>
          <t>Freigegeben 2026-09-20.</t>
        </is>
      </c>
      <c r="M63" s="3" t="n"/>
      <c r="N63" s="3" t="n"/>
    </row>
    <row r="64">
      <c r="A64" s="2" t="inlineStr">
        <is>
          <t>MF-M05</t>
        </is>
      </c>
      <c r="B64" s="2" t="inlineStr">
        <is>
          <t>Unterschiedliche Ebenen, Podeste und Bodenöffnungen im Triebwerksraum ungesichert</t>
        </is>
      </c>
      <c r="C64" s="2" t="inlineStr">
        <is>
          <t>Triebwerksraum – Ausstattung</t>
        </is>
      </c>
      <c r="D64" s="2" t="inlineStr">
        <is>
          <t>MF-M05-R3</t>
        </is>
      </c>
      <c r="E64" s="2" t="n">
        <v>100</v>
      </c>
      <c r="F64" s="2" t="inlineStr">
        <is>
          <t>5.47 Ungesicherte Bodenöffnung oder Vertiefung im Raum? = Ja</t>
        </is>
      </c>
      <c r="G64" s="2" t="inlineStr">
        <is>
          <t>Hoch</t>
        </is>
      </c>
      <c r="H64" s="2" t="inlineStr">
        <is>
          <t>HIGH_CONFIDENCE</t>
        </is>
      </c>
      <c r="I64" s="2" t="inlineStr"/>
      <c r="J64" s="2" t="inlineStr">
        <is>
          <t>Öffnung abdecken oder absperren</t>
        </is>
      </c>
      <c r="K64" s="2" t="inlineStr">
        <is>
          <t>Dauerhafte Abdeckung und umlaufendes Geländer anbringen</t>
        </is>
      </c>
      <c r="L64" s="2" t="inlineStr">
        <is>
          <t>Freigegeben 2026-09-20.</t>
        </is>
      </c>
      <c r="M64" s="3" t="n"/>
      <c r="N64" s="3" t="n"/>
    </row>
    <row r="65">
      <c r="A65" s="4" t="inlineStr">
        <is>
          <t>MF-M05</t>
        </is>
      </c>
      <c r="B65" s="4" t="inlineStr">
        <is>
          <t>Unterschiedliche Ebenen, Podeste und Bodenöffnungen im Triebwerksraum ungesichert</t>
        </is>
      </c>
      <c r="C65" s="4" t="inlineStr">
        <is>
          <t>Triebwerksraum – Ausstattung</t>
        </is>
      </c>
      <c r="D65" s="4" t="inlineStr">
        <is>
          <t>MF-M05-R4</t>
        </is>
      </c>
      <c r="E65" s="4" t="n">
        <v>1</v>
      </c>
      <c r="F65" s="4" t="inlineStr">
        <is>
          <t>5.46 Niveauunterschiede über 0,50 m im Raum vorhanden? beantwortet</t>
        </is>
      </c>
      <c r="G65" s="4" t="inlineStr">
        <is>
          <t>Kein Risiko</t>
        </is>
      </c>
      <c r="H65" s="4" t="inlineStr">
        <is>
          <t>HIGH_CONFIDENCE</t>
        </is>
      </c>
      <c r="I65" s="4" t="inlineStr"/>
      <c r="J65" s="4" t="inlineStr">
        <is>
          <t>Zustand erhalten; bei der wiederkehrenden Prüfung und der Betreiberkontrolle erneut prüfen</t>
        </is>
      </c>
      <c r="K65" s="4" t="inlineStr"/>
      <c r="L65" s="4" t="inlineStr">
        <is>
          <t>Kein Risiko: keine Mangelregel trifft zu, alle Pflichtfragen beantwortet. Freigegeben 2026-09-20.</t>
        </is>
      </c>
      <c r="M65" s="3" t="n"/>
      <c r="N65" s="3" t="n"/>
    </row>
    <row r="66">
      <c r="A66" s="2" t="inlineStr">
        <is>
          <t>MF-M06</t>
        </is>
      </c>
      <c r="B66" s="2" t="inlineStr">
        <is>
          <t>Rutschiger, verschmutzter oder ölverunreinigter Boden im Triebwerksraum</t>
        </is>
      </c>
      <c r="C66" s="2" t="inlineStr">
        <is>
          <t>Triebwerksraum – Ausstattung</t>
        </is>
      </c>
      <c r="D66" s="2" t="inlineStr">
        <is>
          <t>MF-M06-R1</t>
        </is>
      </c>
      <c r="E66" s="2" t="n">
        <v>100</v>
      </c>
      <c r="F66" s="2" t="inlineStr">
        <is>
          <t>5.50 Ausgetretenes Öl / Hydrauliköl ohne Auffangmöglichkeit? = Ja</t>
        </is>
      </c>
      <c r="G66" s="2" t="inlineStr">
        <is>
          <t>Hoch</t>
        </is>
      </c>
      <c r="H66" s="2" t="inlineStr">
        <is>
          <t>HIGH_CONFIDENCE</t>
        </is>
      </c>
      <c r="I66" s="2" t="inlineStr"/>
      <c r="J66" s="2" t="inlineStr">
        <is>
          <t>Öl aufnehmen, Leckage abstellen, Bereich sichern</t>
        </is>
      </c>
      <c r="K66" s="2" t="inlineStr">
        <is>
          <t>Auffangwanne herstellen und Leckage dauerhaft beseitigen (Wasserhaushaltsgesetz beachten)</t>
        </is>
      </c>
      <c r="L66" s="2" t="inlineStr">
        <is>
          <t>Freigegeben 2026-09-20.</t>
        </is>
      </c>
      <c r="M66" s="3" t="n"/>
      <c r="N66" s="3" t="n"/>
    </row>
    <row r="67">
      <c r="A67" s="4" t="inlineStr">
        <is>
          <t>MF-M06</t>
        </is>
      </c>
      <c r="B67" s="4" t="inlineStr">
        <is>
          <t>Rutschiger, verschmutzter oder ölverunreinigter Boden im Triebwerksraum</t>
        </is>
      </c>
      <c r="C67" s="4" t="inlineStr">
        <is>
          <t>Triebwerksraum – Ausstattung</t>
        </is>
      </c>
      <c r="D67" s="4" t="inlineStr">
        <is>
          <t>MF-M06-R2</t>
        </is>
      </c>
      <c r="E67" s="4" t="n">
        <v>100</v>
      </c>
      <c r="F67" s="4" t="inlineStr">
        <is>
          <t>5.48 Boden rutschhemmend und sauber? = Nein</t>
        </is>
      </c>
      <c r="G67" s="4" t="inlineStr">
        <is>
          <t>Mittel</t>
        </is>
      </c>
      <c r="H67" s="4" t="inlineStr">
        <is>
          <t>HIGH_CONFIDENCE</t>
        </is>
      </c>
      <c r="I67" s="4" t="inlineStr"/>
      <c r="J67" s="4" t="inlineStr">
        <is>
          <t>Reinigen, abstumpfendes Material einsetzen</t>
        </is>
      </c>
      <c r="K67" s="4" t="inlineStr">
        <is>
          <t>Rutschhemmenden Bodenbelag bzw. rutschhemmende Beschichtung herstellen (Bewertungsgruppe nach ASR A1.5 / DGUV-Regelwerk); Reinigung zusätzlich in den Wartungsplan aufnehmen</t>
        </is>
      </c>
      <c r="L67" s="4" t="inlineStr">
        <is>
          <t>Regelprüfung 20.09.2026: TOP-Verstoß behoben. Frage 5.48 bündelt „rutschhemmend" (baulich) und „sauber" (organisatorisch), die einzige Mittelfristmaßnahme war aber rein organisatorisch: Bei baulich glattem Boden beseitigt der Wartungsplan die Ursache nicht. Eine Aufteilung der Frage ist nicht erforderlich, die ergänzte technische Maßnahme deckt beide Fälle. Stufe Mittel bleibt. Freigegeben 2026-09-20.</t>
        </is>
      </c>
      <c r="M67" s="3" t="n"/>
      <c r="N67" s="3" t="n"/>
    </row>
    <row r="68">
      <c r="A68" s="2" t="inlineStr">
        <is>
          <t>MF-M06</t>
        </is>
      </c>
      <c r="B68" s="2" t="inlineStr">
        <is>
          <t>Rutschiger, verschmutzter oder ölverunreinigter Boden im Triebwerksraum</t>
        </is>
      </c>
      <c r="C68" s="2" t="inlineStr">
        <is>
          <t>Triebwerksraum – Ausstattung</t>
        </is>
      </c>
      <c r="D68" s="2" t="inlineStr">
        <is>
          <t>MF-M06-R3</t>
        </is>
      </c>
      <c r="E68" s="2" t="n">
        <v>100</v>
      </c>
      <c r="F68" s="2" t="inlineStr">
        <is>
          <t>5.49 Boden ölfest gestrichen und unbeschädigt? = Nein</t>
        </is>
      </c>
      <c r="G68" s="2" t="inlineStr">
        <is>
          <t>Mittel</t>
        </is>
      </c>
      <c r="H68" s="2" t="inlineStr">
        <is>
          <t>HIGH_CONFIDENCE</t>
        </is>
      </c>
      <c r="I68" s="2" t="inlineStr"/>
      <c r="J68" s="2" t="inlineStr">
        <is>
          <t>Ölbindemittel bereitstellen und Verunreinigungen aufnehmen</t>
        </is>
      </c>
      <c r="K68" s="2" t="inlineStr">
        <is>
          <t>Ölfesten Anstrich erneuern</t>
        </is>
      </c>
      <c r="L68" s="2" t="inlineStr">
        <is>
          <t>Freigegeben 2026-09-20.</t>
        </is>
      </c>
      <c r="M68" s="3" t="n"/>
      <c r="N68" s="3" t="n"/>
    </row>
    <row r="69">
      <c r="A69" s="4" t="inlineStr">
        <is>
          <t>MF-M06</t>
        </is>
      </c>
      <c r="B69" s="4" t="inlineStr">
        <is>
          <t>Rutschiger, verschmutzter oder ölverunreinigter Boden im Triebwerksraum</t>
        </is>
      </c>
      <c r="C69" s="4" t="inlineStr">
        <is>
          <t>Triebwerksraum – Ausstattung</t>
        </is>
      </c>
      <c r="D69" s="4" t="inlineStr">
        <is>
          <t>MF-M06-R4</t>
        </is>
      </c>
      <c r="E69" s="4" t="n">
        <v>1</v>
      </c>
      <c r="F69" s="4" t="inlineStr">
        <is>
          <t>5.48 Boden rutschhemmend und sauber? beantwortet</t>
        </is>
      </c>
      <c r="G69" s="4" t="inlineStr">
        <is>
          <t>Kein Risiko</t>
        </is>
      </c>
      <c r="H69" s="4" t="inlineStr">
        <is>
          <t>HIGH_CONFIDENCE</t>
        </is>
      </c>
      <c r="I69" s="4" t="inlineStr"/>
      <c r="J69" s="4" t="inlineStr">
        <is>
          <t>Zustand erhalten; bei der wiederkehrenden Prüfung und der Betreiberkontrolle erneut prüfen</t>
        </is>
      </c>
      <c r="K69" s="4" t="inlineStr"/>
      <c r="L69" s="4" t="inlineStr">
        <is>
          <t>Kein Risiko: keine Mangelregel trifft zu, alle Pflichtfragen beantwortet. Freigegeben 2026-09-20.</t>
        </is>
      </c>
      <c r="M69" s="3" t="n"/>
      <c r="N69" s="3" t="n"/>
    </row>
    <row r="70">
      <c r="A70" s="2" t="inlineStr">
        <is>
          <t>MF-M07</t>
        </is>
      </c>
      <c r="B70" s="2" t="inlineStr">
        <is>
          <t>Fehlender, nicht abschließbarer oder nicht gekennzeichneter Hauptschalter</t>
        </is>
      </c>
      <c r="C70" s="2" t="inlineStr">
        <is>
          <t>Steuerung und Elektrik</t>
        </is>
      </c>
      <c r="D70" s="2" t="inlineStr">
        <is>
          <t>MF-M07-R1</t>
        </is>
      </c>
      <c r="E70" s="2" t="n">
        <v>100</v>
      </c>
      <c r="F70" s="2" t="inlineStr">
        <is>
          <t>5.51 Hauptschalter vorhanden und Wirkung nachvollziehbar? = Nein</t>
        </is>
      </c>
      <c r="G70" s="2" t="inlineStr">
        <is>
          <t>Hoch</t>
        </is>
      </c>
      <c r="H70" s="2" t="inlineStr">
        <is>
          <t>HIGH_CONFIDENCE</t>
        </is>
      </c>
      <c r="I70" s="2" t="inlineStr"/>
      <c r="J70" s="2" t="inlineStr">
        <is>
          <t>Arbeiten nur nach Freischalten durch eine Elektrofachkraft</t>
        </is>
      </c>
      <c r="K70" s="2" t="inlineStr">
        <is>
          <t>Hauptschalter nach DIN EN 81-20 nachrüsten</t>
        </is>
      </c>
      <c r="L70" s="2" t="inlineStr">
        <is>
          <t>Freigegeben 2026-09-20.</t>
        </is>
      </c>
      <c r="M70" s="3" t="n"/>
      <c r="N70" s="3" t="n"/>
    </row>
    <row r="71">
      <c r="A71" s="4" t="inlineStr">
        <is>
          <t>MF-M07</t>
        </is>
      </c>
      <c r="B71" s="4" t="inlineStr">
        <is>
          <t>Fehlender, nicht abschließbarer oder nicht gekennzeichneter Hauptschalter</t>
        </is>
      </c>
      <c r="C71" s="4" t="inlineStr">
        <is>
          <t>Steuerung und Elektrik</t>
        </is>
      </c>
      <c r="D71" s="4" t="inlineStr">
        <is>
          <t>MF-M07-R2</t>
        </is>
      </c>
      <c r="E71" s="4" t="n">
        <v>100</v>
      </c>
      <c r="F71" s="4" t="inlineStr">
        <is>
          <t>5.51a Hauptschalter abschließbar? = Nein</t>
        </is>
      </c>
      <c r="G71" s="4" t="inlineStr">
        <is>
          <t>Hoch</t>
        </is>
      </c>
      <c r="H71" s="4" t="inlineStr">
        <is>
          <t>HIGH_CONFIDENCE</t>
        </is>
      </c>
      <c r="I71" s="4" t="inlineStr"/>
      <c r="J71" s="4" t="inlineStr">
        <is>
          <t>Andere Maßnahme zum Schutz gegen Wiedereinschalten anwenden</t>
        </is>
      </c>
      <c r="K71" s="4" t="inlineStr">
        <is>
          <t>Abschließbaren Hauptschalter nachrüsten</t>
        </is>
      </c>
      <c r="L71" s="4" t="inlineStr">
        <is>
          <t>Entschieden 2026-09-02: K-M02.</t>
        </is>
      </c>
      <c r="M71" s="3" t="n"/>
      <c r="N71" s="3" t="n"/>
    </row>
    <row r="72">
      <c r="A72" s="2" t="inlineStr">
        <is>
          <t>MF-M07</t>
        </is>
      </c>
      <c r="B72" s="2" t="inlineStr">
        <is>
          <t>Fehlender, nicht abschließbarer oder nicht gekennzeichneter Hauptschalter</t>
        </is>
      </c>
      <c r="C72" s="2" t="inlineStr">
        <is>
          <t>Steuerung und Elektrik</t>
        </is>
      </c>
      <c r="D72" s="2" t="inlineStr">
        <is>
          <t>MF-M07-R3</t>
        </is>
      </c>
      <c r="E72" s="2" t="n">
        <v>100</v>
      </c>
      <c r="F72" s="2" t="inlineStr">
        <is>
          <t>5.51b Hauptschalter eindeutig gekennzeichnet? = Nein</t>
        </is>
      </c>
      <c r="G72" s="2" t="inlineStr">
        <is>
          <t>Mittel</t>
        </is>
      </c>
      <c r="H72" s="2" t="inlineStr">
        <is>
          <t>HIGH_CONFIDENCE</t>
        </is>
      </c>
      <c r="I72" s="2" t="inlineStr"/>
      <c r="J72" s="2" t="inlineStr">
        <is>
          <t>Provisorisch kennzeichnen</t>
        </is>
      </c>
      <c r="K72" s="2" t="inlineStr">
        <is>
          <t>Dauerhafte Kennzeichnung anbringen</t>
        </is>
      </c>
      <c r="L72" s="2" t="inlineStr">
        <is>
          <t>Freigegeben 2026-09-20.</t>
        </is>
      </c>
      <c r="M72" s="3" t="n"/>
      <c r="N72" s="3" t="n"/>
    </row>
    <row r="73">
      <c r="A73" s="4" t="inlineStr">
        <is>
          <t>MF-M07</t>
        </is>
      </c>
      <c r="B73" s="4" t="inlineStr">
        <is>
          <t>Fehlender, nicht abschließbarer oder nicht gekennzeichneter Hauptschalter</t>
        </is>
      </c>
      <c r="C73" s="4" t="inlineStr">
        <is>
          <t>Steuerung und Elektrik</t>
        </is>
      </c>
      <c r="D73" s="4" t="inlineStr">
        <is>
          <t>MF-M07-R4</t>
        </is>
      </c>
      <c r="E73" s="4" t="n">
        <v>1</v>
      </c>
      <c r="F73" s="4" t="inlineStr">
        <is>
          <t>5.51 Hauptschalter vorhanden und Wirkung nachvollziehbar? beantwortet</t>
        </is>
      </c>
      <c r="G73" s="4" t="inlineStr">
        <is>
          <t>Kein Risiko</t>
        </is>
      </c>
      <c r="H73" s="4" t="inlineStr">
        <is>
          <t>HIGH_CONFIDENCE</t>
        </is>
      </c>
      <c r="I73" s="4" t="inlineStr"/>
      <c r="J73" s="4" t="inlineStr">
        <is>
          <t>Zustand erhalten; bei der wiederkehrenden Prüfung und der Betreiberkontrolle erneut prüfen</t>
        </is>
      </c>
      <c r="K73" s="4" t="inlineStr"/>
      <c r="L73" s="4" t="inlineStr">
        <is>
          <t>Kein Risiko: keine Mangelregel trifft zu, alle Pflichtfragen beantwortet. Freigegeben 2026-09-20.</t>
        </is>
      </c>
      <c r="M73" s="3" t="n"/>
      <c r="N73" s="3" t="n"/>
    </row>
    <row r="74">
      <c r="A74" s="2" t="inlineStr">
        <is>
          <t>MF-M08</t>
        </is>
      </c>
      <c r="B74" s="2" t="inlineStr">
        <is>
          <t>Unzureichende elektromechanische Bremse (Einkreisbremse, keine Überwachung)</t>
        </is>
      </c>
      <c r="C74" s="2" t="inlineStr">
        <is>
          <t>Antrieb, Bremse und Hydraulik</t>
        </is>
      </c>
      <c r="D74" s="2" t="inlineStr">
        <is>
          <t>MF-M08-R1</t>
        </is>
      </c>
      <c r="E74" s="2" t="n">
        <v>100</v>
      </c>
      <c r="F74" s="2" t="inlineStr">
        <is>
          <t>6.2 Zweikreisbremse (redundante Betriebsbremse) vorhanden? = Nein</t>
        </is>
      </c>
      <c r="G74" s="2" t="inlineStr">
        <is>
          <t>Hoch</t>
        </is>
      </c>
      <c r="H74" s="2" t="inlineStr">
        <is>
          <t>HIGH_CONFIDENCE</t>
        </is>
      </c>
      <c r="I74" s="2" t="inlineStr"/>
      <c r="J74" s="2" t="inlineStr">
        <is>
          <t>Bremsfunktion prüfen, Anlage bei Auffälligkeiten stilllegen</t>
        </is>
      </c>
      <c r="K74" s="2" t="inlineStr">
        <is>
          <t>Zweikreisbremse mit Überwachung der Bremskreise nachrüsten</t>
        </is>
      </c>
      <c r="L74" s="2" t="inlineStr">
        <is>
          <t>Freigegeben 2026-09-20.</t>
        </is>
      </c>
      <c r="M74" s="3" t="n"/>
      <c r="N74" s="3" t="n"/>
    </row>
    <row r="75">
      <c r="A75" s="4" t="inlineStr">
        <is>
          <t>MF-M08</t>
        </is>
      </c>
      <c r="B75" s="4" t="inlineStr">
        <is>
          <t>Unzureichende elektromechanische Bremse (Einkreisbremse, keine Überwachung)</t>
        </is>
      </c>
      <c r="C75" s="4" t="inlineStr">
        <is>
          <t>Antrieb, Bremse und Hydraulik</t>
        </is>
      </c>
      <c r="D75" s="4" t="inlineStr">
        <is>
          <t>MF-M08-R2</t>
        </is>
      </c>
      <c r="E75" s="4" t="n">
        <v>100</v>
      </c>
      <c r="F75" s="4" t="inlineStr">
        <is>
          <t>(6.2a Bremse elektrisch überwacht (Bremskontrollschalter)? = Nein UND 8.27 Türüberbrückung (SR-Modul) für Nachregulieren / Voraböffnen mit offener Tür vorhanden? = Ja)</t>
        </is>
      </c>
      <c r="G75" s="4" t="inlineStr">
        <is>
          <t>Mittel</t>
        </is>
      </c>
      <c r="H75" s="4" t="inlineStr">
        <is>
          <t>HIGH_CONFIDENCE</t>
        </is>
      </c>
      <c r="I75" s="4" t="inlineStr"/>
      <c r="J75" s="4" t="inlineStr">
        <is>
          <t>Türüberbrückung (Nachregulieren bzw. Voraböffnen mit offener Tür) sofort außer Betrieb setzen – Betrieb nur mit geschlossener Tür – und Wirksamkeit beider Bremskreise prüfen; Betreiber unterrichten</t>
        </is>
      </c>
      <c r="K75" s="4" t="inlineStr">
        <is>
          <t>Bremskontrollschalter nachrüsten</t>
        </is>
      </c>
      <c r="L75" s="4" t="inlineStr">
        <is>
          <t>Entscheidung 02.09.2026: ohne Türüberbrückung (SR-Modul) kein Risiko. Regelprüfung 20.09.2026: Sofortmaßnahme ersetzt – „bei jeder Wartung prüfen" ist eine wiederkehrende organisatorische Maßnahme und wirkt nicht sofort. Die Gefahr entsteht gerade durch das aktive SR-Modul, das sich sofort abschalten lässt. [Prüfbericht: H11 – Sofortmaßnahme ergänzt] Frühere Klärung (vor der Änderung entschieden): K-M09 Freigegeben 2026-09-20.</t>
        </is>
      </c>
      <c r="M75" s="3" t="n"/>
      <c r="N75" s="3" t="n"/>
    </row>
    <row r="76">
      <c r="A76" s="2" t="inlineStr">
        <is>
          <t>MF-M08</t>
        </is>
      </c>
      <c r="B76" s="2" t="inlineStr">
        <is>
          <t>Unzureichende elektromechanische Bremse (Einkreisbremse, keine Überwachung)</t>
        </is>
      </c>
      <c r="C76" s="2" t="inlineStr">
        <is>
          <t>Antrieb, Bremse und Hydraulik</t>
        </is>
      </c>
      <c r="D76" s="2" t="inlineStr">
        <is>
          <t>MF-M08-R3</t>
        </is>
      </c>
      <c r="E76" s="2" t="n">
        <v>1</v>
      </c>
      <c r="F76" s="2" t="inlineStr">
        <is>
          <t>6.2 Zweikreisbremse (redundante Betriebsbremse) vorhanden? beantwortet</t>
        </is>
      </c>
      <c r="G76" s="2" t="inlineStr">
        <is>
          <t>Kein Risiko</t>
        </is>
      </c>
      <c r="H76" s="2" t="inlineStr">
        <is>
          <t>HIGH_CONFIDENCE</t>
        </is>
      </c>
      <c r="I76" s="2" t="inlineStr"/>
      <c r="J76" s="2" t="inlineStr">
        <is>
          <t>Zustand erhalten; bei der wiederkehrenden Prüfung und der Betreiberkontrolle erneut prüfen</t>
        </is>
      </c>
      <c r="K76" s="2" t="inlineStr"/>
      <c r="L76" s="2" t="inlineStr">
        <is>
          <t>Kein Risiko: keine Mangelregel trifft zu, alle Pflichtfragen beantwortet. Freigegeben 2026-09-20.</t>
        </is>
      </c>
      <c r="M76" s="3" t="n"/>
      <c r="N76" s="3" t="n"/>
    </row>
    <row r="77">
      <c r="A77" s="4" t="inlineStr">
        <is>
          <t>MF-M09</t>
        </is>
      </c>
      <c r="B77" s="4" t="inlineStr">
        <is>
          <t>Fehlender Schutz des Antriebsmotors gegen Überhitzen</t>
        </is>
      </c>
      <c r="C77" s="4" t="inlineStr">
        <is>
          <t>Antrieb, Bremse und Hydraulik</t>
        </is>
      </c>
      <c r="D77" s="4" t="inlineStr">
        <is>
          <t>MF-M09-R1</t>
        </is>
      </c>
      <c r="E77" s="4" t="n">
        <v>100</v>
      </c>
      <c r="F77" s="4" t="inlineStr">
        <is>
          <t>6.3 Schutz gegen Überhitzen des Antriebsmotors vorhanden? = Nein</t>
        </is>
      </c>
      <c r="G77" s="4" t="inlineStr">
        <is>
          <t>Mittel</t>
        </is>
      </c>
      <c r="H77" s="4" t="inlineStr">
        <is>
          <t>HIGH_CONFIDENCE</t>
        </is>
      </c>
      <c r="I77" s="4" t="inlineStr"/>
      <c r="J77" s="4" t="inlineStr">
        <is>
          <t>Fahrspiele begrenzen und Temperatur überwachen</t>
        </is>
      </c>
      <c r="K77" s="4" t="inlineStr">
        <is>
          <t>Motorschutz nach DIN EN 81-20, 5.10.4.2 nachrüsten</t>
        </is>
      </c>
      <c r="L77" s="4" t="inlineStr">
        <is>
          <t>Entschieden 2026-09-02: K-M03.</t>
        </is>
      </c>
      <c r="M77" s="3" t="n"/>
      <c r="N77" s="3" t="n"/>
    </row>
    <row r="78">
      <c r="A78" s="2" t="inlineStr">
        <is>
          <t>MF-M09</t>
        </is>
      </c>
      <c r="B78" s="2" t="inlineStr">
        <is>
          <t>Fehlender Schutz des Antriebsmotors gegen Überhitzen</t>
        </is>
      </c>
      <c r="C78" s="2" t="inlineStr">
        <is>
          <t>Antrieb, Bremse und Hydraulik</t>
        </is>
      </c>
      <c r="D78" s="2" t="inlineStr">
        <is>
          <t>MF-M09-R2</t>
        </is>
      </c>
      <c r="E78" s="2" t="n">
        <v>1</v>
      </c>
      <c r="F78" s="2" t="inlineStr">
        <is>
          <t>6.3 Schutz gegen Überhitzen des Antriebsmotors vorhanden? beantwortet</t>
        </is>
      </c>
      <c r="G78" s="2" t="inlineStr">
        <is>
          <t>Kein Risiko</t>
        </is>
      </c>
      <c r="H78" s="2" t="inlineStr">
        <is>
          <t>HIGH_CONFIDENCE</t>
        </is>
      </c>
      <c r="I78" s="2" t="inlineStr"/>
      <c r="J78" s="2" t="inlineStr">
        <is>
          <t>Zustand erhalten; bei der wiederkehrenden Prüfung und der Betreiberkontrolle erneut prüfen</t>
        </is>
      </c>
      <c r="K78" s="2" t="inlineStr"/>
      <c r="L78" s="2" t="inlineStr">
        <is>
          <t>Kein Risiko: keine Mangelregel trifft zu, alle Pflichtfragen beantwortet. Freigegeben 2026-09-20.</t>
        </is>
      </c>
      <c r="M78" s="3" t="n"/>
      <c r="N78" s="3" t="n"/>
    </row>
    <row r="79">
      <c r="A79" s="4" t="inlineStr">
        <is>
          <t>MF-M10</t>
        </is>
      </c>
      <c r="B79" s="4" t="inlineStr">
        <is>
          <t>Fehlende unabhängige Fahrschütze / Abschaltwege</t>
        </is>
      </c>
      <c r="C79" s="4" t="inlineStr">
        <is>
          <t>Steuerung und Elektrik</t>
        </is>
      </c>
      <c r="D79" s="4" t="inlineStr">
        <is>
          <t>MF-M10-R1</t>
        </is>
      </c>
      <c r="E79" s="4" t="n">
        <v>200</v>
      </c>
      <c r="F79" s="4" t="inlineStr">
        <is>
          <t>(6.4 Zwei unabhängige Fahrschütze / Abschaltwege vorhanden? = Nein UND 6.4a Bei nur einem Schütz: selbstüberwachende Steuerung mit Baumusterprüfung? = Ja)</t>
        </is>
      </c>
      <c r="G79" s="4" t="inlineStr">
        <is>
          <t>Kein Risiko</t>
        </is>
      </c>
      <c r="H79" s="4" t="inlineStr">
        <is>
          <t>HIGH_CONFIDENCE</t>
        </is>
      </c>
      <c r="I79" s="4" t="inlineStr"/>
      <c r="J79" s="4" t="inlineStr"/>
      <c r="K79" s="4" t="inlineStr"/>
      <c r="L79" s="4" t="inlineStr">
        <is>
          <t>App M5: „Nur ein Fahrschütz, jedoch selbst überwachende Steuerung" = grün Entschieden 2026-09-02: K-M04.</t>
        </is>
      </c>
      <c r="M79" s="3" t="n"/>
      <c r="N79" s="3" t="n"/>
    </row>
    <row r="80">
      <c r="A80" s="2" t="inlineStr">
        <is>
          <t>MF-M10</t>
        </is>
      </c>
      <c r="B80" s="2" t="inlineStr">
        <is>
          <t>Fehlende unabhängige Fahrschütze / Abschaltwege</t>
        </is>
      </c>
      <c r="C80" s="2" t="inlineStr">
        <is>
          <t>Steuerung und Elektrik</t>
        </is>
      </c>
      <c r="D80" s="2" t="inlineStr">
        <is>
          <t>MF-M10-R2</t>
        </is>
      </c>
      <c r="E80" s="2" t="n">
        <v>100</v>
      </c>
      <c r="F80" s="2" t="inlineStr">
        <is>
          <t>6.4 Zwei unabhängige Fahrschütze / Abschaltwege vorhanden? = Nein</t>
        </is>
      </c>
      <c r="G80" s="2" t="inlineStr">
        <is>
          <t>Hoch</t>
        </is>
      </c>
      <c r="H80" s="2" t="inlineStr">
        <is>
          <t>HIGH_CONFIDENCE</t>
        </is>
      </c>
      <c r="I80" s="2" t="inlineStr"/>
      <c r="J80" s="2" t="inlineStr">
        <is>
          <t>Abschaltfunktion des Fahrschützes bei jeder Wartung prüfen; bei Auffälligkeit (Schütz fällt nicht ab) Anlage sofort außer Betrieb nehmen</t>
        </is>
      </c>
      <c r="K80" s="2" t="inlineStr">
        <is>
          <t>Zweites, unabhängiges Fahrschütz bzw. redundante Abschaltung nachrüsten oder Steuerung erneuern</t>
        </is>
      </c>
      <c r="L80" s="2" t="inlineStr">
        <is>
          <t>[Prüfbericht: B11 – „bei Arbeiten ausschalten" schützt die Nutzer nicht] Freigegeben 2026-09-20.</t>
        </is>
      </c>
      <c r="M80" s="3" t="n"/>
      <c r="N80" s="3" t="n"/>
    </row>
    <row r="81">
      <c r="A81" s="4" t="inlineStr">
        <is>
          <t>MF-M10</t>
        </is>
      </c>
      <c r="B81" s="4" t="inlineStr">
        <is>
          <t>Fehlende unabhängige Fahrschütze / Abschaltwege</t>
        </is>
      </c>
      <c r="C81" s="4" t="inlineStr">
        <is>
          <t>Steuerung und Elektrik</t>
        </is>
      </c>
      <c r="D81" s="4" t="inlineStr">
        <is>
          <t>MF-M10-R3</t>
        </is>
      </c>
      <c r="E81" s="4" t="n">
        <v>1</v>
      </c>
      <c r="F81" s="4" t="inlineStr">
        <is>
          <t>6.4 Zwei unabhängige Fahrschütze / Abschaltwege vorhanden? beantwortet</t>
        </is>
      </c>
      <c r="G81" s="4" t="inlineStr">
        <is>
          <t>Kein Risiko</t>
        </is>
      </c>
      <c r="H81" s="4" t="inlineStr">
        <is>
          <t>HIGH_CONFIDENCE</t>
        </is>
      </c>
      <c r="I81" s="4" t="inlineStr"/>
      <c r="J81" s="4" t="inlineStr">
        <is>
          <t>Zustand erhalten; bei der wiederkehrenden Prüfung und der Betreiberkontrolle erneut prüfen</t>
        </is>
      </c>
      <c r="K81" s="4" t="inlineStr"/>
      <c r="L81" s="4" t="inlineStr">
        <is>
          <t>Kein Risiko: keine Mangelregel trifft zu, alle Pflichtfragen beantwortet. Freigegeben 2026-09-20.</t>
        </is>
      </c>
      <c r="M81" s="3" t="n"/>
      <c r="N81" s="3" t="n"/>
    </row>
    <row r="82">
      <c r="A82" s="2" t="inlineStr">
        <is>
          <t>MF-M11</t>
        </is>
      </c>
      <c r="B82" s="2" t="inlineStr">
        <is>
          <t>Fehlende Laufzeitüberwachung des Antriebs</t>
        </is>
      </c>
      <c r="C82" s="2" t="inlineStr">
        <is>
          <t>Steuerung und Elektrik</t>
        </is>
      </c>
      <c r="D82" s="2" t="inlineStr">
        <is>
          <t>MF-M11-R1</t>
        </is>
      </c>
      <c r="E82" s="2" t="n">
        <v>100</v>
      </c>
      <c r="F82" s="2" t="inlineStr">
        <is>
          <t>6.5 Motor-Laufzeitüberwachung vorhanden? = Nein</t>
        </is>
      </c>
      <c r="G82" s="2" t="inlineStr">
        <is>
          <t>Mittel</t>
        </is>
      </c>
      <c r="H82" s="2" t="inlineStr">
        <is>
          <t>HIGH_CONFIDENCE</t>
        </is>
      </c>
      <c r="I82" s="2" t="inlineStr"/>
      <c r="J82" s="2" t="inlineStr">
        <is>
          <t>Thermischen Motorschutz (Thermistor, Motorschutzschalter) auf Vorhandensein und Funktion prüfen; bei blockierter Anlage oder Anzeichen von Überhitzung (Geruch, Verfärbung, heißes Öl) Hauptschalter ausschalten, Anlage stilllegen und Betreiber unterrichten</t>
        </is>
      </c>
      <c r="K82" s="2" t="inlineStr">
        <is>
          <t>Motoren-Laufzeitüberwachung nachrüsten</t>
        </is>
      </c>
      <c r="L82" s="2" t="inlineStr">
        <is>
          <t>Regelprüfung 20.09.2026: Sofortmaßnahme konkretisiert. „Anlage bei Auffälligkeiten stilllegen" nennt weder Auslöser noch Handlung und liegt nahe am unzulässigen „Vorsicht walten lassen". Stufe Mittel bleibt: Brand entsteht erst, wenn zusätzlich eine Blockade oder ein Seilrutsch auftritt und der Motorschutz versagt. Freigegeben 2026-09-20.</t>
        </is>
      </c>
      <c r="M82" s="3" t="n"/>
      <c r="N82" s="3" t="n"/>
    </row>
    <row r="83">
      <c r="A83" s="4" t="inlineStr">
        <is>
          <t>MF-M11</t>
        </is>
      </c>
      <c r="B83" s="4" t="inlineStr">
        <is>
          <t>Fehlende Laufzeitüberwachung des Antriebs</t>
        </is>
      </c>
      <c r="C83" s="4" t="inlineStr">
        <is>
          <t>Steuerung und Elektrik</t>
        </is>
      </c>
      <c r="D83" s="4" t="inlineStr">
        <is>
          <t>MF-M11-R2</t>
        </is>
      </c>
      <c r="E83" s="4" t="n">
        <v>1</v>
      </c>
      <c r="F83" s="4" t="inlineStr">
        <is>
          <t>6.5 Motor-Laufzeitüberwachung vorhanden? beantwortet</t>
        </is>
      </c>
      <c r="G83" s="4" t="inlineStr">
        <is>
          <t>Kein Risiko</t>
        </is>
      </c>
      <c r="H83" s="4" t="inlineStr">
        <is>
          <t>HIGH_CONFIDENCE</t>
        </is>
      </c>
      <c r="I83" s="4" t="inlineStr"/>
      <c r="J83" s="4" t="inlineStr">
        <is>
          <t>Zustand erhalten; bei der wiederkehrenden Prüfung und der Betreiberkontrolle erneut prüfen</t>
        </is>
      </c>
      <c r="K83" s="4" t="inlineStr"/>
      <c r="L83" s="4" t="inlineStr">
        <is>
          <t>Kein Risiko: keine Mangelregel trifft zu, alle Pflichtfragen beantwortet. Freigegeben 2026-09-20.</t>
        </is>
      </c>
      <c r="M83" s="3" t="n"/>
      <c r="N83" s="3" t="n"/>
    </row>
    <row r="84">
      <c r="A84" s="2" t="inlineStr">
        <is>
          <t>MF-M12</t>
        </is>
      </c>
      <c r="B84" s="2" t="inlineStr">
        <is>
          <t>Fehlender Schutz gegen Phasenumkehr / Phasenausfall</t>
        </is>
      </c>
      <c r="C84" s="2" t="inlineStr">
        <is>
          <t>Steuerung und Elektrik</t>
        </is>
      </c>
      <c r="D84" s="2" t="inlineStr">
        <is>
          <t>MF-M12-R1</t>
        </is>
      </c>
      <c r="E84" s="2" t="n">
        <v>100</v>
      </c>
      <c r="F84" s="2" t="inlineStr">
        <is>
          <t>6.6 Schutz gegen Phasenumkehr / Phasenausfall vorhanden? = Nein</t>
        </is>
      </c>
      <c r="G84" s="2" t="inlineStr">
        <is>
          <t>Mittel</t>
        </is>
      </c>
      <c r="H84" s="2" t="inlineStr">
        <is>
          <t>INFERRED</t>
        </is>
      </c>
      <c r="I84" s="2" t="inlineStr"/>
      <c r="J84" s="2" t="inlineStr">
        <is>
          <t>Anlage auf richtige Drehrichtung prüfen, Hinweis an Betreiber</t>
        </is>
      </c>
      <c r="K84" s="2" t="inlineStr">
        <is>
          <t>Phasenfolge-/Phasenausfallrelais nachrüsten</t>
        </is>
      </c>
      <c r="L84" s="2" t="inlineStr">
        <is>
          <t>Entschieden 2026-09-02: K-M05.</t>
        </is>
      </c>
      <c r="M84" s="3" t="n"/>
      <c r="N84" s="3" t="n"/>
    </row>
    <row r="85">
      <c r="A85" s="4" t="inlineStr">
        <is>
          <t>MF-M12</t>
        </is>
      </c>
      <c r="B85" s="4" t="inlineStr">
        <is>
          <t>Fehlender Schutz gegen Phasenumkehr / Phasenausfall</t>
        </is>
      </c>
      <c r="C85" s="4" t="inlineStr">
        <is>
          <t>Steuerung und Elektrik</t>
        </is>
      </c>
      <c r="D85" s="4" t="inlineStr">
        <is>
          <t>MF-M12-R2</t>
        </is>
      </c>
      <c r="E85" s="4" t="n">
        <v>1</v>
      </c>
      <c r="F85" s="4" t="inlineStr">
        <is>
          <t>6.6 Schutz gegen Phasenumkehr / Phasenausfall vorhanden? beantwortet</t>
        </is>
      </c>
      <c r="G85" s="4" t="inlineStr">
        <is>
          <t>Kein Risiko</t>
        </is>
      </c>
      <c r="H85" s="4" t="inlineStr">
        <is>
          <t>HIGH_CONFIDENCE</t>
        </is>
      </c>
      <c r="I85" s="4" t="inlineStr"/>
      <c r="J85" s="4" t="inlineStr">
        <is>
          <t>Zustand erhalten; bei der wiederkehrenden Prüfung und der Betreiberkontrolle erneut prüfen</t>
        </is>
      </c>
      <c r="K85" s="4" t="inlineStr"/>
      <c r="L85" s="4" t="inlineStr">
        <is>
          <t>Kein Risiko: keine Mangelregel trifft zu, alle Pflichtfragen beantwortet. Freigegeben 2026-09-20.</t>
        </is>
      </c>
      <c r="M85" s="3" t="n"/>
      <c r="N85" s="3" t="n"/>
    </row>
    <row r="86">
      <c r="A86" s="2" t="inlineStr">
        <is>
          <t>MF-M13</t>
        </is>
      </c>
      <c r="B86" s="2" t="inlineStr">
        <is>
          <t>Unzureichende Hydraulikeinrichtungen (Absperrventil, Rohrbruchsicherung, Absinken)</t>
        </is>
      </c>
      <c r="C86" s="2" t="inlineStr">
        <is>
          <t>Antrieb, Bremse und Hydraulik</t>
        </is>
      </c>
      <c r="D86" s="2" t="inlineStr">
        <is>
          <t>MF-M13-R10</t>
        </is>
      </c>
      <c r="E86" s="2" t="n">
        <v>150</v>
      </c>
      <c r="F86" s="2" t="inlineStr">
        <is>
          <t>(6.11 Rohrbruchsicherungsventil (Leitungsbruchventil) vorhanden? = Nein UND 6.11a Zulässige Absturzsicherung statt Leitungsbruchventil in [„Drossel oder Drosselrückschlagventil (DIN EN 81-20 5.6.4)", „Fangvorrichtung, eingerückt durch Geschwindigkeitsbegrenzer (DIN EN 81-20 5.6.2.1 mit 5.6.2.2.1)"])</t>
        </is>
      </c>
      <c r="G86" s="2" t="inlineStr">
        <is>
          <t>Kein Risiko</t>
        </is>
      </c>
      <c r="H86" s="2" t="inlineStr">
        <is>
          <t>HIGH_CONFIDENCE</t>
        </is>
      </c>
      <c r="I86" s="2" t="inlineStr"/>
      <c r="J86" s="2" t="inlineStr">
        <is>
          <t>Zustand erhalten; Wirksamkeit der Absturzsicherung bei der wiederkehrenden Prüfung erneut belegen</t>
        </is>
      </c>
      <c r="K86" s="2" t="inlineStr"/>
      <c r="L86" s="2" t="inlineStr">
        <is>
          <t>Regelprüfung 20.09.2026: Ausdrückliche Kein-Risiko-Regel für die nach DIN EN 81-20 Tabelle 12 zulässigen Alternativen zum Leitungsbruchventil. Sie steht hier, damit der Bericht den normgerechten Zustand benennt und nicht nur die Auffangregel greift; ohne sie fielen beide Antwortwerte durch die Abdeckungsprüfung (mf_optionen.ts). Freigegeben 2026-09-20.</t>
        </is>
      </c>
      <c r="M86" s="3" t="n"/>
      <c r="N86" s="3" t="n"/>
    </row>
    <row r="87">
      <c r="A87" s="4" t="inlineStr">
        <is>
          <t>MF-M13</t>
        </is>
      </c>
      <c r="B87" s="4" t="inlineStr">
        <is>
          <t>Unzureichende Hydraulikeinrichtungen (Absperrventil, Rohrbruchsicherung, Absinken)</t>
        </is>
      </c>
      <c r="C87" s="4" t="inlineStr">
        <is>
          <t>Antrieb, Bremse und Hydraulik</t>
        </is>
      </c>
      <c r="D87" s="4" t="inlineStr">
        <is>
          <t>MF-M13-R9</t>
        </is>
      </c>
      <c r="E87" s="4" t="n">
        <v>100</v>
      </c>
      <c r="F87" s="4" t="inlineStr">
        <is>
          <t>(6.11 Rohrbruchsicherungsventil (Leitungsbruchventil) vorhanden? = Nein UND 6.11a Zulässige Absturzsicherung statt Leitungsbruchventil = „Keine dieser Einrichtungen vorhanden")</t>
        </is>
      </c>
      <c r="G87" s="4" t="inlineStr">
        <is>
          <t>Hoch</t>
        </is>
      </c>
      <c r="H87" s="4" t="inlineStr">
        <is>
          <t>HIGH_CONFIDENCE</t>
        </is>
      </c>
      <c r="I87" s="4" t="inlineStr"/>
      <c r="J87" s="4" t="inlineStr">
        <is>
          <t>Aufzug sofort außer Betrieb nehmen und gegen Benutzung sichern, bis eine zulässige Absturzsicherung nachgewiesen ist; Betreiber unterrichten</t>
        </is>
      </c>
      <c r="K87" s="4" t="inlineStr">
        <is>
          <t>Rohrbruchsicherungsventil nachrüsten</t>
        </is>
      </c>
      <c r="L87" s="4" t="inlineStr">
        <is>
          <t>Regelprüfung 20.09.2026: Bedingung um die zulässigen Alternativen erweitert (neue Frage 6.11a). Die Regel vergab Hoch auch für Anlagen, die nach DIN EN 81-20 Tabelle 12 normgerecht statt eines Leitungsbruchventils eine Drossel bzw. ein Drosselrückschlagventil oder eine über den Geschwindigkeitsbegrenzer eingerückte Fangvorrichtung haben. Die Stufe Hoch ist beim tatsächlich fehlenden Absturzschutz richtig und altersunabhängig. Die Sofortmaßnahme trug außerdem nicht: Ein Leitungsbruchventil schützt gegen den plötzlichen Leitungsbruch, den man durch „Absinkverhalten überwachen" nicht beherrscht, und „nur eingeschränkt betreiben" ist unbestimmt. Freigegeben 2026-09-20.</t>
        </is>
      </c>
      <c r="M87" s="3" t="n"/>
      <c r="N87" s="3" t="n"/>
    </row>
    <row r="88">
      <c r="A88" s="2" t="inlineStr">
        <is>
          <t>MF-M13</t>
        </is>
      </c>
      <c r="B88" s="2" t="inlineStr">
        <is>
          <t>Unzureichende Hydraulikeinrichtungen (Absperrventil, Rohrbruchsicherung, Absinken)</t>
        </is>
      </c>
      <c r="C88" s="2" t="inlineStr">
        <is>
          <t>Antrieb, Bremse und Hydraulik</t>
        </is>
      </c>
      <c r="D88" s="2" t="inlineStr">
        <is>
          <t>MF-M13-R2</t>
        </is>
      </c>
      <c r="E88" s="2" t="n">
        <v>100</v>
      </c>
      <c r="F88" s="2" t="inlineStr">
        <is>
          <t>(6.13 Sinkt der Fahrkorb im Stillstand merklich ab? = Ja UND 6.12 Einrichtung gegen Absinken (Kolbenabsinkverhinderung / Nachholsteuerung) vorhanden? = Nein)</t>
        </is>
      </c>
      <c r="G88" s="2" t="inlineStr">
        <is>
          <t>Hoch</t>
        </is>
      </c>
      <c r="H88" s="2" t="inlineStr">
        <is>
          <t>HIGH_CONFIDENCE</t>
        </is>
      </c>
      <c r="I88" s="2" t="inlineStr"/>
      <c r="J88" s="2" t="inlineStr">
        <is>
          <t>Aufzug stilllegen</t>
        </is>
      </c>
      <c r="K88" s="2" t="inlineStr">
        <is>
          <t>Einrichtung gegen das Absinken des Kolbens nachrüsten und Leckage beseitigen</t>
        </is>
      </c>
      <c r="L88" s="2" t="inlineStr">
        <is>
          <t>Freigegeben 2026-09-20.</t>
        </is>
      </c>
      <c r="M88" s="3" t="n"/>
      <c r="N88" s="3" t="n"/>
    </row>
    <row r="89">
      <c r="A89" s="4" t="inlineStr">
        <is>
          <t>MF-M13</t>
        </is>
      </c>
      <c r="B89" s="4" t="inlineStr">
        <is>
          <t>Unzureichende Hydraulikeinrichtungen (Absperrventil, Rohrbruchsicherung, Absinken)</t>
        </is>
      </c>
      <c r="C89" s="4" t="inlineStr">
        <is>
          <t>Antrieb, Bremse und Hydraulik</t>
        </is>
      </c>
      <c r="D89" s="4" t="inlineStr">
        <is>
          <t>MF-M13-R7</t>
        </is>
      </c>
      <c r="E89" s="4" t="n">
        <v>100</v>
      </c>
      <c r="F89" s="4" t="inlineStr">
        <is>
          <t>(6.13 Sinkt der Fahrkorb im Stillstand merklich ab? = Ja UND 6.12 Einrichtung gegen Absinken (Kolbenabsinkverhinderung / Nachholsteuerung) vorhanden? = Ja)</t>
        </is>
      </c>
      <c r="G89" s="4" t="inlineStr">
        <is>
          <t>Mittel</t>
        </is>
      </c>
      <c r="H89" s="4" t="inlineStr">
        <is>
          <t>INFERRED</t>
        </is>
      </c>
      <c r="I89" s="4" t="inlineStr"/>
      <c r="J89" s="4" t="inlineStr">
        <is>
          <t>Vor Arbeiten am Hydrauliksystem Fahrkorb auf dem Puffer absetzen oder gegen Absinken sichern; Absinkverhalten und Bündigkeit überwachen</t>
        </is>
      </c>
      <c r="K89" s="4" t="inlineStr">
        <is>
          <t>Wirksamkeit der Kolbenabsinkverhinderung / Nachholsteuerung prüfen lassen, Leckage (Dichtungen, Ventile, Leitungen) suchen und beseitigen</t>
        </is>
      </c>
      <c r="L89" s="4" t="inlineStr">
        <is>
          <t>Prüfbericht 20.09.2026: bisherige Lücke – ein merkliches Absinken TROTZ vorhandener Einrichtung fiel auf „Kein Risiko". Die Einrichtung ist dann unwirksam. Freigegeben 2026-09-20.</t>
        </is>
      </c>
      <c r="M89" s="3" t="n"/>
      <c r="N89" s="3" t="n"/>
    </row>
    <row r="90">
      <c r="A90" s="2" t="inlineStr">
        <is>
          <t>MF-M13</t>
        </is>
      </c>
      <c r="B90" s="2" t="inlineStr">
        <is>
          <t>Unzureichende Hydraulikeinrichtungen (Absperrventil, Rohrbruchsicherung, Absinken)</t>
        </is>
      </c>
      <c r="C90" s="2" t="inlineStr">
        <is>
          <t>Antrieb, Bremse und Hydraulik</t>
        </is>
      </c>
      <c r="D90" s="2" t="inlineStr">
        <is>
          <t>MF-M13-R3</t>
        </is>
      </c>
      <c r="E90" s="2" t="n">
        <v>100</v>
      </c>
      <c r="F90" s="2" t="inlineStr">
        <is>
          <t>6.12 Einrichtung gegen Absinken (Kolbenabsinkverhinderung / Nachholsteuerung) vorhanden? = Nein</t>
        </is>
      </c>
      <c r="G90" s="2" t="inlineStr">
        <is>
          <t>Mittel</t>
        </is>
      </c>
      <c r="H90" s="2" t="inlineStr">
        <is>
          <t>HIGH_CONFIDENCE</t>
        </is>
      </c>
      <c r="I90" s="2" t="inlineStr"/>
      <c r="J90" s="2" t="inlineStr">
        <is>
          <t>Vor Arbeiten am Hydrauliksystem Fahrkorb auf dem Puffer absetzen oder gegen Absinken sichern; auf Schlaffseilbildung achten</t>
        </is>
      </c>
      <c r="K90" s="2" t="inlineStr">
        <is>
          <t>Kolbenabsinkverhinderung (KAV) nachrüsten</t>
        </is>
      </c>
      <c r="L90" s="2" t="inlineStr">
        <is>
          <t>[Prüfbericht 16.09.2026: konkrete Sofortmaßnahme statt „Vorsicht“] Freigegeben 2026-09-20.</t>
        </is>
      </c>
      <c r="M90" s="3" t="n"/>
      <c r="N90" s="3" t="n"/>
    </row>
    <row r="91">
      <c r="A91" s="4" t="inlineStr">
        <is>
          <t>MF-M13</t>
        </is>
      </c>
      <c r="B91" s="4" t="inlineStr">
        <is>
          <t>Unzureichende Hydraulikeinrichtungen (Absperrventil, Rohrbruchsicherung, Absinken)</t>
        </is>
      </c>
      <c r="C91" s="4" t="inlineStr">
        <is>
          <t>Antrieb, Bremse und Hydraulik</t>
        </is>
      </c>
      <c r="D91" s="4" t="inlineStr">
        <is>
          <t>MF-M13-R4</t>
        </is>
      </c>
      <c r="E91" s="4" t="n">
        <v>100</v>
      </c>
      <c r="F91" s="4" t="inlineStr">
        <is>
          <t>6.10 Absperrventil am Hydraulikaggregat vorhanden? = Nein</t>
        </is>
      </c>
      <c r="G91" s="4" t="inlineStr">
        <is>
          <t>Mittel</t>
        </is>
      </c>
      <c r="H91" s="4" t="inlineStr">
        <is>
          <t>INFERRED</t>
        </is>
      </c>
      <c r="I91" s="4" t="inlineStr"/>
      <c r="J91" s="4" t="inlineStr">
        <is>
          <t>Arbeiten am Hydrauliksystem nur mit abgesetztem, gegen Bewegung gesichertem Fahrkorb</t>
        </is>
      </c>
      <c r="K91" s="4" t="inlineStr">
        <is>
          <t>Absperrventil zwischen Zylinder und Rückschlagventil nachrüsten, gut zugänglich und gekennzeichnet</t>
        </is>
      </c>
      <c r="L91" s="4" t="inlineStr">
        <is>
          <t>[Prüfbericht: B12 – fehlendes Ventil wird nachgerüstet, nicht nur gekennzeichnet] Freigegeben 2026-09-20.</t>
        </is>
      </c>
      <c r="M91" s="3" t="n"/>
      <c r="N91" s="3" t="n"/>
    </row>
    <row r="92">
      <c r="A92" s="2" t="inlineStr">
        <is>
          <t>MF-M13</t>
        </is>
      </c>
      <c r="B92" s="2" t="inlineStr">
        <is>
          <t>Unzureichende Hydraulikeinrichtungen (Absperrventil, Rohrbruchsicherung, Absinken)</t>
        </is>
      </c>
      <c r="C92" s="2" t="inlineStr">
        <is>
          <t>Antrieb, Bremse und Hydraulik</t>
        </is>
      </c>
      <c r="D92" s="2" t="inlineStr">
        <is>
          <t>MF-M13-R8</t>
        </is>
      </c>
      <c r="E92" s="2" t="n">
        <v>100</v>
      </c>
      <c r="F92" s="2" t="inlineStr">
        <is>
          <t>6.10a Absperrventil gut zugänglich (ohne Hilfsmittel, ohne Umbauten erreichbar und bedienbar)? = Nein</t>
        </is>
      </c>
      <c r="G92" s="2" t="inlineStr">
        <is>
          <t>Mittel</t>
        </is>
      </c>
      <c r="H92" s="2" t="inlineStr">
        <is>
          <t>HIGH_CONFIDENCE</t>
        </is>
      </c>
      <c r="I92" s="2" t="inlineStr"/>
      <c r="J92" s="2" t="inlineStr">
        <is>
          <t>Arbeiten am Hydrauliksystem nur mit abgesetztem, gegen Bewegung gesichertem Fahrkorb, bis das Ventil ohne Hilfsmittel bedienbar ist</t>
        </is>
      </c>
      <c r="K92" s="2" t="inlineStr">
        <is>
          <t>Absperrventil zugänglich anordnen (verlegen, Einbauten entfernen, Bedienzugang schaffen)</t>
        </is>
      </c>
      <c r="L92" s="2" t="inlineStr">
        <is>
          <t>Regelprüfung 20.09.2026: Bedingung auf die Zugänglichkeit eingegrenzt (6.10a und 6.10b sind getrennt). Die Frage bündelte zwei verschiedene Mängel und bewertete beide mit Mittel, was den Kennzeichnungsmangel überzeichnete. Außerdem ist „Ventil zugänglich anordnen" eine technische Maßnahme – die Kennzeichnung als einzige Mittelfristmaßnahme verstieß beim Zugänglichkeitsmangel gegen das TOP-Prinzip. Freigegeben 2026-09-20.</t>
        </is>
      </c>
      <c r="M92" s="3" t="n"/>
      <c r="N92" s="3" t="n"/>
    </row>
    <row r="93">
      <c r="A93" s="4" t="inlineStr">
        <is>
          <t>MF-M13</t>
        </is>
      </c>
      <c r="B93" s="4" t="inlineStr">
        <is>
          <t>Unzureichende Hydraulikeinrichtungen (Absperrventil, Rohrbruchsicherung, Absinken)</t>
        </is>
      </c>
      <c r="C93" s="4" t="inlineStr">
        <is>
          <t>Antrieb, Bremse und Hydraulik</t>
        </is>
      </c>
      <c r="D93" s="4" t="inlineStr">
        <is>
          <t>MF-M13-R5</t>
        </is>
      </c>
      <c r="E93" s="4" t="n">
        <v>100</v>
      </c>
      <c r="F93" s="4" t="inlineStr">
        <is>
          <t>6.10b Absperrventil dauerhaft gekennzeichnet (Funktion, Wirkrichtung)? = Nein</t>
        </is>
      </c>
      <c r="G93" s="4" t="inlineStr">
        <is>
          <t>Niedrig</t>
        </is>
      </c>
      <c r="H93" s="4" t="inlineStr">
        <is>
          <t>HIGH_CONFIDENCE</t>
        </is>
      </c>
      <c r="I93" s="4" t="inlineStr"/>
      <c r="J93" s="4" t="inlineStr">
        <is>
          <t>Absperrventil provisorisch kennzeichnen (Funktion und Wirkrichtung)</t>
        </is>
      </c>
      <c r="K93" s="4" t="inlineStr">
        <is>
          <t>Dauerhafte Kennzeichnung des Absperrventils anbringen und in die Wartungsunterlagen aufnehmen</t>
        </is>
      </c>
      <c r="L93" s="4" t="inlineStr">
        <is>
          <t>Regelprüfung 20.09.2026: Neue Regel. Die fehlende Kennzeichnung war mit der Zugänglichkeit in einer Frage gebündelt und wurde mit Mittel überbewertet: Sie ist ein Mangel ohne unmittelbaren Gefährdungsbeitrag. Freigegeben 2026-09-20.</t>
        </is>
      </c>
      <c r="M93" s="3" t="n"/>
      <c r="N93" s="3" t="n"/>
    </row>
    <row r="94">
      <c r="A94" s="2" t="inlineStr">
        <is>
          <t>MF-M13</t>
        </is>
      </c>
      <c r="B94" s="2" t="inlineStr">
        <is>
          <t>Unzureichende Hydraulikeinrichtungen (Absperrventil, Rohrbruchsicherung, Absinken)</t>
        </is>
      </c>
      <c r="C94" s="2" t="inlineStr">
        <is>
          <t>Antrieb, Bremse und Hydraulik</t>
        </is>
      </c>
      <c r="D94" s="2" t="inlineStr">
        <is>
          <t>MF-M13-R6</t>
        </is>
      </c>
      <c r="E94" s="2" t="n">
        <v>1</v>
      </c>
      <c r="F94" s="2" t="inlineStr">
        <is>
          <t>6.10 Absperrventil am Hydraulikaggregat vorhanden? beantwortet</t>
        </is>
      </c>
      <c r="G94" s="2" t="inlineStr">
        <is>
          <t>Kein Risiko</t>
        </is>
      </c>
      <c r="H94" s="2" t="inlineStr">
        <is>
          <t>HIGH_CONFIDENCE</t>
        </is>
      </c>
      <c r="I94" s="2" t="inlineStr"/>
      <c r="J94" s="2" t="inlineStr">
        <is>
          <t>Zustand erhalten; bei der wiederkehrenden Prüfung und der Betreiberkontrolle erneut prüfen</t>
        </is>
      </c>
      <c r="K94" s="2" t="inlineStr"/>
      <c r="L94" s="2" t="inlineStr">
        <is>
          <t>Kein Risiko: keine Mangelregel trifft zu, alle Pflichtfragen beantwortet. Freigegeben 2026-09-20.</t>
        </is>
      </c>
      <c r="M94" s="3" t="n"/>
      <c r="N94" s="3" t="n"/>
    </row>
    <row r="95">
      <c r="A95" s="4" t="inlineStr">
        <is>
          <t>MF-M14</t>
        </is>
      </c>
      <c r="B95" s="4" t="inlineStr">
        <is>
          <t>Fehlende oder unzureichende Hebezeuge / Anschlagpunkte im Triebwerksraum</t>
        </is>
      </c>
      <c r="C95" s="4" t="inlineStr">
        <is>
          <t>Triebwerksraum – Ausstattung</t>
        </is>
      </c>
      <c r="D95" s="4" t="inlineStr">
        <is>
          <t>MF-M14-R1</t>
        </is>
      </c>
      <c r="E95" s="4" t="n">
        <v>100</v>
      </c>
      <c r="F95" s="4" t="inlineStr">
        <is>
          <t>5.52 Anschlagpunkte / Hebezeuge zum Anheben schwerer Teile vorhanden? = Nein</t>
        </is>
      </c>
      <c r="G95" s="4" t="inlineStr">
        <is>
          <t>Mittel</t>
        </is>
      </c>
      <c r="H95" s="4" t="inlineStr">
        <is>
          <t>HIGH_CONFIDENCE</t>
        </is>
      </c>
      <c r="I95" s="4" t="inlineStr"/>
      <c r="J95" s="4" t="inlineStr">
        <is>
          <t>Hebearbeiten nur nach gesondert festgelegtem Verfahren</t>
        </is>
      </c>
      <c r="K95" s="4" t="inlineStr">
        <is>
          <t>Anschlagpunkte nach DIN EN 81-20, 5.2.1.7 nachrüsten</t>
        </is>
      </c>
      <c r="L95" s="4" t="inlineStr">
        <is>
          <t>Regelprüfung 20.09.2026: Hoch auf Mittel. Die Gefahr entsteht erst, wenn tatsächlich schwere Teile gehoben werden und eine improvisierte Anschlagstelle versagt – ein zusätzliches Ereignis. Bedingung und beide Maßnahmen bleiben. Der Rang des Mangels hängt am Errichtungsregelwerk (1.28): Bei EN 81-1/-2 (1999–2016) und EN 81-20 ist das Fehlen von Anschlagpunkten ein Konformitätsmangel, bei TRA-Anlagen (vor 1999) Nachrüstbedarf nach Stand der Technik (EN 81-80). Fundstellen am Normtext nachgeschlagen: DIN EN 81-20 5.2.1.7 „Hebezeuge" (Anschlagpunkte mit Angabe der Tragfähigkeit in den Aufstellungsorten für Triebwerk und Steuerung, bei Bedarf auch im Schachtkopf) und EN 81-1:1998 6.3.7 „Hebezeuge für Aufzugsteile" (metallische Anschlagpunkte oder Haken mit Angabe der Tragfähigkeit an der Decke des Triebwerksraums oder an Trägern); die Tragfähigkeitsangabe selbst verlangt EN 81-1:1998 15.4.5. Freigegeben 2026-09-20.</t>
        </is>
      </c>
      <c r="M95" s="3" t="n"/>
      <c r="N95" s="3" t="n"/>
    </row>
    <row r="96">
      <c r="A96" s="2" t="inlineStr">
        <is>
          <t>MF-M14</t>
        </is>
      </c>
      <c r="B96" s="2" t="inlineStr">
        <is>
          <t>Fehlende oder unzureichende Hebezeuge / Anschlagpunkte im Triebwerksraum</t>
        </is>
      </c>
      <c r="C96" s="2" t="inlineStr">
        <is>
          <t>Triebwerksraum – Ausstattung</t>
        </is>
      </c>
      <c r="D96" s="2" t="inlineStr">
        <is>
          <t>MF-M14-R2</t>
        </is>
      </c>
      <c r="E96" s="2" t="n">
        <v>100</v>
      </c>
      <c r="F96" s="2" t="inlineStr">
        <is>
          <t>5.52a Tragfähigkeit der Anschlagpunkte angegeben? = Nein</t>
        </is>
      </c>
      <c r="G96" s="2" t="inlineStr">
        <is>
          <t>Mittel</t>
        </is>
      </c>
      <c r="H96" s="2" t="inlineStr">
        <is>
          <t>HIGH_CONFIDENCE</t>
        </is>
      </c>
      <c r="I96" s="2" t="inlineStr"/>
      <c r="J96" s="2" t="inlineStr">
        <is>
          <t>Vor Nutzung die Tragfähigkeit ermitteln lassen</t>
        </is>
      </c>
      <c r="K96" s="2" t="inlineStr">
        <is>
          <t>Tragfähigkeit dauerhaft kennzeichnen</t>
        </is>
      </c>
      <c r="L96" s="2" t="inlineStr">
        <is>
          <t>Regelprüfung 20.09.2026: Normbezug am Normtext bestätigt – DIN EN 81-20 5.2.1.7 verlangt die Angabe der Tragfähigkeit am Anschlagpunkt, EN 81-1:1998 15.4.5 in Verbindung mit 6.3.7 ebenso. Freigegeben 2026-09-20.</t>
        </is>
      </c>
      <c r="M96" s="3" t="n"/>
      <c r="N96" s="3" t="n"/>
    </row>
    <row r="97">
      <c r="A97" s="4" t="inlineStr">
        <is>
          <t>MF-M14</t>
        </is>
      </c>
      <c r="B97" s="4" t="inlineStr">
        <is>
          <t>Fehlende oder unzureichende Hebezeuge / Anschlagpunkte im Triebwerksraum</t>
        </is>
      </c>
      <c r="C97" s="4" t="inlineStr">
        <is>
          <t>Triebwerksraum – Ausstattung</t>
        </is>
      </c>
      <c r="D97" s="4" t="inlineStr">
        <is>
          <t>MF-M14-R3</t>
        </is>
      </c>
      <c r="E97" s="4" t="n">
        <v>100</v>
      </c>
      <c r="F97" s="4" t="inlineStr">
        <is>
          <t>5.52b Prüfung der Anschlagpunkte dokumentiert? = Nein</t>
        </is>
      </c>
      <c r="G97" s="4" t="inlineStr">
        <is>
          <t>Niedrig</t>
        </is>
      </c>
      <c r="H97" s="4" t="inlineStr">
        <is>
          <t>HIGH_CONFIDENCE</t>
        </is>
      </c>
      <c r="I97" s="4" t="inlineStr"/>
      <c r="J97" s="4" t="inlineStr">
        <is>
          <t>Prüfnachweis anfordern</t>
        </is>
      </c>
      <c r="K97" s="4" t="inlineStr">
        <is>
          <t>Anschlagpunkte in die wiederkehrende Prüfung aufnehmen und dokumentieren</t>
        </is>
      </c>
      <c r="L97" s="4" t="inlineStr">
        <is>
          <t>Regelprüfung 20.09.2026: Mittel auf Niedrig. Der fehlende Prüfnachweis ist ein Dokumentationsmangel ohne unmittelbaren Gefährdungsbeitrag – der Anschlagpunkt ist vorhanden und gekennzeichnet; mit Mittel stand er auf einer Stufe mit der fehlenden Tragfähigkeitsangabe, die einen echten Überlastbeitrag hat. Normbezug ist die Prüfpflicht nach BetrSichV § 10, nicht EN 81-20 5.2.1.7. Maßnahmen bleiben. Freigegeben 2026-09-20.</t>
        </is>
      </c>
      <c r="M97" s="3" t="n"/>
      <c r="N97" s="3" t="n"/>
    </row>
    <row r="98">
      <c r="A98" s="2" t="inlineStr">
        <is>
          <t>MF-M14</t>
        </is>
      </c>
      <c r="B98" s="2" t="inlineStr">
        <is>
          <t>Fehlende oder unzureichende Hebezeuge / Anschlagpunkte im Triebwerksraum</t>
        </is>
      </c>
      <c r="C98" s="2" t="inlineStr">
        <is>
          <t>Triebwerksraum – Ausstattung</t>
        </is>
      </c>
      <c r="D98" s="2" t="inlineStr">
        <is>
          <t>MF-M14-R4</t>
        </is>
      </c>
      <c r="E98" s="2" t="n">
        <v>1</v>
      </c>
      <c r="F98" s="2" t="inlineStr">
        <is>
          <t>5.52 Anschlagpunkte / Hebezeuge zum Anheben schwerer Teile vorhanden? beantwortet</t>
        </is>
      </c>
      <c r="G98" s="2" t="inlineStr">
        <is>
          <t>Kein Risiko</t>
        </is>
      </c>
      <c r="H98" s="2" t="inlineStr">
        <is>
          <t>HIGH_CONFIDENCE</t>
        </is>
      </c>
      <c r="I98" s="2" t="inlineStr"/>
      <c r="J98" s="2" t="inlineStr">
        <is>
          <t>Zustand erhalten; bei der wiederkehrenden Prüfung und der Betreiberkontrolle erneut prüfen</t>
        </is>
      </c>
      <c r="K98" s="2" t="inlineStr"/>
      <c r="L98" s="2" t="inlineStr">
        <is>
          <t>Kein Risiko: keine Mangelregel trifft zu, alle Pflichtfragen beantwortet. Freigegeben 2026-09-20.</t>
        </is>
      </c>
      <c r="M98" s="3" t="n"/>
      <c r="N98" s="3" t="n"/>
    </row>
    <row r="99">
      <c r="A99" s="4" t="inlineStr">
        <is>
          <t>MF-M15</t>
        </is>
      </c>
      <c r="B99" s="4" t="inlineStr">
        <is>
          <t>Fehlende oder unzureichende Einrichtung für Notbetrieb und Personenbefreiung</t>
        </is>
      </c>
      <c r="C99" s="4" t="inlineStr">
        <is>
          <t>Notruf und Personenbefreiung</t>
        </is>
      </c>
      <c r="D99" s="4" t="inlineStr">
        <is>
          <t>MF-M15-R1</t>
        </is>
      </c>
      <c r="E99" s="4" t="n">
        <v>100</v>
      </c>
      <c r="F99" s="4" t="inlineStr">
        <is>
          <t>5.53 Einrichtung für Notbetrieb / Personenbefreiung vorhanden (Handrad, Bremslüfthebel, Evakuierungseinheit, Notablass)? = Nein</t>
        </is>
      </c>
      <c r="G99" s="4" t="inlineStr">
        <is>
          <t>Hoch</t>
        </is>
      </c>
      <c r="H99" s="4" t="inlineStr">
        <is>
          <t>HIGH_CONFIDENCE</t>
        </is>
      </c>
      <c r="I99" s="4" t="inlineStr"/>
      <c r="J99" s="4" t="inlineStr">
        <is>
          <t>Befreiung ausschließlich durch die Wartungsfirma, Notrufkette festlegen und bekannt machen</t>
        </is>
      </c>
      <c r="K99" s="4" t="inlineStr">
        <is>
          <t>Evakuierungseinrichtung nachrüsten</t>
        </is>
      </c>
      <c r="L99" s="4" t="inlineStr">
        <is>
          <t>Freigegeben 2026-09-20.</t>
        </is>
      </c>
      <c r="M99" s="3" t="n"/>
      <c r="N99" s="3" t="n"/>
    </row>
    <row r="100">
      <c r="A100" s="2" t="inlineStr">
        <is>
          <t>MF-M15</t>
        </is>
      </c>
      <c r="B100" s="2" t="inlineStr">
        <is>
          <t>Fehlende oder unzureichende Einrichtung für Notbetrieb und Personenbefreiung</t>
        </is>
      </c>
      <c r="C100" s="2" t="inlineStr">
        <is>
          <t>Notruf und Personenbefreiung</t>
        </is>
      </c>
      <c r="D100" s="2" t="inlineStr">
        <is>
          <t>MF-M15-R2</t>
        </is>
      </c>
      <c r="E100" s="2" t="n">
        <v>100</v>
      </c>
      <c r="F100" s="2" t="inlineStr">
        <is>
          <t>5.53a Notbetriebseinrichtung gekennzeichnet (Fahrtrichtung, Bündigmarken)? = Nein</t>
        </is>
      </c>
      <c r="G100" s="2" t="inlineStr">
        <is>
          <t>Mittel</t>
        </is>
      </c>
      <c r="H100" s="2" t="inlineStr">
        <is>
          <t>HIGH_CONFIDENCE</t>
        </is>
      </c>
      <c r="I100" s="2" t="inlineStr"/>
      <c r="J100" s="2" t="inlineStr">
        <is>
          <t>Provisorisch kennzeichnen</t>
        </is>
      </c>
      <c r="K100" s="2" t="inlineStr">
        <is>
          <t>Dauerhafte Kennzeichnung nach Herstellerangabe anbringen</t>
        </is>
      </c>
      <c r="L100" s="2" t="inlineStr">
        <is>
          <t>Freigegeben 2026-09-20.</t>
        </is>
      </c>
      <c r="M100" s="3" t="n"/>
      <c r="N100" s="3" t="n"/>
    </row>
    <row r="101">
      <c r="A101" s="4" t="inlineStr">
        <is>
          <t>MF-M15</t>
        </is>
      </c>
      <c r="B101" s="4" t="inlineStr">
        <is>
          <t>Fehlende oder unzureichende Einrichtung für Notbetrieb und Personenbefreiung</t>
        </is>
      </c>
      <c r="C101" s="4" t="inlineStr">
        <is>
          <t>Notruf und Personenbefreiung</t>
        </is>
      </c>
      <c r="D101" s="4" t="inlineStr">
        <is>
          <t>MF-M15-R3</t>
        </is>
      </c>
      <c r="E101" s="4" t="n">
        <v>100</v>
      </c>
      <c r="F101" s="4" t="inlineStr">
        <is>
          <t>5.53b Beauftragte Personen in die Personenbefreiung eingewiesen? = Nein</t>
        </is>
      </c>
      <c r="G101" s="4" t="inlineStr">
        <is>
          <t>Mittel</t>
        </is>
      </c>
      <c r="H101" s="4" t="inlineStr">
        <is>
          <t>INFERRED</t>
        </is>
      </c>
      <c r="I101" s="4" t="inlineStr"/>
      <c r="J101" s="4" t="inlineStr">
        <is>
          <t>Personenbefreiung bis zur Einweisung nur durch das Wartungsunternehmen</t>
        </is>
      </c>
      <c r="K101" s="4" t="inlineStr">
        <is>
          <t>Beauftragte Personen anlagenbezogen in die Personenbefreiung einweisen und dokumentieren (BetrSichV Anh. 1 Nr. 4.1)</t>
        </is>
      </c>
      <c r="L101" s="4" t="inlineStr">
        <is>
          <t>Freigegeben 2026-09-20.</t>
        </is>
      </c>
      <c r="M101" s="3" t="n"/>
      <c r="N101" s="3" t="n"/>
    </row>
    <row r="102">
      <c r="A102" s="2" t="inlineStr">
        <is>
          <t>MF-M15</t>
        </is>
      </c>
      <c r="B102" s="2" t="inlineStr">
        <is>
          <t>Fehlende oder unzureichende Einrichtung für Notbetrieb und Personenbefreiung</t>
        </is>
      </c>
      <c r="C102" s="2" t="inlineStr">
        <is>
          <t>Notruf und Personenbefreiung</t>
        </is>
      </c>
      <c r="D102" s="2" t="inlineStr">
        <is>
          <t>MF-M15-R4</t>
        </is>
      </c>
      <c r="E102" s="2" t="n">
        <v>1</v>
      </c>
      <c r="F102" s="2" t="inlineStr">
        <is>
          <t>5.53 Einrichtung für Notbetrieb / Personenbefreiung vorhanden (Handrad, Bremslüfthebel, Evakuierungseinheit, Notablass)? beantwortet</t>
        </is>
      </c>
      <c r="G102" s="2" t="inlineStr">
        <is>
          <t>Kein Risiko</t>
        </is>
      </c>
      <c r="H102" s="2" t="inlineStr">
        <is>
          <t>HIGH_CONFIDENCE</t>
        </is>
      </c>
      <c r="I102" s="2" t="inlineStr"/>
      <c r="J102" s="2" t="inlineStr">
        <is>
          <t>Zustand erhalten; bei der wiederkehrenden Prüfung und der Betreiberkontrolle erneut prüfen</t>
        </is>
      </c>
      <c r="K102" s="2" t="inlineStr"/>
      <c r="L102" s="2" t="inlineStr">
        <is>
          <t>Kein Risiko: keine Mangelregel trifft zu, alle Pflichtfragen beantwortet. Freigegeben 2026-09-20.</t>
        </is>
      </c>
      <c r="M102" s="3" t="n"/>
      <c r="N102" s="3" t="n"/>
    </row>
    <row r="103">
      <c r="A103" s="4" t="inlineStr">
        <is>
          <t>MF-M16</t>
        </is>
      </c>
      <c r="B103" s="4" t="inlineStr">
        <is>
          <t>Fehlender Potenzialausgleich / mangelhafte bauseitige Elektroinstallation</t>
        </is>
      </c>
      <c r="C103" s="4" t="inlineStr">
        <is>
          <t>Steuerung und Elektrik</t>
        </is>
      </c>
      <c r="D103" s="4" t="inlineStr">
        <is>
          <t>MF-M16-R1</t>
        </is>
      </c>
      <c r="E103" s="4" t="n">
        <v>100</v>
      </c>
      <c r="F103" s="4" t="inlineStr">
        <is>
          <t>5.38 Hauptpotenzialausgleich an der Aufzugskonstruktion vorhanden? = Nein</t>
        </is>
      </c>
      <c r="G103" s="4" t="inlineStr">
        <is>
          <t>Mittel</t>
        </is>
      </c>
      <c r="H103" s="4" t="inlineStr">
        <is>
          <t>HIGH_CONFIDENCE</t>
        </is>
      </c>
      <c r="I103" s="4" t="inlineStr"/>
      <c r="J103" s="4" t="inlineStr">
        <is>
          <t>Elektrofachkraft mit der Prüfung der Schutzmaßnahme beauftragen</t>
        </is>
      </c>
      <c r="K103" s="4" t="inlineStr">
        <is>
          <t>Hauptpotenzialausgleich an Führungsschienen, Maschinenrahmen und Schaltschrank herstellen (DIN VDE 0100-410)</t>
        </is>
      </c>
      <c r="L103" s="4" t="inlineStr">
        <is>
          <t>Entschieden 2026-09-02: K-M06.</t>
        </is>
      </c>
      <c r="M103" s="3" t="n"/>
      <c r="N103" s="3" t="n"/>
    </row>
    <row r="104">
      <c r="A104" s="2" t="inlineStr">
        <is>
          <t>MF-M16</t>
        </is>
      </c>
      <c r="B104" s="2" t="inlineStr">
        <is>
          <t>Fehlender Potenzialausgleich / mangelhafte bauseitige Elektroinstallation</t>
        </is>
      </c>
      <c r="C104" s="2" t="inlineStr">
        <is>
          <t>Steuerung und Elektrik</t>
        </is>
      </c>
      <c r="D104" s="2" t="inlineStr">
        <is>
          <t>MF-M16-R2</t>
        </is>
      </c>
      <c r="E104" s="2" t="n">
        <v>100</v>
      </c>
      <c r="F104" s="2" t="inlineStr">
        <is>
          <t>5.36 Bauseitige Elektroinstallation im Raum (Steckdosen, Schalter, Leitungen) unbeschädigt? = Nein</t>
        </is>
      </c>
      <c r="G104" s="2" t="inlineStr">
        <is>
          <t>Hoch</t>
        </is>
      </c>
      <c r="H104" s="2" t="inlineStr">
        <is>
          <t>HIGH_CONFIDENCE</t>
        </is>
      </c>
      <c r="I104" s="2" t="inlineStr"/>
      <c r="J104" s="2" t="inlineStr">
        <is>
          <t>Betroffene Betriebsmittel abschalten und gegen Benutzung sichern</t>
        </is>
      </c>
      <c r="K104" s="2" t="inlineStr">
        <is>
          <t>Instandsetzung durch eine Elektrofachkraft</t>
        </is>
      </c>
      <c r="L104" s="2" t="inlineStr">
        <is>
          <t>Freigegeben 2026-09-20.</t>
        </is>
      </c>
      <c r="M104" s="3" t="n"/>
      <c r="N104" s="3" t="n"/>
    </row>
    <row r="105">
      <c r="A105" s="4" t="inlineStr">
        <is>
          <t>MF-M16</t>
        </is>
      </c>
      <c r="B105" s="4" t="inlineStr">
        <is>
          <t>Fehlender Potenzialausgleich / mangelhafte bauseitige Elektroinstallation</t>
        </is>
      </c>
      <c r="C105" s="4" t="inlineStr">
        <is>
          <t>Steuerung und Elektrik</t>
        </is>
      </c>
      <c r="D105" s="4" t="inlineStr">
        <is>
          <t>MF-M16-R3</t>
        </is>
      </c>
      <c r="E105" s="4" t="n">
        <v>100</v>
      </c>
      <c r="F105" s="4" t="inlineStr">
        <is>
          <t>5.37 Prüfung der BAUSEITIGEN ortsfesten elektrischen Anlage des Raumes nachgewiesen (Zuleitung, Steckdosen, Raumbeleuchtung)? = Nein</t>
        </is>
      </c>
      <c r="G105" s="4" t="inlineStr">
        <is>
          <t>Mittel</t>
        </is>
      </c>
      <c r="H105" s="4" t="inlineStr">
        <is>
          <t>HIGH_CONFIDENCE</t>
        </is>
      </c>
      <c r="I105" s="4" t="inlineStr"/>
      <c r="J105" s="4" t="inlineStr">
        <is>
          <t>Prüfnachweis der bauseitigen Installation beim Betreiber anfordern</t>
        </is>
      </c>
      <c r="K105" s="4" t="inlineStr">
        <is>
          <t>Wiederkehrende Prüfung der bauseitigen ortsfesten Anlage (Zuleitung, Steckdosen, Raumbeleuchtung) nach DGUV Vorschrift 3 durch den Betreiber veranlassen</t>
        </is>
      </c>
      <c r="L105" s="4" t="inlineStr">
        <is>
          <t>Prüfbericht 20.09.2026: Abgrenzung zu 5.35 (Aufzugsanlage) geschärft. Freigegeben 2026-09-20.</t>
        </is>
      </c>
      <c r="M105" s="3" t="n"/>
      <c r="N105" s="3" t="n"/>
    </row>
    <row r="106">
      <c r="A106" s="2" t="inlineStr">
        <is>
          <t>MF-M16</t>
        </is>
      </c>
      <c r="B106" s="2" t="inlineStr">
        <is>
          <t>Fehlender Potenzialausgleich / mangelhafte bauseitige Elektroinstallation</t>
        </is>
      </c>
      <c r="C106" s="2" t="inlineStr">
        <is>
          <t>Steuerung und Elektrik</t>
        </is>
      </c>
      <c r="D106" s="2" t="inlineStr">
        <is>
          <t>MF-M16-R4</t>
        </is>
      </c>
      <c r="E106" s="2" t="n">
        <v>1</v>
      </c>
      <c r="F106" s="2" t="inlineStr">
        <is>
          <t>5.38 Hauptpotenzialausgleich an der Aufzugskonstruktion vorhanden? beantwortet</t>
        </is>
      </c>
      <c r="G106" s="2" t="inlineStr">
        <is>
          <t>Kein Risiko</t>
        </is>
      </c>
      <c r="H106" s="2" t="inlineStr">
        <is>
          <t>HIGH_CONFIDENCE</t>
        </is>
      </c>
      <c r="I106" s="2" t="inlineStr"/>
      <c r="J106" s="2" t="inlineStr">
        <is>
          <t>Zustand erhalten; bei der wiederkehrenden Prüfung und der Betreiberkontrolle erneut prüfen</t>
        </is>
      </c>
      <c r="K106" s="2" t="inlineStr"/>
      <c r="L106" s="2" t="inlineStr">
        <is>
          <t>Kein Risiko: keine Mangelregel trifft zu, alle Pflichtfragen beantwortet. Freigegeben 2026-09-20.</t>
        </is>
      </c>
      <c r="M106" s="3" t="n"/>
      <c r="N106" s="3" t="n"/>
    </row>
    <row r="107">
      <c r="A107" s="4" t="inlineStr">
        <is>
          <t>MF-M17</t>
        </is>
      </c>
      <c r="B107" s="4" t="inlineStr">
        <is>
          <t>Fehlende Kennzeichnung elektrischer Einrichtungen, Stromlaufplan, Beschilderung und Betriebsanleitung</t>
        </is>
      </c>
      <c r="C107" s="4" t="inlineStr">
        <is>
          <t>Beschilderung und Unterlagen</t>
        </is>
      </c>
      <c r="D107" s="4" t="inlineStr">
        <is>
          <t>MF-M17-R2</t>
        </is>
      </c>
      <c r="E107" s="4" t="n">
        <v>100</v>
      </c>
      <c r="F107" s="4" t="inlineStr">
        <is>
          <t>5.54 Elektrische Einrichtungen gekennzeichnet (Zuordnung im Notfall möglich)? = Nein</t>
        </is>
      </c>
      <c r="G107" s="4" t="inlineStr">
        <is>
          <t>Mittel</t>
        </is>
      </c>
      <c r="H107" s="4" t="inlineStr">
        <is>
          <t>HIGH_CONFIDENCE</t>
        </is>
      </c>
      <c r="I107" s="4" t="inlineStr"/>
      <c r="J107" s="4" t="inlineStr">
        <is>
          <t>Anlagenteile provisorisch kennzeichnen</t>
        </is>
      </c>
      <c r="K107" s="4" t="inlineStr">
        <is>
          <t>Dauerhafte Kennzeichnung aller elektrischen Einrichtungen herstellen</t>
        </is>
      </c>
      <c r="L107" s="4" t="inlineStr">
        <is>
          <t>Freigegeben 2026-09-20.</t>
        </is>
      </c>
      <c r="M107" s="3" t="n"/>
      <c r="N107" s="3" t="n"/>
    </row>
    <row r="108">
      <c r="A108" s="2" t="inlineStr">
        <is>
          <t>MF-M17</t>
        </is>
      </c>
      <c r="B108" s="2" t="inlineStr">
        <is>
          <t>Fehlende Kennzeichnung elektrischer Einrichtungen, Stromlaufplan, Beschilderung und Betriebsanleitung</t>
        </is>
      </c>
      <c r="C108" s="2" t="inlineStr">
        <is>
          <t>Beschilderung und Unterlagen</t>
        </is>
      </c>
      <c r="D108" s="2" t="inlineStr">
        <is>
          <t>MF-M17-R3</t>
        </is>
      </c>
      <c r="E108" s="2" t="n">
        <v>100</v>
      </c>
      <c r="F108" s="2" t="inlineStr">
        <is>
          <t>5.55 Stromlaufplan / Schaltunterlagen in [„Vorhanden, aber unrichtig oder unvollständig", „Nicht vorhanden"]</t>
        </is>
      </c>
      <c r="G108" s="2" t="inlineStr">
        <is>
          <t>Mittel</t>
        </is>
      </c>
      <c r="H108" s="2" t="inlineStr">
        <is>
          <t>HIGH_CONFIDENCE</t>
        </is>
      </c>
      <c r="I108" s="2" t="inlineStr"/>
      <c r="J108" s="2" t="inlineStr">
        <is>
          <t>Vor Arbeiten an Steuerung und Antrieb Anlage freischalten und gegen Wiedereinschalten sichern; Schaltunterlagen bei Betreiber bzw. Wartungsunternehmen anfordern</t>
        </is>
      </c>
      <c r="K108" s="2" t="inlineStr">
        <is>
          <t>Stromlaufplan und Schaltunterlagen anlagenbezogen beschaffen oder neu erstellen lassen und im Triebwerksraum hinterlegen</t>
        </is>
      </c>
      <c r="L108" s="2" t="inlineStr">
        <is>
          <t>Regelprüfung 20.09.2026: Beide Maßnahmen ersetzt. „Arbeiten an der Elektrik nur durch Elektrofachkraft" wiederholte nur die ohnehin geltende Rechtslage (DGUV V3) und war damit keine zusätzliche Schutzmaßnahme; die Mittelfristmaßnahme enthielt eine aus der entfallenen R1 übernommene DGUV-V3-Prüfung, die mit der Ursache „fehlender Stromlaufplan" nichts zu tun hat und die Zuständigkeit (5.35/5.37) verwischt. Bedingung und Stufe bleiben. Die Beschaffung der Schaltunterlagen bleibt organisatorisch [ORGA] – der Prüfentwurf hatte sie als [TECH] vorgeschlagen; ein Dokument ist keine technische Schutzmaßnahme. Freigegeben 2026-09-20.</t>
        </is>
      </c>
      <c r="M108" s="3" t="n"/>
      <c r="N108" s="3" t="n"/>
    </row>
    <row r="109">
      <c r="A109" s="4" t="inlineStr">
        <is>
          <t>MF-M17</t>
        </is>
      </c>
      <c r="B109" s="4" t="inlineStr">
        <is>
          <t>Fehlende Kennzeichnung elektrischer Einrichtungen, Stromlaufplan, Beschilderung und Betriebsanleitung</t>
        </is>
      </c>
      <c r="C109" s="4" t="inlineStr">
        <is>
          <t>Beschilderung und Unterlagen</t>
        </is>
      </c>
      <c r="D109" s="4" t="inlineStr">
        <is>
          <t>MF-M17-R4</t>
        </is>
      </c>
      <c r="E109" s="4" t="n">
        <v>100</v>
      </c>
      <c r="F109" s="4" t="inlineStr">
        <is>
          <t>5.56 Beschilderung vollständig (Schutzraum, Notablass, Entriegelungsschlüssel, Verhalten bei Personenbefreiung)? = Nein</t>
        </is>
      </c>
      <c r="G109" s="4" t="inlineStr">
        <is>
          <t>Mittel</t>
        </is>
      </c>
      <c r="H109" s="4" t="inlineStr">
        <is>
          <t>HIGH_CONFIDENCE</t>
        </is>
      </c>
      <c r="I109" s="4" t="inlineStr"/>
      <c r="J109" s="4" t="inlineStr">
        <is>
          <t>Provisorisch kennzeichnen</t>
        </is>
      </c>
      <c r="K109" s="4" t="inlineStr">
        <is>
          <t>Beschilderung nach DIN EN 81-20, Abschnitt 7 vervollständigen</t>
        </is>
      </c>
      <c r="L109" s="4" t="inlineStr">
        <is>
          <t>Freigegeben 2026-09-20.</t>
        </is>
      </c>
      <c r="M109" s="3" t="n"/>
      <c r="N109" s="3" t="n"/>
    </row>
    <row r="110">
      <c r="A110" s="2" t="inlineStr">
        <is>
          <t>MF-M17</t>
        </is>
      </c>
      <c r="B110" s="2" t="inlineStr">
        <is>
          <t>Fehlende Kennzeichnung elektrischer Einrichtungen, Stromlaufplan, Beschilderung und Betriebsanleitung</t>
        </is>
      </c>
      <c r="C110" s="2" t="inlineStr">
        <is>
          <t>Beschilderung und Unterlagen</t>
        </is>
      </c>
      <c r="D110" s="2" t="inlineStr">
        <is>
          <t>MF-M17-R5</t>
        </is>
      </c>
      <c r="E110" s="2" t="n">
        <v>100</v>
      </c>
      <c r="F110" s="2" t="inlineStr">
        <is>
          <t>5.57 Betriebs-/Bedienungsanleitung der Anlage in [„Vorhanden, aber nicht aktuell oder unvollständig", „Nicht vorhanden"]</t>
        </is>
      </c>
      <c r="G110" s="2" t="inlineStr">
        <is>
          <t>Mittel</t>
        </is>
      </c>
      <c r="H110" s="2" t="inlineStr">
        <is>
          <t>HIGH_CONFIDENCE</t>
        </is>
      </c>
      <c r="I110" s="2" t="inlineStr"/>
      <c r="J110" s="2" t="inlineStr">
        <is>
          <t>Vorhandene Unterlagen sichten</t>
        </is>
      </c>
      <c r="K110" s="2" t="inlineStr">
        <is>
          <t>Aktuelle Betriebsanleitung anfordern und an der Anlage hinterlegen</t>
        </is>
      </c>
      <c r="L110" s="2" t="inlineStr">
        <is>
          <t>Freigegeben 2026-09-20.</t>
        </is>
      </c>
      <c r="M110" s="3" t="n"/>
      <c r="N110" s="3" t="n"/>
    </row>
    <row r="111">
      <c r="A111" s="4" t="inlineStr">
        <is>
          <t>MF-M17</t>
        </is>
      </c>
      <c r="B111" s="4" t="inlineStr">
        <is>
          <t>Fehlende Kennzeichnung elektrischer Einrichtungen, Stromlaufplan, Beschilderung und Betriebsanleitung</t>
        </is>
      </c>
      <c r="C111" s="4" t="inlineStr">
        <is>
          <t>Beschilderung und Unterlagen</t>
        </is>
      </c>
      <c r="D111" s="4" t="inlineStr">
        <is>
          <t>MF-M17-R6</t>
        </is>
      </c>
      <c r="E111" s="4" t="n">
        <v>1</v>
      </c>
      <c r="F111" s="4" t="inlineStr">
        <is>
          <t>5.54 Elektrische Einrichtungen gekennzeichnet (Zuordnung im Notfall möglich)? beantwortet</t>
        </is>
      </c>
      <c r="G111" s="4" t="inlineStr">
        <is>
          <t>Kein Risiko</t>
        </is>
      </c>
      <c r="H111" s="4" t="inlineStr">
        <is>
          <t>HIGH_CONFIDENCE</t>
        </is>
      </c>
      <c r="I111" s="4" t="inlineStr"/>
      <c r="J111" s="4" t="inlineStr">
        <is>
          <t>Zustand erhalten; bei der wiederkehrenden Prüfung und der Betreiberkontrolle erneut prüfen</t>
        </is>
      </c>
      <c r="K111" s="4" t="inlineStr"/>
      <c r="L111" s="4" t="inlineStr">
        <is>
          <t>Kein Risiko: keine Mangelregel trifft zu, alle Pflichtfragen beantwortet. Freigegeben 2026-09-20.</t>
        </is>
      </c>
      <c r="M111" s="3" t="n"/>
      <c r="N111" s="3" t="n"/>
    </row>
    <row r="112">
      <c r="A112" s="2" t="inlineStr">
        <is>
          <t>MF-M18</t>
        </is>
      </c>
      <c r="B112" s="2" t="inlineStr">
        <is>
          <t>Fehlende oder unzulängliche Sprechverbindung zwischen Fahrkorb und Triebwerksraum</t>
        </is>
      </c>
      <c r="C112" s="2" t="inlineStr">
        <is>
          <t>Notruf und Personenbefreiung</t>
        </is>
      </c>
      <c r="D112" s="2" t="inlineStr">
        <is>
          <t>MF-M18-R1</t>
        </is>
      </c>
      <c r="E112" s="2" t="n">
        <v>100</v>
      </c>
      <c r="F112" s="2" t="inlineStr">
        <is>
          <t>5.58 Sprechverbindung zwischen Fahrkorb und Triebwerksraum/Steuerung = „Keine Sprechverbindung"</t>
        </is>
      </c>
      <c r="G112" s="2" t="inlineStr">
        <is>
          <t>Mittel</t>
        </is>
      </c>
      <c r="H112" s="2" t="inlineStr">
        <is>
          <t>HIGH_CONFIDENCE</t>
        </is>
      </c>
      <c r="I112" s="2" t="inlineStr"/>
      <c r="J112" s="2" t="inlineStr">
        <is>
          <t>Arbeiten nur mit zweiter Person und vereinbarten Signalen durchführen</t>
        </is>
      </c>
      <c r="K112" s="2" t="inlineStr">
        <is>
          <t>Sprechstelle zwischen Fahrkorb und Triebwerksraum nachrüsten</t>
        </is>
      </c>
      <c r="L112" s="2" t="inlineStr">
        <is>
          <t>Regelprüfung 20.09.2026: Hoch auf Mittel. Die fehlende Sprechverbindung gefährdet das Wartungspersonal erst, wenn zusätzlich im Schacht gearbeitet wird und jemand unabgestimmt handelt; der eigentliche Schutz ist die Stoppeinrichtung, nicht die Sprechstelle. Dass die Regel selbst eine vollwertige organisatorische Kompensation nennt, bestätigt das. Zudem stellt die Norm die Anforderung unterhalb 30 m Förderhöhe gar nicht. Bedingung und beide Maßnahmen bleiben; die Anwendbarkeit über die Option „Verständigung ohne Hilfsmittel möglich" bleibt ebenfalls – eine Kopplung an &gt; 30 m würde Anlagen unter 30 m ohne jede Verständigungsmöglichkeit herausfallen lassen (fail-open). Freigegeben 2026-09-20.</t>
        </is>
      </c>
      <c r="M112" s="3" t="n"/>
      <c r="N112" s="3" t="n"/>
    </row>
    <row r="113">
      <c r="A113" s="4" t="inlineStr">
        <is>
          <t>MF-M18</t>
        </is>
      </c>
      <c r="B113" s="4" t="inlineStr">
        <is>
          <t>Fehlende oder unzulängliche Sprechverbindung zwischen Fahrkorb und Triebwerksraum</t>
        </is>
      </c>
      <c r="C113" s="4" t="inlineStr">
        <is>
          <t>Notruf und Personenbefreiung</t>
        </is>
      </c>
      <c r="D113" s="4" t="inlineStr">
        <is>
          <t>MF-M18-R2</t>
        </is>
      </c>
      <c r="E113" s="4" t="n">
        <v>100</v>
      </c>
      <c r="F113" s="4" t="inlineStr">
        <is>
          <t>5.58 Sprechverbindung zwischen Fahrkorb und Triebwerksraum/Steuerung = „Vorhanden, Verständigung nur eingeschränkt"</t>
        </is>
      </c>
      <c r="G113" s="4" t="inlineStr">
        <is>
          <t>Mittel</t>
        </is>
      </c>
      <c r="H113" s="4" t="inlineStr">
        <is>
          <t>HIGH_CONFIDENCE</t>
        </is>
      </c>
      <c r="I113" s="4" t="inlineStr"/>
      <c r="J113" s="4" t="inlineStr">
        <is>
          <t>Bei Arbeiten eine zweite Person zur Verständigung einsetzen</t>
        </is>
      </c>
      <c r="K113" s="4" t="inlineStr">
        <is>
          <t>Sprechverbindung instand setzen oder erneuern</t>
        </is>
      </c>
      <c r="L113" s="4" t="inlineStr">
        <is>
          <t>Freigegeben 2026-09-20.</t>
        </is>
      </c>
      <c r="M113" s="3" t="n"/>
      <c r="N113" s="3" t="n"/>
    </row>
    <row r="114">
      <c r="A114" s="2" t="inlineStr">
        <is>
          <t>MF-M18</t>
        </is>
      </c>
      <c r="B114" s="2" t="inlineStr">
        <is>
          <t>Fehlende oder unzulängliche Sprechverbindung zwischen Fahrkorb und Triebwerksraum</t>
        </is>
      </c>
      <c r="C114" s="2" t="inlineStr">
        <is>
          <t>Notruf und Personenbefreiung</t>
        </is>
      </c>
      <c r="D114" s="2" t="inlineStr">
        <is>
          <t>MF-M18-R3</t>
        </is>
      </c>
      <c r="E114" s="2" t="n">
        <v>1</v>
      </c>
      <c r="F114" s="2" t="inlineStr">
        <is>
          <t>5.58 Sprechverbindung zwischen Fahrkorb und Triebwerksraum/Steuerung beantwortet</t>
        </is>
      </c>
      <c r="G114" s="2" t="inlineStr">
        <is>
          <t>Kein Risiko</t>
        </is>
      </c>
      <c r="H114" s="2" t="inlineStr">
        <is>
          <t>HIGH_CONFIDENCE</t>
        </is>
      </c>
      <c r="I114" s="2" t="inlineStr"/>
      <c r="J114" s="2" t="inlineStr">
        <is>
          <t>Zustand erhalten; bei der wiederkehrenden Prüfung und der Betreiberkontrolle erneut prüfen</t>
        </is>
      </c>
      <c r="K114" s="2" t="inlineStr"/>
      <c r="L114" s="2" t="inlineStr">
        <is>
          <t>Kein Risiko: keine Mangelregel trifft zu, alle Pflichtfragen beantwortet. Freigegeben 2026-09-20.</t>
        </is>
      </c>
      <c r="M114" s="3" t="n"/>
      <c r="N114" s="3" t="n"/>
    </row>
    <row r="115">
      <c r="A115" s="4" t="inlineStr">
        <is>
          <t>MF-M19</t>
        </is>
      </c>
      <c r="B115" s="4" t="inlineStr">
        <is>
          <t>Aufzugsfremde Einrichtungen im Triebwerksraum</t>
        </is>
      </c>
      <c r="C115" s="4" t="inlineStr">
        <is>
          <t>Triebwerksraum – Ausstattung</t>
        </is>
      </c>
      <c r="D115" s="4" t="inlineStr">
        <is>
          <t>MF-M19-R1</t>
        </is>
      </c>
      <c r="E115" s="4" t="n">
        <v>100</v>
      </c>
      <c r="F115" s="4" t="inlineStr">
        <is>
          <t>5.59 Triebwerksraum frei von aufzugsfremden Einrichtungen (Lager, Leitungen, Geräte Dritter)? = Nein</t>
        </is>
      </c>
      <c r="G115" s="4" t="inlineStr">
        <is>
          <t>Mittel</t>
        </is>
      </c>
      <c r="H115" s="4" t="inlineStr">
        <is>
          <t>INFERRED</t>
        </is>
      </c>
      <c r="I115" s="4" t="inlineStr"/>
      <c r="J115" s="4" t="inlineStr">
        <is>
          <t>Fremdnutzung mit dem Betreiber klären, Zugang nur für Aufzugspersonal</t>
        </is>
      </c>
      <c r="K115" s="4" t="inlineStr">
        <is>
          <t>Aufzugsfremde Einrichtungen entfernen; Raum ausschließlich für den Aufzug nutzen</t>
        </is>
      </c>
      <c r="L115" s="4" t="inlineStr">
        <is>
          <t>Freigegeben 2026-09-20.</t>
        </is>
      </c>
      <c r="M115" s="3" t="n"/>
      <c r="N115" s="3" t="n"/>
    </row>
    <row r="116">
      <c r="A116" s="2" t="inlineStr">
        <is>
          <t>MF-M19</t>
        </is>
      </c>
      <c r="B116" s="2" t="inlineStr">
        <is>
          <t>Aufzugsfremde Einrichtungen im Triebwerksraum</t>
        </is>
      </c>
      <c r="C116" s="2" t="inlineStr">
        <is>
          <t>Triebwerksraum – Ausstattung</t>
        </is>
      </c>
      <c r="D116" s="2" t="inlineStr">
        <is>
          <t>MF-M19-R2</t>
        </is>
      </c>
      <c r="E116" s="2" t="n">
        <v>1</v>
      </c>
      <c r="F116" s="2" t="inlineStr">
        <is>
          <t>5.59 Triebwerksraum frei von aufzugsfremden Einrichtungen (Lager, Leitungen, Geräte Dritter)? beantwortet</t>
        </is>
      </c>
      <c r="G116" s="2" t="inlineStr">
        <is>
          <t>Kein Risiko</t>
        </is>
      </c>
      <c r="H116" s="2" t="inlineStr">
        <is>
          <t>HIGH_CONFIDENCE</t>
        </is>
      </c>
      <c r="I116" s="2" t="inlineStr"/>
      <c r="J116" s="2" t="inlineStr">
        <is>
          <t>Zustand erhalten; bei der wiederkehrenden Prüfung und der Betreiberkontrolle erneut prüfen</t>
        </is>
      </c>
      <c r="K116" s="2" t="inlineStr"/>
      <c r="L116" s="2" t="inlineStr">
        <is>
          <t>Kein Risiko: keine Mangelregel trifft zu, alle Pflichtfragen beantwortet. Freigegeben 2026-09-20.</t>
        </is>
      </c>
      <c r="M116" s="3" t="n"/>
      <c r="N116" s="3" t="n"/>
    </row>
    <row r="117">
      <c r="A117" s="4" t="inlineStr">
        <is>
          <t>MF-M20</t>
        </is>
      </c>
      <c r="B117" s="4" t="inlineStr">
        <is>
          <t>Fehlender Not-Halt im zusätzlichen Rollenraum</t>
        </is>
      </c>
      <c r="C117" s="4" t="inlineStr">
        <is>
          <t>Steuerung und Elektrik</t>
        </is>
      </c>
      <c r="D117" s="4" t="inlineStr">
        <is>
          <t>MF-M20-R1</t>
        </is>
      </c>
      <c r="E117" s="4" t="n">
        <v>100</v>
      </c>
      <c r="F117" s="4" t="inlineStr">
        <is>
          <t>5.24 Notbremsschalter im zusätzlichen Rollenraum vorhanden? = Nein</t>
        </is>
      </c>
      <c r="G117" s="4" t="inlineStr">
        <is>
          <t>Hoch</t>
        </is>
      </c>
      <c r="H117" s="4" t="inlineStr">
        <is>
          <t>INFERRED</t>
        </is>
      </c>
      <c r="I117" s="4" t="inlineStr"/>
      <c r="J117" s="4" t="inlineStr">
        <is>
          <t>Arbeiten im Rollenraum nur bei freigeschalteter und gegen Wiedereinschalten gesicherter Anlage</t>
        </is>
      </c>
      <c r="K117" s="4" t="inlineStr">
        <is>
          <t>Notbremsschalter (Stoppeinrichtung) im Rollenraum nachrüsten (DIN EN 81-20 5.12.1.11)</t>
        </is>
      </c>
      <c r="L117" s="4" t="inlineStr">
        <is>
          <t>Blaupause Schindler M049 (f132 Rollenraum). [Prüfbericht: B13 – Maßnahme auf den Rollenraum bezogen] Freigegeben 2026-09-20.</t>
        </is>
      </c>
      <c r="M117" s="3" t="n"/>
      <c r="N117" s="3" t="n"/>
    </row>
    <row r="118">
      <c r="A118" s="2" t="inlineStr">
        <is>
          <t>MF-M20</t>
        </is>
      </c>
      <c r="B118" s="2" t="inlineStr">
        <is>
          <t>Fehlender Not-Halt im zusätzlichen Rollenraum</t>
        </is>
      </c>
      <c r="C118" s="2" t="inlineStr">
        <is>
          <t>Steuerung und Elektrik</t>
        </is>
      </c>
      <c r="D118" s="2" t="inlineStr">
        <is>
          <t>MF-M20-R2</t>
        </is>
      </c>
      <c r="E118" s="2" t="n">
        <v>1</v>
      </c>
      <c r="F118" s="2" t="inlineStr">
        <is>
          <t>5.24 Notbremsschalter im zusätzlichen Rollenraum vorhanden? beantwortet</t>
        </is>
      </c>
      <c r="G118" s="2" t="inlineStr">
        <is>
          <t>Kein Risiko</t>
        </is>
      </c>
      <c r="H118" s="2" t="inlineStr">
        <is>
          <t>HIGH_CONFIDENCE</t>
        </is>
      </c>
      <c r="I118" s="2" t="inlineStr"/>
      <c r="J118" s="2" t="inlineStr">
        <is>
          <t>Zustand erhalten; bei der wiederkehrenden Prüfung und der Betreiberkontrolle erneut prüfen</t>
        </is>
      </c>
      <c r="K118" s="2" t="inlineStr"/>
      <c r="L118" s="2" t="inlineStr">
        <is>
          <t>Kein Risiko: keine Mangelregel trifft zu, alle Pflichtfragen beantwortet. Freigegeben 2026-09-20.</t>
        </is>
      </c>
      <c r="M118" s="3" t="n"/>
      <c r="N118" s="3" t="n"/>
    </row>
    <row r="119">
      <c r="A119" s="4" t="inlineStr">
        <is>
          <t>MF-M21</t>
        </is>
      </c>
      <c r="B119" s="4" t="inlineStr">
        <is>
          <t>Fehlende oder unwirksame Notendschalter</t>
        </is>
      </c>
      <c r="C119" s="4" t="inlineStr">
        <is>
          <t>Sicherheitskomponenten</t>
        </is>
      </c>
      <c r="D119" s="4" t="inlineStr">
        <is>
          <t>MF-M21-R1</t>
        </is>
      </c>
      <c r="E119" s="4" t="n">
        <v>300</v>
      </c>
      <c r="F119" s="4" t="inlineStr">
        <is>
          <t>6.14 Notendschalter (Endbegrenzung hinter den Endhaltestellen) = „Nicht vorhanden oder unwirksam (überbrückt, verstellt)"</t>
        </is>
      </c>
      <c r="G119" s="4" t="inlineStr">
        <is>
          <t>Hoch</t>
        </is>
      </c>
      <c r="H119" s="4" t="inlineStr">
        <is>
          <t>HIGH_CONFIDENCE</t>
        </is>
      </c>
      <c r="I119" s="4" t="inlineStr"/>
      <c r="J119" s="4" t="inlineStr">
        <is>
          <t>Anlage bis zur Instandsetzung stillsetzen; Überbrückungen entfernen</t>
        </is>
      </c>
      <c r="K119" s="4" t="inlineStr">
        <is>
          <t>Notendschalter nach EN 81-20 5.12.2 einbauen und Wirksamkeit vor Pufferberührung nachweisen</t>
        </is>
      </c>
      <c r="L119" s="4" t="inlineStr">
        <is>
          <t>Freigegeben 2026-09-04.</t>
        </is>
      </c>
      <c r="M119" s="3" t="n"/>
      <c r="N119" s="3" t="n"/>
    </row>
    <row r="120">
      <c r="A120" s="2" t="inlineStr">
        <is>
          <t>MF-M21</t>
        </is>
      </c>
      <c r="B120" s="2" t="inlineStr">
        <is>
          <t>Fehlende oder unwirksame Notendschalter</t>
        </is>
      </c>
      <c r="C120" s="2" t="inlineStr">
        <is>
          <t>Sicherheitskomponenten</t>
        </is>
      </c>
      <c r="D120" s="2" t="inlineStr">
        <is>
          <t>MF-M21-R2</t>
        </is>
      </c>
      <c r="E120" s="2" t="n">
        <v>250</v>
      </c>
      <c r="F120" s="2" t="inlineStr">
        <is>
          <t>6.14b Bei mittelbarer Betätigung (Seil, Riemen, Kette): Bruch oder Schlaffwerden hält das Triebwerk über eine elektrische Sicherheitseinrichtung an? = Nein</t>
        </is>
      </c>
      <c r="G120" s="2" t="inlineStr">
        <is>
          <t>Hoch</t>
        </is>
      </c>
      <c r="H120" s="2" t="inlineStr">
        <is>
          <t>HIGH_CONFIDENCE</t>
        </is>
      </c>
      <c r="I120" s="2" t="inlineStr"/>
      <c r="J120" s="2" t="inlineStr">
        <is>
          <t>Zustand von Seil, Riemen oder Kette der Notendschalter-Betätigung prüfen</t>
        </is>
      </c>
      <c r="K120" s="2" t="inlineStr">
        <is>
          <t>Bruch und Schlaffwerden der Verbindung über eine elektrische Sicherheitseinrichtung überwachen (EN 81-20 5.12.2.2.3 b)</t>
        </is>
      </c>
      <c r="L120" s="2" t="inlineStr">
        <is>
          <t>Freigegeben 2026-09-04.</t>
        </is>
      </c>
      <c r="M120" s="3" t="n"/>
      <c r="N120" s="3" t="n"/>
    </row>
    <row r="121">
      <c r="A121" s="4" t="inlineStr">
        <is>
          <t>MF-M21</t>
        </is>
      </c>
      <c r="B121" s="4" t="inlineStr">
        <is>
          <t>Fehlende oder unwirksame Notendschalter</t>
        </is>
      </c>
      <c r="C121" s="4" t="inlineStr">
        <is>
          <t>Sicherheitskomponenten</t>
        </is>
      </c>
      <c r="D121" s="4" t="inlineStr">
        <is>
          <t>MF-M21-R3</t>
        </is>
      </c>
      <c r="E121" s="4" t="n">
        <v>200</v>
      </c>
      <c r="F121" s="4" t="inlineStr">
        <is>
          <t>6.14a Getrennte Betätigungseinrichtungen für das betriebsmäßige Anhalten und für die Notendschalter? = Nein</t>
        </is>
      </c>
      <c r="G121" s="4" t="inlineStr">
        <is>
          <t>Mittel</t>
        </is>
      </c>
      <c r="H121" s="4" t="inlineStr">
        <is>
          <t>HIGH_CONFIDENCE</t>
        </is>
      </c>
      <c r="I121" s="4" t="inlineStr"/>
      <c r="J121" s="4" t="inlineStr">
        <is>
          <t>Betriebsmäßiges Anhalten und Notendschalter bei der Prüfung getrennt nachweisen</t>
        </is>
      </c>
      <c r="K121" s="4" t="inlineStr">
        <is>
          <t>Getrennte Betätigungseinrichtungen herstellen (EN 81-20 5.12.2.2.1)</t>
        </is>
      </c>
      <c r="L121" s="4" t="inlineStr">
        <is>
          <t>Freigegeben 2026-09-04.</t>
        </is>
      </c>
      <c r="M121" s="3" t="n"/>
      <c r="N121" s="3" t="n"/>
    </row>
    <row r="122">
      <c r="A122" s="2" t="inlineStr">
        <is>
          <t>MF-M21</t>
        </is>
      </c>
      <c r="B122" s="2" t="inlineStr">
        <is>
          <t>Fehlende oder unwirksame Notendschalter</t>
        </is>
      </c>
      <c r="C122" s="2" t="inlineStr">
        <is>
          <t>Sicherheitskomponenten</t>
        </is>
      </c>
      <c r="D122" s="2" t="inlineStr">
        <is>
          <t>MF-M21-R4</t>
        </is>
      </c>
      <c r="E122" s="2" t="n">
        <v>100</v>
      </c>
      <c r="F122" s="2" t="inlineStr">
        <is>
          <t>6.14 Notendschalter (Endbegrenzung hinter den Endhaltestellen) = „Vorhanden, Wirksamkeit nicht nachgewiesen"</t>
        </is>
      </c>
      <c r="G122" s="2" t="inlineStr">
        <is>
          <t>Mittel</t>
        </is>
      </c>
      <c r="H122" s="2" t="inlineStr">
        <is>
          <t>HIGH_CONFIDENCE</t>
        </is>
      </c>
      <c r="I122" s="2" t="inlineStr"/>
      <c r="J122" s="2" t="inlineStr">
        <is>
          <t>Wirksamkeit der Notendschalter bei der nächsten Prüfung feststellen</t>
        </is>
      </c>
      <c r="K122" s="2" t="inlineStr">
        <is>
          <t>Funktionsprüfung der Notendschalter in den Wartungsplan aufnehmen und dokumentieren</t>
        </is>
      </c>
      <c r="L122" s="2" t="inlineStr">
        <is>
          <t>Freigegeben 2026-09-04.</t>
        </is>
      </c>
      <c r="M122" s="3" t="n"/>
      <c r="N122" s="3" t="n"/>
    </row>
    <row r="123">
      <c r="A123" s="4" t="inlineStr">
        <is>
          <t>MF-M21</t>
        </is>
      </c>
      <c r="B123" s="4" t="inlineStr">
        <is>
          <t>Fehlende oder unwirksame Notendschalter</t>
        </is>
      </c>
      <c r="C123" s="4" t="inlineStr">
        <is>
          <t>Sicherheitskomponenten</t>
        </is>
      </c>
      <c r="D123" s="4" t="inlineStr">
        <is>
          <t>MF-M21-R5</t>
        </is>
      </c>
      <c r="E123" s="4" t="n">
        <v>1</v>
      </c>
      <c r="F123" s="4" t="inlineStr">
        <is>
          <t>6.14 Notendschalter (Endbegrenzung hinter den Endhaltestellen) beantwortet</t>
        </is>
      </c>
      <c r="G123" s="4" t="inlineStr">
        <is>
          <t>Kein Risiko</t>
        </is>
      </c>
      <c r="H123" s="4" t="inlineStr">
        <is>
          <t>HIGH_CONFIDENCE</t>
        </is>
      </c>
      <c r="I123" s="4" t="inlineStr"/>
      <c r="J123" s="4" t="inlineStr">
        <is>
          <t>Zustand erhalten; bei der wiederkehrenden Prüfung und der Betreiberkontrolle erneut prüfen</t>
        </is>
      </c>
      <c r="K123" s="4" t="inlineStr"/>
      <c r="L123" s="4" t="inlineStr">
        <is>
          <t>Kein Risiko: keine Mangelregel trifft zu, alle Pflichtfragen beantwortet. Freigegeben 2026-09-04.</t>
        </is>
      </c>
      <c r="M123" s="3" t="n"/>
      <c r="N123" s="3" t="n"/>
    </row>
    <row r="124">
      <c r="A124" s="2" t="inlineStr">
        <is>
          <t>MF-T01</t>
        </is>
      </c>
      <c r="B124" s="2" t="inlineStr">
        <is>
          <t>Unsichere Verriegelung der Schachttüren</t>
        </is>
      </c>
      <c r="C124" s="2" t="inlineStr">
        <is>
          <t>Türen und Verriegelung</t>
        </is>
      </c>
      <c r="D124" s="2" t="inlineStr">
        <is>
          <t>MF-T01-R1</t>
        </is>
      </c>
      <c r="E124" s="2" t="n">
        <v>100</v>
      </c>
      <c r="F124" s="2" t="inlineStr">
        <is>
          <t>7.1 Schachttürverriegelung vom Sicherheitskreis elektrisch überwacht? = Nein</t>
        </is>
      </c>
      <c r="G124" s="2" t="inlineStr">
        <is>
          <t>Hoch</t>
        </is>
      </c>
      <c r="H124" s="2" t="inlineStr">
        <is>
          <t>HIGH_CONFIDENCE</t>
        </is>
      </c>
      <c r="I124" s="2" t="inlineStr"/>
      <c r="J124" s="2" t="inlineStr">
        <is>
          <t>Aufzug ausschalten und sichern</t>
        </is>
      </c>
      <c r="K124" s="2" t="inlineStr">
        <is>
          <t>Ersatz aller Schachttür-Verriegelungen durch normgerechte Verriegelungen</t>
        </is>
      </c>
      <c r="L124" s="2" t="inlineStr">
        <is>
          <t>Freigegeben 2026-09-20.</t>
        </is>
      </c>
      <c r="M124" s="3" t="n"/>
      <c r="N124" s="3" t="n"/>
    </row>
    <row r="125">
      <c r="A125" s="4" t="inlineStr">
        <is>
          <t>MF-T01</t>
        </is>
      </c>
      <c r="B125" s="4" t="inlineStr">
        <is>
          <t>Unsichere Verriegelung der Schachttüren</t>
        </is>
      </c>
      <c r="C125" s="4" t="inlineStr">
        <is>
          <t>Türen und Verriegelung</t>
        </is>
      </c>
      <c r="D125" s="4" t="inlineStr">
        <is>
          <t>MF-T01-R2</t>
        </is>
      </c>
      <c r="E125" s="4" t="n">
        <v>100</v>
      </c>
      <c r="F125" s="4" t="inlineStr">
        <is>
          <t>7.2 Fehlschließsicherung / Nachschließeinrichtung an den Schachttüren vorhanden? = Nein</t>
        </is>
      </c>
      <c r="G125" s="4" t="inlineStr">
        <is>
          <t>Mittel</t>
        </is>
      </c>
      <c r="H125" s="4" t="inlineStr">
        <is>
          <t>HIGH_CONFIDENCE</t>
        </is>
      </c>
      <c r="I125" s="4" t="inlineStr"/>
      <c r="J125" s="4" t="inlineStr">
        <is>
          <t>Schließ- und Verriegelungsfunktion aller Schachttüren prüfen; Beauftragte Person auf offen stehende Schachttüren hinweisen</t>
        </is>
      </c>
      <c r="K125" s="4" t="inlineStr">
        <is>
          <t>Riegel mit Fehlschließeinrichtung nachrüsten</t>
        </is>
      </c>
      <c r="L125" s="4" t="inlineStr">
        <is>
          <t>[Prüfbericht: H11 – Sofortmaßnahme ergänzt] Freigegeben 2026-09-20.</t>
        </is>
      </c>
      <c r="M125" s="3" t="n"/>
      <c r="N125" s="3" t="n"/>
    </row>
    <row r="126">
      <c r="A126" s="2" t="inlineStr">
        <is>
          <t>MF-T01</t>
        </is>
      </c>
      <c r="B126" s="2" t="inlineStr">
        <is>
          <t>Unsichere Verriegelung der Schachttüren</t>
        </is>
      </c>
      <c r="C126" s="2" t="inlineStr">
        <is>
          <t>Türen und Verriegelung</t>
        </is>
      </c>
      <c r="D126" s="2" t="inlineStr">
        <is>
          <t>MF-T01-R3</t>
        </is>
      </c>
      <c r="E126" s="2" t="n">
        <v>1</v>
      </c>
      <c r="F126" s="2" t="inlineStr">
        <is>
          <t>7.1 Schachttürverriegelung vom Sicherheitskreis elektrisch überwacht? beantwortet</t>
        </is>
      </c>
      <c r="G126" s="2" t="inlineStr">
        <is>
          <t>Kein Risiko</t>
        </is>
      </c>
      <c r="H126" s="2" t="inlineStr">
        <is>
          <t>HIGH_CONFIDENCE</t>
        </is>
      </c>
      <c r="I126" s="2" t="inlineStr"/>
      <c r="J126" s="2" t="inlineStr">
        <is>
          <t>Zustand erhalten; bei der wiederkehrenden Prüfung und der Betreiberkontrolle erneut prüfen</t>
        </is>
      </c>
      <c r="K126" s="2" t="inlineStr"/>
      <c r="L126" s="2" t="inlineStr">
        <is>
          <t>Kein Risiko: keine Mangelregel trifft zu, alle Pflichtfragen beantwortet. Freigegeben 2026-09-20.</t>
        </is>
      </c>
      <c r="M126" s="3" t="n"/>
      <c r="N126" s="3" t="n"/>
    </row>
    <row r="127">
      <c r="A127" s="4" t="inlineStr">
        <is>
          <t>MF-T02</t>
        </is>
      </c>
      <c r="B127" s="4" t="inlineStr">
        <is>
          <t>Fehlende oder schlecht erreichbare Notentriegelung der Schachttüren</t>
        </is>
      </c>
      <c r="C127" s="4" t="inlineStr">
        <is>
          <t>Türen und Verriegelung</t>
        </is>
      </c>
      <c r="D127" s="4" t="inlineStr">
        <is>
          <t>MF-T02-R1</t>
        </is>
      </c>
      <c r="E127" s="4" t="n">
        <v>100</v>
      </c>
      <c r="F127" s="4" t="inlineStr">
        <is>
          <t>7.6 Passender Entriegelungsschlüssel (Dreikant) für die Personenbefreiung vor Ort hinterlegt? = Nein</t>
        </is>
      </c>
      <c r="G127" s="4" t="inlineStr">
        <is>
          <t>Mittel</t>
        </is>
      </c>
      <c r="H127" s="4" t="inlineStr">
        <is>
          <t>INFERRED</t>
        </is>
      </c>
      <c r="I127" s="4" t="inlineStr"/>
      <c r="J127" s="4" t="inlineStr">
        <is>
          <t>Betreiber unterrichten; Personenbefreiung bis zur Hinterlegung des Schlüssels ausschließlich über Notruf und Aufzugsunternehmen sicherstellen und im Notfallplan festhalten</t>
        </is>
      </c>
      <c r="K127" s="4" t="inlineStr">
        <is>
          <t>Entriegelungsschlüssel beschaffen, an der Anlage hinterlegen (Schlüsseltresor) und die Schlüsselverwaltung für die Personenbefreiung in der Betriebsanweisung regeln</t>
        </is>
      </c>
      <c r="L127" s="4" t="inlineStr">
        <is>
          <t>Regelprüfung 20.09.2026: Hoch auf Mittel: Die Notentriegelung ist vorhanden, die Befreiung möglich – sie verzögert sich, weil der Schlüssel nicht vor Ort liegt; Aufzugsunternehmen und Feuerwehr führen Dreikantschlüssel mit. Gleichzustufen mit dem völligen Fehlen der Notentriegelung war unverhältnismäßig. Freigegeben 2026-09-20.</t>
        </is>
      </c>
      <c r="M127" s="3" t="n"/>
      <c r="N127" s="3" t="n"/>
    </row>
    <row r="128">
      <c r="A128" s="2" t="inlineStr">
        <is>
          <t>MF-T02</t>
        </is>
      </c>
      <c r="B128" s="2" t="inlineStr">
        <is>
          <t>Fehlende oder schlecht erreichbare Notentriegelung der Schachttüren</t>
        </is>
      </c>
      <c r="C128" s="2" t="inlineStr">
        <is>
          <t>Türen und Verriegelung</t>
        </is>
      </c>
      <c r="D128" s="2" t="inlineStr">
        <is>
          <t>MF-T02-R2</t>
        </is>
      </c>
      <c r="E128" s="2" t="n">
        <v>100</v>
      </c>
      <c r="F128" s="2" t="inlineStr">
        <is>
          <t>7.5 Notentriegelung an allen Schachttüren vorhanden? = Nein</t>
        </is>
      </c>
      <c r="G128" s="2" t="inlineStr">
        <is>
          <t>Hoch</t>
        </is>
      </c>
      <c r="H128" s="2" t="inlineStr">
        <is>
          <t>HIGH_CONFIDENCE</t>
        </is>
      </c>
      <c r="I128" s="2" t="inlineStr"/>
      <c r="J128" s="2" t="inlineStr">
        <is>
          <t>Personenbefreiung bis zur Nachrüstung nur durch das Aufzugsfachunternehmen; betroffene Haltestellen im Notfallplan kennzeichnen</t>
        </is>
      </c>
      <c r="K128" s="2" t="inlineStr">
        <is>
          <t>Notentriegelungen nachrüsten</t>
        </is>
      </c>
      <c r="L128" s="2" t="inlineStr">
        <is>
          <t>[Prüfbericht: H11 – Sofortmaßnahme ergänzt] Frühere Klärung (vor der Änderung entschieden): K-K06 Freigegeben 2026-09-20.</t>
        </is>
      </c>
      <c r="M128" s="3" t="n"/>
      <c r="N128" s="3" t="n"/>
    </row>
    <row r="129">
      <c r="A129" s="4" t="inlineStr">
        <is>
          <t>MF-T02</t>
        </is>
      </c>
      <c r="B129" s="4" t="inlineStr">
        <is>
          <t>Fehlende oder schlecht erreichbare Notentriegelung der Schachttüren</t>
        </is>
      </c>
      <c r="C129" s="4" t="inlineStr">
        <is>
          <t>Türen und Verriegelung</t>
        </is>
      </c>
      <c r="D129" s="4" t="inlineStr">
        <is>
          <t>MF-T02-R3</t>
        </is>
      </c>
      <c r="E129" s="4" t="n">
        <v>100</v>
      </c>
      <c r="F129" s="4" t="inlineStr">
        <is>
          <t>7.7 Notentriegelung erreichbar (max. 2,00 m über Boden im Türblatt bzw. 2,70 m im Rahmen mit langem Schlüssel)? = Nein</t>
        </is>
      </c>
      <c r="G129" s="4" t="inlineStr">
        <is>
          <t>Mittel</t>
        </is>
      </c>
      <c r="H129" s="4" t="inlineStr">
        <is>
          <t>INFERRED</t>
        </is>
      </c>
      <c r="I129" s="4" t="inlineStr"/>
      <c r="J129" s="4" t="inlineStr">
        <is>
          <t>Leiter/Tritt für die Personenbefreiung bereithalten, Beauftragte unterweisen</t>
        </is>
      </c>
      <c r="K129" s="4" t="inlineStr">
        <is>
          <t>Notentriegelung in erreichbarer Höhe (max. 2,00 m) nachrüsten oder langen Entriegelungsschlüssel hinterlegen</t>
        </is>
      </c>
      <c r="L129" s="4" t="inlineStr">
        <is>
          <t>Freigegeben 2026-09-20.</t>
        </is>
      </c>
      <c r="M129" s="3" t="n"/>
      <c r="N129" s="3" t="n"/>
    </row>
    <row r="130">
      <c r="A130" s="2" t="inlineStr">
        <is>
          <t>MF-T02</t>
        </is>
      </c>
      <c r="B130" s="2" t="inlineStr">
        <is>
          <t>Fehlende oder schlecht erreichbare Notentriegelung der Schachttüren</t>
        </is>
      </c>
      <c r="C130" s="2" t="inlineStr">
        <is>
          <t>Türen und Verriegelung</t>
        </is>
      </c>
      <c r="D130" s="2" t="inlineStr">
        <is>
          <t>MF-T02-R4</t>
        </is>
      </c>
      <c r="E130" s="2" t="n">
        <v>1</v>
      </c>
      <c r="F130" s="2" t="inlineStr">
        <is>
          <t>7.5 Notentriegelung an allen Schachttüren vorhanden? beantwortet</t>
        </is>
      </c>
      <c r="G130" s="2" t="inlineStr">
        <is>
          <t>Kein Risiko</t>
        </is>
      </c>
      <c r="H130" s="2" t="inlineStr">
        <is>
          <t>HIGH_CONFIDENCE</t>
        </is>
      </c>
      <c r="I130" s="2" t="inlineStr"/>
      <c r="J130" s="2" t="inlineStr">
        <is>
          <t>Zustand erhalten; bei der wiederkehrenden Prüfung und der Betreiberkontrolle erneut prüfen</t>
        </is>
      </c>
      <c r="K130" s="2" t="inlineStr"/>
      <c r="L130" s="2" t="inlineStr">
        <is>
          <t>Kein Risiko: keine Mangelregel trifft zu, alle Pflichtfragen beantwortet. Freigegeben 2026-09-20.</t>
        </is>
      </c>
      <c r="M130" s="3" t="n"/>
      <c r="N130" s="3" t="n"/>
    </row>
    <row r="131">
      <c r="A131" s="4" t="inlineStr">
        <is>
          <t>MF-T03</t>
        </is>
      </c>
      <c r="B131" s="4" t="inlineStr">
        <is>
          <t>Schachttüren nicht selbstschließend</t>
        </is>
      </c>
      <c r="C131" s="4" t="inlineStr">
        <is>
          <t>Türen und Verriegelung</t>
        </is>
      </c>
      <c r="D131" s="4" t="inlineStr">
        <is>
          <t>MF-T03-R1</t>
        </is>
      </c>
      <c r="E131" s="4" t="n">
        <v>100</v>
      </c>
      <c r="F131" s="4" t="inlineStr">
        <is>
          <t>7.4 Schließt die Schachttür nach einer Notentriegelung selbsttätig? = Nein</t>
        </is>
      </c>
      <c r="G131" s="4" t="inlineStr">
        <is>
          <t>Hoch</t>
        </is>
      </c>
      <c r="H131" s="4" t="inlineStr">
        <is>
          <t>HIGH_CONFIDENCE</t>
        </is>
      </c>
      <c r="I131" s="4" t="inlineStr"/>
      <c r="J131" s="4" t="inlineStr">
        <is>
          <t>Nach jeder Notentriegelung Schachttür von Hand schließen und Verriegelung prüfen; Personenbefreiung nur durch unterwiesene Personen</t>
        </is>
      </c>
      <c r="K131" s="4" t="inlineStr">
        <is>
          <t>Schachttür umrüsten</t>
        </is>
      </c>
      <c r="L131" s="4" t="inlineStr">
        <is>
          <t>[Prüfbericht: H11 – Sofortmaßnahme ergänzt] Freigegeben 2026-09-20.</t>
        </is>
      </c>
      <c r="M131" s="3" t="n"/>
      <c r="N131" s="3" t="n"/>
    </row>
    <row r="132">
      <c r="A132" s="2" t="inlineStr">
        <is>
          <t>MF-T03</t>
        </is>
      </c>
      <c r="B132" s="2" t="inlineStr">
        <is>
          <t>Schachttüren nicht selbstschließend</t>
        </is>
      </c>
      <c r="C132" s="2" t="inlineStr">
        <is>
          <t>Türen und Verriegelung</t>
        </is>
      </c>
      <c r="D132" s="2" t="inlineStr">
        <is>
          <t>MF-T03-R2</t>
        </is>
      </c>
      <c r="E132" s="2" t="n">
        <v>100</v>
      </c>
      <c r="F132" s="2" t="inlineStr">
        <is>
          <t>7.3 Schachttüren selbstschließend (Feder oder Gewicht)? = Nein</t>
        </is>
      </c>
      <c r="G132" s="2" t="inlineStr">
        <is>
          <t>Mittel</t>
        </is>
      </c>
      <c r="H132" s="2" t="inlineStr">
        <is>
          <t>HIGH_CONFIDENCE</t>
        </is>
      </c>
      <c r="I132" s="2" t="inlineStr"/>
      <c r="J132" s="2" t="inlineStr">
        <is>
          <t>Schachttüren nach jeder Personenbefreiung auf Schließ- und Verriegelungsstellung prüfen; Beauftragte Person entsprechend unterweisen</t>
        </is>
      </c>
      <c r="K132" s="2" t="inlineStr">
        <is>
          <t>Selbstschließung nachrüsten</t>
        </is>
      </c>
      <c r="L132" s="2" t="inlineStr">
        <is>
          <t>[Prüfbericht 16.09.2026: konkrete Sofortmaßnahme statt „Vorsicht“] Freigegeben 2026-09-20.</t>
        </is>
      </c>
      <c r="M132" s="3" t="n"/>
      <c r="N132" s="3" t="n"/>
    </row>
    <row r="133">
      <c r="A133" s="4" t="inlineStr">
        <is>
          <t>MF-T03</t>
        </is>
      </c>
      <c r="B133" s="4" t="inlineStr">
        <is>
          <t>Schachttüren nicht selbstschließend</t>
        </is>
      </c>
      <c r="C133" s="4" t="inlineStr">
        <is>
          <t>Türen und Verriegelung</t>
        </is>
      </c>
      <c r="D133" s="4" t="inlineStr">
        <is>
          <t>MF-T03-R3</t>
        </is>
      </c>
      <c r="E133" s="4" t="n">
        <v>1</v>
      </c>
      <c r="F133" s="4" t="inlineStr">
        <is>
          <t>7.3 Schachttüren selbstschließend (Feder oder Gewicht)? beantwortet</t>
        </is>
      </c>
      <c r="G133" s="4" t="inlineStr">
        <is>
          <t>Kein Risiko</t>
        </is>
      </c>
      <c r="H133" s="4" t="inlineStr">
        <is>
          <t>HIGH_CONFIDENCE</t>
        </is>
      </c>
      <c r="I133" s="4" t="inlineStr"/>
      <c r="J133" s="4" t="inlineStr">
        <is>
          <t>Zustand erhalten; bei der wiederkehrenden Prüfung und der Betreiberkontrolle erneut prüfen</t>
        </is>
      </c>
      <c r="K133" s="4" t="inlineStr"/>
      <c r="L133" s="4" t="inlineStr">
        <is>
          <t>Kein Risiko: keine Mangelregel trifft zu, alle Pflichtfragen beantwortet. Freigegeben 2026-09-20.</t>
        </is>
      </c>
      <c r="M133" s="3" t="n"/>
      <c r="N133" s="3" t="n"/>
    </row>
    <row r="134">
      <c r="A134" s="2" t="inlineStr">
        <is>
          <t>MF-T04</t>
        </is>
      </c>
      <c r="B134" s="2" t="inlineStr">
        <is>
          <t>Ungeeignetes Glas oder fehlender Einzugsschutz an Türen mit Glas</t>
        </is>
      </c>
      <c r="C134" s="2" t="inlineStr">
        <is>
          <t>Türen und Verriegelung</t>
        </is>
      </c>
      <c r="D134" s="2" t="inlineStr">
        <is>
          <t>MF-T04-R5</t>
        </is>
      </c>
      <c r="E134" s="2" t="n">
        <v>100</v>
      </c>
      <c r="F134" s="2" t="inlineStr">
        <is>
          <t>(7.8 Glaseinsätze in Schacht-/Fahrkorbtüren aus normgerechtem Glas (Verbundsicherheitsglas nach EN 81-20 5.3.5.3)? = Nein UND 7.9 Ist das nicht normgerechte Glas ausschließlich Drahtglas (Gitterglas)? = Nein)</t>
        </is>
      </c>
      <c r="G134" s="2" t="inlineStr">
        <is>
          <t>Hoch</t>
        </is>
      </c>
      <c r="H134" s="2" t="inlineStr">
        <is>
          <t>HIGH_CONFIDENCE</t>
        </is>
      </c>
      <c r="I134" s="2" t="inlineStr"/>
      <c r="J134" s="2" t="inlineStr">
        <is>
          <t>Anlage zur Gefahrenabwehr abschalten!</t>
        </is>
      </c>
      <c r="K134" s="2" t="inlineStr">
        <is>
          <t>Normgerechtes Glas (z.B. VSG) einbauen oder verschließen und Anwesenheitsanzeige nachrüsten.</t>
        </is>
      </c>
      <c r="L134" s="2" t="inlineStr">
        <is>
          <t>Regelprüfung 20.09.2026: Stufe, Priorität, Bedingung und Maßnahmen bleiben; berichtigt ist der Text von 7.9. Die Bedingung war fail-open: 7.8 und 7.9 sind zwei unabhängige Fragen zur Anlage insgesamt. Waren Drahtglas UND eine weitere nicht normgerechte Glasart verbaut, ergab sich 7.8 = Nein und 7.9 = Ja, diese Regel griff nicht mehr, und es blieb bei Niedrig – der Hoch-Befund für das tatsächlich gefährliche Glas verschwand. 7.9 lautet jetzt „ausschließlich Drahtglas?"; die Mischkonstellation ergibt damit 7.8 = Nein und 7.9 = Nein und fällt fail-closed auf diese Regel. Eine Umstellung auf eine Einfachauswahl „Glasart" wurde verworfen – sie hätte R3 und die Kein-Risiko-Regel R4 mitgerissen und zwei Fragen-IDs destabilisiert. [Prüfbericht: B06 – Drahtglas ausgenommen, damit die Niedrig-Regel (TRBS 3121 Anh. 1 Nr. 9) greift] Freigegeben 2026-09-20.</t>
        </is>
      </c>
      <c r="M134" s="3" t="n"/>
      <c r="N134" s="3" t="n"/>
    </row>
    <row r="135">
      <c r="A135" s="4" t="inlineStr">
        <is>
          <t>MF-T04</t>
        </is>
      </c>
      <c r="B135" s="4" t="inlineStr">
        <is>
          <t>Ungeeignetes Glas oder fehlender Einzugsschutz an Türen mit Glas</t>
        </is>
      </c>
      <c r="C135" s="4" t="inlineStr">
        <is>
          <t>Türen und Verriegelung</t>
        </is>
      </c>
      <c r="D135" s="4" t="inlineStr">
        <is>
          <t>MF-T04-R6</t>
        </is>
      </c>
      <c r="E135" s="4" t="n">
        <v>100</v>
      </c>
      <c r="F135" s="4" t="inlineStr">
        <is>
          <t>7.8a Glaseinsatz beschädigt, lose oder nicht sicher befestigt? = Ja</t>
        </is>
      </c>
      <c r="G135" s="4" t="inlineStr">
        <is>
          <t>Hoch</t>
        </is>
      </c>
      <c r="H135" s="4" t="inlineStr">
        <is>
          <t>HIGH_CONFIDENCE</t>
        </is>
      </c>
      <c r="I135" s="4" t="inlineStr"/>
      <c r="J135" s="4" t="inlineStr">
        <is>
          <t>Anlage zur Gefahrenabwehr abschalten!</t>
        </is>
      </c>
      <c r="K135" s="4" t="inlineStr">
        <is>
          <t>Normgerechtes Glas (z.B. VSG) einbauen oder verschließen und Anwesenheitsanzeige nachrüsten.</t>
        </is>
      </c>
      <c r="L135" s="4" t="inlineStr">
        <is>
          <t>[Prüfbericht: B06 – neu: beschädigtes oder loses Glas unabhängig von der Glasart Hoch] Freigegeben 2026-09-20.</t>
        </is>
      </c>
      <c r="M135" s="3" t="n"/>
      <c r="N135" s="3" t="n"/>
    </row>
    <row r="136">
      <c r="A136" s="2" t="inlineStr">
        <is>
          <t>MF-T04</t>
        </is>
      </c>
      <c r="B136" s="2" t="inlineStr">
        <is>
          <t>Ungeeignetes Glas oder fehlender Einzugsschutz an Türen mit Glas</t>
        </is>
      </c>
      <c r="C136" s="2" t="inlineStr">
        <is>
          <t>Türen und Verriegelung</t>
        </is>
      </c>
      <c r="D136" s="2" t="inlineStr">
        <is>
          <t>MF-T04-R8</t>
        </is>
      </c>
      <c r="E136" s="2" t="n">
        <v>100</v>
      </c>
      <c r="F136" s="2" t="inlineStr">
        <is>
          <t>(7.9a Verglaste Türen als kraftbetätigte Schiebetüren ausgeführt? = Ja UND 7.9b Glasflächen in den kraftbetätigten Schiebetüren größer als ein Sichtfenster nach DIN EN 81-20 5.3.7.2.1 a) (Breite über 150 mm)? = Ja UND 7.10 Schutz gegen Einziehen von Kinderhänden an Glas-Schiebetüren vorhanden (Sensorleiste, Abstand, Beschichtung)? = Nein)</t>
        </is>
      </c>
      <c r="G136" s="2" t="inlineStr">
        <is>
          <t>Hoch</t>
        </is>
      </c>
      <c r="H136" s="2" t="inlineStr">
        <is>
          <t>HIGH_CONFIDENCE</t>
        </is>
      </c>
      <c r="I136" s="2" t="inlineStr"/>
      <c r="J136" s="2" t="inlineStr">
        <is>
          <t>Aufzug nur für eingeschränkten Personenkreis freigeben und für sonstigen Personentransport sperren</t>
        </is>
      </c>
      <c r="K136" s="2" t="inlineStr">
        <is>
          <t>Schutzmaßnahme gegen Einzug von Kinderhänden nachrüsten</t>
        </is>
      </c>
      <c r="L136" s="2" t="inlineStr">
        <is>
          <t>Regelprüfung 20.09.2026: Bedingung um die neue Frage 7.9b ergänzt. 7.9a fragte nur, ob verglaste Türen kraftbetätigte Schiebetüren sind; eine solche Tür mit bloßem Sichtfenster löste damit Hoch und eine Betriebseinschränkung aus, obwohl DIN EN 81-20 5.3.6.2.2.1 i) den Einzugsschutz nur für Glasscheiben verlangt, die größer sind als die Sichtfenster nach 5.3.7.2 (Breite über 150 mm nach 5.3.7.2.1 a) 4)). 7.9a wurde bewusst NICHT um ein zweites Merkmal erweitert – eine Ja/Nein-Frage mit zwei Merkmalen wird uneindeutig beantwortet, und 7.9a steuert zugleich die Sichtbarkeit von 7.10. Stufe Hoch, Priorität und beide Maßnahmen bleiben: Das Einziehen einer Kinderhand führt unmittelbar zu schweren Verletzungen, und EN 81-80 führt den Einzugsschutz als sicherheitsrelevante Nachrüstung. [Prüfbericht: Prüfbericht 16.09.2026 – Einzugsschutz nur bei kraftbetätigten Schiebetüren; Glasfestigkeit getrennt] Freigegeben 2026-09-20.</t>
        </is>
      </c>
      <c r="M136" s="3" t="n"/>
      <c r="N136" s="3" t="n"/>
    </row>
    <row r="137">
      <c r="A137" s="4" t="inlineStr">
        <is>
          <t>MF-T04</t>
        </is>
      </c>
      <c r="B137" s="4" t="inlineStr">
        <is>
          <t>Ungeeignetes Glas oder fehlender Einzugsschutz an Türen mit Glas</t>
        </is>
      </c>
      <c r="C137" s="4" t="inlineStr">
        <is>
          <t>Türen und Verriegelung</t>
        </is>
      </c>
      <c r="D137" s="4" t="inlineStr">
        <is>
          <t>MF-T04-R3</t>
        </is>
      </c>
      <c r="E137" s="4" t="n">
        <v>100</v>
      </c>
      <c r="F137" s="4" t="inlineStr">
        <is>
          <t>7.9 Ist das nicht normgerechte Glas ausschließlich Drahtglas (Gitterglas)? = Ja</t>
        </is>
      </c>
      <c r="G137" s="4" t="inlineStr">
        <is>
          <t>Niedrig</t>
        </is>
      </c>
      <c r="H137" s="4" t="inlineStr">
        <is>
          <t>HIGH_CONFIDENCE</t>
        </is>
      </c>
      <c r="I137" s="4" t="inlineStr"/>
      <c r="J137" s="4" t="inlineStr">
        <is>
          <t>Häufige Kontrolle durch Aufzugswärter</t>
        </is>
      </c>
      <c r="K137" s="4" t="inlineStr">
        <is>
          <t>Normgerechtes Glas (z.B. VSG) einbauen oder verschließen und Anwesenheitsanzeige nachrüsten.</t>
        </is>
      </c>
      <c r="L137" s="4" t="inlineStr">
        <is>
          <t>TRBS 3121 Anh. 1 Nr. 9: Risiko bei intaktem, sicher befestigtem Drahtglas ausdrücklich niedrig (App K9: gelb). Entschieden 2026-09-02: K-T01.</t>
        </is>
      </c>
      <c r="M137" s="3" t="n"/>
      <c r="N137" s="3" t="n"/>
    </row>
    <row r="138">
      <c r="A138" s="2" t="inlineStr">
        <is>
          <t>MF-T04</t>
        </is>
      </c>
      <c r="B138" s="2" t="inlineStr">
        <is>
          <t>Ungeeignetes Glas oder fehlender Einzugsschutz an Türen mit Glas</t>
        </is>
      </c>
      <c r="C138" s="2" t="inlineStr">
        <is>
          <t>Türen und Verriegelung</t>
        </is>
      </c>
      <c r="D138" s="2" t="inlineStr">
        <is>
          <t>MF-T04-R4</t>
        </is>
      </c>
      <c r="E138" s="2" t="n">
        <v>1</v>
      </c>
      <c r="F138" s="2" t="inlineStr">
        <is>
          <t>7.8 Glaseinsätze in Schacht-/Fahrkorbtüren aus normgerechtem Glas (Verbundsicherheitsglas nach EN 81-20 5.3.5.3)? beantwortet</t>
        </is>
      </c>
      <c r="G138" s="2" t="inlineStr">
        <is>
          <t>Kein Risiko</t>
        </is>
      </c>
      <c r="H138" s="2" t="inlineStr">
        <is>
          <t>HIGH_CONFIDENCE</t>
        </is>
      </c>
      <c r="I138" s="2" t="inlineStr"/>
      <c r="J138" s="2" t="inlineStr">
        <is>
          <t>Zustand erhalten; bei der wiederkehrenden Prüfung und der Betreiberkontrolle erneut prüfen</t>
        </is>
      </c>
      <c r="K138" s="2" t="inlineStr"/>
      <c r="L138" s="2" t="inlineStr">
        <is>
          <t>Kein Risiko: keine Mangelregel trifft zu, alle Pflichtfragen beantwortet. Freigegeben 2026-09-20.</t>
        </is>
      </c>
      <c r="M138" s="3" t="n"/>
      <c r="N138" s="3" t="n"/>
    </row>
    <row r="139">
      <c r="A139" s="4" t="inlineStr">
        <is>
          <t>MF-T05</t>
        </is>
      </c>
      <c r="B139" s="4" t="inlineStr">
        <is>
          <t>Unzureichende Feuerwiderstandsfähigkeit der Schachttüren</t>
        </is>
      </c>
      <c r="C139" s="4" t="inlineStr">
        <is>
          <t>Brandschutz und Gebäudeschnittstelle</t>
        </is>
      </c>
      <c r="D139" s="4" t="inlineStr">
        <is>
          <t>MF-T05-R1</t>
        </is>
      </c>
      <c r="E139" s="4" t="n">
        <v>100</v>
      </c>
      <c r="F139" s="4" t="inlineStr">
        <is>
          <t>7.11 Feuerwiderstandsfähigkeit der Schachttüren (EN 81-58 / bauaufsichtliche Anforderung) = „Gefordert, aber nicht gegeben"</t>
        </is>
      </c>
      <c r="G139" s="4" t="inlineStr">
        <is>
          <t>Mittel</t>
        </is>
      </c>
      <c r="H139" s="4" t="inlineStr">
        <is>
          <t>INFERRED</t>
        </is>
      </c>
      <c r="I139" s="4" t="inlineStr"/>
      <c r="J139" s="4" t="inlineStr">
        <is>
          <t>Betreiber informieren; Abstimmung mit Brandschutzkonzept / Bauaufsicht</t>
        </is>
      </c>
      <c r="K139" s="4" t="inlineStr">
        <is>
          <t>Schachttüren mit nachgewiesener Feuerwiderstandsfähigkeit (EN 81-58) einbauen</t>
        </is>
      </c>
      <c r="L139" s="4" t="inlineStr">
        <is>
          <t>Freigegeben 2026-09-20.</t>
        </is>
      </c>
      <c r="M139" s="3" t="n"/>
      <c r="N139" s="3" t="n"/>
    </row>
    <row r="140">
      <c r="A140" s="2" t="inlineStr">
        <is>
          <t>MF-T05</t>
        </is>
      </c>
      <c r="B140" s="2" t="inlineStr">
        <is>
          <t>Unzureichende Feuerwiderstandsfähigkeit der Schachttüren</t>
        </is>
      </c>
      <c r="C140" s="2" t="inlineStr">
        <is>
          <t>Brandschutz und Gebäudeschnittstelle</t>
        </is>
      </c>
      <c r="D140" s="2" t="inlineStr">
        <is>
          <t>MF-T05-R2</t>
        </is>
      </c>
      <c r="E140" s="2" t="n">
        <v>100</v>
      </c>
      <c r="F140" s="2" t="inlineStr">
        <is>
          <t>7.11 Feuerwiderstandsfähigkeit der Schachttüren (EN 81-58 / bauaufsichtliche Anforderung) = „Unbekannt / kein Nachweis"</t>
        </is>
      </c>
      <c r="G140" s="2" t="inlineStr">
        <is>
          <t>Mittel</t>
        </is>
      </c>
      <c r="H140" s="2" t="inlineStr">
        <is>
          <t>INFERRED</t>
        </is>
      </c>
      <c r="I140" s="2" t="inlineStr"/>
      <c r="J140" s="2" t="inlineStr">
        <is>
          <t>Nachweis (Zertifikat, Baugenehmigung) beim Betreiber anfordern</t>
        </is>
      </c>
      <c r="K140" s="2" t="inlineStr">
        <is>
          <t>Feuerwiderstandsanforderung aus dem Brandschutzkonzept klären und dokumentieren</t>
        </is>
      </c>
      <c r="L140" s="2" t="inlineStr">
        <is>
          <t>Entschieden 2026-09-02: K-K07.</t>
        </is>
      </c>
      <c r="M140" s="3" t="n"/>
      <c r="N140" s="3" t="n"/>
    </row>
    <row r="141">
      <c r="A141" s="4" t="inlineStr">
        <is>
          <t>MF-T05</t>
        </is>
      </c>
      <c r="B141" s="4" t="inlineStr">
        <is>
          <t>Unzureichende Feuerwiderstandsfähigkeit der Schachttüren</t>
        </is>
      </c>
      <c r="C141" s="4" t="inlineStr">
        <is>
          <t>Brandschutz und Gebäudeschnittstelle</t>
        </is>
      </c>
      <c r="D141" s="4" t="inlineStr">
        <is>
          <t>MF-T05-R3</t>
        </is>
      </c>
      <c r="E141" s="4" t="n">
        <v>1</v>
      </c>
      <c r="F141" s="4" t="inlineStr">
        <is>
          <t>7.11 Feuerwiderstandsfähigkeit der Schachttüren (EN 81-58 / bauaufsichtliche Anforderung) beantwortet</t>
        </is>
      </c>
      <c r="G141" s="4" t="inlineStr">
        <is>
          <t>Kein Risiko</t>
        </is>
      </c>
      <c r="H141" s="4" t="inlineStr">
        <is>
          <t>HIGH_CONFIDENCE</t>
        </is>
      </c>
      <c r="I141" s="4" t="inlineStr"/>
      <c r="J141" s="4" t="inlineStr">
        <is>
          <t>Zustand erhalten; bei der wiederkehrenden Prüfung und der Betreiberkontrolle erneut prüfen</t>
        </is>
      </c>
      <c r="K141" s="4" t="inlineStr"/>
      <c r="L141" s="4" t="inlineStr">
        <is>
          <t>Kein Risiko: keine Mangelregel trifft zu, alle Pflichtfragen beantwortet. Freigegeben 2026-09-20.</t>
        </is>
      </c>
      <c r="M141" s="3" t="n"/>
      <c r="N141" s="3" t="n"/>
    </row>
    <row r="142">
      <c r="A142" s="2" t="inlineStr">
        <is>
          <t>MF-T06</t>
        </is>
      </c>
      <c r="B142" s="2" t="inlineStr">
        <is>
          <t>Fahrkorb ohne Abschlusstür oder ohne Schließkantensicherung</t>
        </is>
      </c>
      <c r="C142" s="2" t="inlineStr">
        <is>
          <t>Türen und Verriegelung</t>
        </is>
      </c>
      <c r="D142" s="2" t="inlineStr">
        <is>
          <t>MF-T06-R1</t>
        </is>
      </c>
      <c r="E142" s="2" t="n">
        <v>300</v>
      </c>
      <c r="F142" s="2" t="inlineStr">
        <is>
          <t>(8.6 Fahrkorbabschlusstür vorhanden? = Nein UND 8.9 Ohne Fahrkorbtür: Sicherheitslichtgitter vorhanden? = Nein UND 8.9a Ohne Fahrkorbtür: Scherengitter vorhanden? = Nein)</t>
        </is>
      </c>
      <c r="G142" s="2" t="inlineStr">
        <is>
          <t>Hoch</t>
        </is>
      </c>
      <c r="H142" s="2" t="inlineStr">
        <is>
          <t>HIGH_CONFIDENCE</t>
        </is>
      </c>
      <c r="I142" s="2" t="inlineStr"/>
      <c r="J142" s="2" t="inlineStr">
        <is>
          <t>Aufzug für Personentransport sperren</t>
        </is>
      </c>
      <c r="K142" s="2" t="inlineStr">
        <is>
          <t>Fahrkorbtür nachrüsten (ein Sicherheitslichtgitter genügt nur bei Lastenaufzügen mit ausschließlich eingewiesenem Nutzerkreis, TRBS 3121 Anh. 1 Nr. 14 c)</t>
        </is>
      </c>
      <c r="L142" s="2" t="inlineStr">
        <is>
          <t>[Prüfbericht: Prüfbericht 16.09.2026 – Lichtgitter-Alternative auf den zulässigen Fall begrenzt] Freigegeben 2026-09-20.</t>
        </is>
      </c>
      <c r="M142" s="3" t="n"/>
      <c r="N142" s="3" t="n"/>
    </row>
    <row r="143">
      <c r="A143" s="4" t="inlineStr">
        <is>
          <t>MF-T06</t>
        </is>
      </c>
      <c r="B143" s="4" t="inlineStr">
        <is>
          <t>Fahrkorb ohne Abschlusstür oder ohne Schließkantensicherung</t>
        </is>
      </c>
      <c r="C143" s="4" t="inlineStr">
        <is>
          <t>Türen und Verriegelung</t>
        </is>
      </c>
      <c r="D143" s="4" t="inlineStr">
        <is>
          <t>MF-T06-R2</t>
        </is>
      </c>
      <c r="E143" s="4" t="n">
        <v>250</v>
      </c>
      <c r="F143" s="4" t="inlineStr">
        <is>
          <t>(8.6 Fahrkorbabschlusstür vorhanden? = Nein UND (4.9 Nutzung durch Personen mit eingeschränkter Mobilität (Rollstuhl, Rollator, Sehbehinderung) zu erwarten? = Ja ODER 4.12 Nutzung durch unbeaufsichtigte Kinder zu erwarten (Schule, Kita, Wohnanlage)? = Ja))</t>
        </is>
      </c>
      <c r="G143" s="4" t="inlineStr">
        <is>
          <t>Hoch</t>
        </is>
      </c>
      <c r="H143" s="4" t="inlineStr">
        <is>
          <t>INFERRED</t>
        </is>
      </c>
      <c r="I143" s="4" t="inlineStr"/>
      <c r="J143" s="4" t="inlineStr">
        <is>
          <t>Aufzug für die Personenbeförderung sperren; bis zur Nachrüstung nur Güterbeförderung durch eingewiesene Personen</t>
        </is>
      </c>
      <c r="K143" s="4" t="inlineStr">
        <is>
          <t>Kabinentür nachrüsten</t>
        </is>
      </c>
      <c r="L143" s="4" t="inlineStr">
        <is>
          <t>Regelprüfung 20.09.2026: Die bisherige Sofortmaßnahme („ohne weitere Schließkantensicherung für Personentransport sperren") war bedingt formuliert und bezog sich auf die Schließkantensicherung, um die es bei fehlender Fahrkorbtür gar nicht geht – sie ließ sich als Freibrief lesen, sobald irgendeine Schließkantensicherung da ist. Entschieden 2026-09-02: K-K09.</t>
        </is>
      </c>
      <c r="M143" s="3" t="n"/>
      <c r="N143" s="3" t="n"/>
    </row>
    <row r="144">
      <c r="A144" s="2" t="inlineStr">
        <is>
          <t>MF-T06</t>
        </is>
      </c>
      <c r="B144" s="2" t="inlineStr">
        <is>
          <t>Fahrkorb ohne Abschlusstür oder ohne Schließkantensicherung</t>
        </is>
      </c>
      <c r="C144" s="2" t="inlineStr">
        <is>
          <t>Türen und Verriegelung</t>
        </is>
      </c>
      <c r="D144" s="2" t="inlineStr">
        <is>
          <t>MF-T06-R10</t>
        </is>
      </c>
      <c r="E144" s="2" t="n">
        <v>200</v>
      </c>
      <c r="F144" s="2" t="inlineStr">
        <is>
          <t>(8.6 Fahrkorbabschlusstür vorhanden? = Nein UND 8.9 Ohne Fahrkorbtür: Sicherheitslichtgitter vorhanden? = Ja UND (8.9b Ohne Fahrkorbtür: Lastenaufzug, der ausschließlich von eingewiesenen Personen benutzt wird (Einweisung dokumentiert)? = Ja UND 2.1 Nutzungsart der Anlage in [„Lastenaufzug mit Personenbegleitung", „Güteraufzug ohne Personenbeförderung"]))</t>
        </is>
      </c>
      <c r="G144" s="2" t="inlineStr">
        <is>
          <t>Mittel</t>
        </is>
      </c>
      <c r="H144" s="2" t="inlineStr">
        <is>
          <t>HIGH_CONFIDENCE</t>
        </is>
      </c>
      <c r="I144" s="2" t="inlineStr"/>
      <c r="J144" s="2" t="inlineStr">
        <is>
          <t>Aufzug nur für unterwiesene Personen freigeben und für sonstigen Personentransport sperren</t>
        </is>
      </c>
      <c r="K144" s="2" t="inlineStr">
        <is>
          <t>Kabinentür nachrüsten</t>
        </is>
      </c>
      <c r="L144" s="2" t="inlineStr">
        <is>
          <t>[Prüfbericht: B07 – Kompensation nur bei Lastenaufzug mit ausschließlich eingewiesenen Personen] Freigegeben 2026-09-20.</t>
        </is>
      </c>
      <c r="M144" s="3" t="n"/>
      <c r="N144" s="3" t="n"/>
    </row>
    <row r="145">
      <c r="A145" s="4" t="inlineStr">
        <is>
          <t>MF-T06</t>
        </is>
      </c>
      <c r="B145" s="4" t="inlineStr">
        <is>
          <t>Fahrkorb ohne Abschlusstür oder ohne Schließkantensicherung</t>
        </is>
      </c>
      <c r="C145" s="4" t="inlineStr">
        <is>
          <t>Türen und Verriegelung</t>
        </is>
      </c>
      <c r="D145" s="4" t="inlineStr">
        <is>
          <t>MF-T06-R11</t>
        </is>
      </c>
      <c r="E145" s="4" t="n">
        <v>150</v>
      </c>
      <c r="F145" s="4" t="inlineStr">
        <is>
          <t>(8.6 Fahrkorbabschlusstür vorhanden? = Nein UND (8.9 Ohne Fahrkorbtür: Sicherheitslichtgitter vorhanden? = Ja ODER 8.9a Ohne Fahrkorbtür: Scherengitter vorhanden? = Ja))</t>
        </is>
      </c>
      <c r="G145" s="4" t="inlineStr">
        <is>
          <t>Hoch</t>
        </is>
      </c>
      <c r="H145" s="4" t="inlineStr">
        <is>
          <t>HIGH_CONFIDENCE</t>
        </is>
      </c>
      <c r="I145" s="4" t="inlineStr"/>
      <c r="J145" s="4" t="inlineStr">
        <is>
          <t>Aufzug für die Personenbeförderung durch nicht eingewiesene Personen sperren</t>
        </is>
      </c>
      <c r="K145" s="4" t="inlineStr">
        <is>
          <t>Fahrkorbtür nachrüsten (ein Sicherheitslichtgitter genügt nur bei Lastenaufzügen mit ausschließlich eingewiesenem Nutzerkreis, TRBS 3121 Anh. 1 Nr. 14 c)</t>
        </is>
      </c>
      <c r="L145" s="4" t="inlineStr">
        <is>
          <t>Regelprüfung 20.09.2026: Das Scherengitter aus der Maßnahme gestrichen – TRBS 3121 Anh. 1 Nr. 14 c) nennt nur das Sicherheitslichtgitter. [Prüfbericht: B07/Prüfbericht 16.09.2026 – Ersatzlösung ohne diese Voraussetzung ist keine zulässige Kompensation] Freigegeben 2026-09-20.</t>
        </is>
      </c>
      <c r="M145" s="3" t="n"/>
      <c r="N145" s="3" t="n"/>
    </row>
    <row r="146">
      <c r="A146" s="2" t="inlineStr">
        <is>
          <t>MF-T06</t>
        </is>
      </c>
      <c r="B146" s="2" t="inlineStr">
        <is>
          <t>Fahrkorb ohne Abschlusstür oder ohne Schließkantensicherung</t>
        </is>
      </c>
      <c r="C146" s="2" t="inlineStr">
        <is>
          <t>Türen und Verriegelung</t>
        </is>
      </c>
      <c r="D146" s="2" t="inlineStr">
        <is>
          <t>MF-T06-R13</t>
        </is>
      </c>
      <c r="E146" s="2" t="n">
        <v>220</v>
      </c>
      <c r="F146" s="2" t="inlineStr">
        <is>
          <t>(8.6 Fahrkorbabschlusstür vorhanden? = Ja UND 8.8 Schließkantensicherung der Fahrkorbtür = „Keine Schließkantensicherung" UND (4.9 Nutzung durch Personen mit eingeschränkter Mobilität (Rollstuhl, Rollator, Sehbehinderung) zu erwarten? = Ja ODER 4.12 Nutzung durch unbeaufsichtigte Kinder zu erwarten (Schule, Kita, Wohnanlage)? = Ja))</t>
        </is>
      </c>
      <c r="G146" s="2" t="inlineStr">
        <is>
          <t>Hoch</t>
        </is>
      </c>
      <c r="H146" s="2" t="inlineStr">
        <is>
          <t>INFERRED</t>
        </is>
      </c>
      <c r="I146" s="2" t="inlineStr"/>
      <c r="J146" s="2" t="inlineStr">
        <is>
          <t>Aufzug nur für eingeschränkten Personenkreis freigeben und für sonstigen Personentransport sperren</t>
        </is>
      </c>
      <c r="K146" s="2" t="inlineStr">
        <is>
          <t>Lichtgitter nachrüsten</t>
        </is>
      </c>
      <c r="L146" s="2" t="inlineStr">
        <is>
          <t>Folgerichtig zur Einzel-Lichtschranke: fehlt die Schließkantensicherung ganz, darf die Stufe nicht günstiger sein. Prüfbericht 20.09.2026: Nutzerkreis Kinder wirkt hier wie bei fehlender Fahrkorbtür (MF-T06-R2). [Prüfbericht: Prüfbericht 16.09.2026 – neu: keine Schließkantensicherung bei mobilitätseingeschränkten Nutzern Hoch] Freigegeben 2026-09-20.</t>
        </is>
      </c>
      <c r="M146" s="3" t="n"/>
      <c r="N146" s="3" t="n"/>
    </row>
    <row r="147">
      <c r="A147" s="4" t="inlineStr">
        <is>
          <t>MF-T06</t>
        </is>
      </c>
      <c r="B147" s="4" t="inlineStr">
        <is>
          <t>Fahrkorb ohne Abschlusstür oder ohne Schließkantensicherung</t>
        </is>
      </c>
      <c r="C147" s="4" t="inlineStr">
        <is>
          <t>Türen und Verriegelung</t>
        </is>
      </c>
      <c r="D147" s="4" t="inlineStr">
        <is>
          <t>MF-T06-R5</t>
        </is>
      </c>
      <c r="E147" s="4" t="n">
        <v>200</v>
      </c>
      <c r="F147" s="4" t="inlineStr">
        <is>
          <t>(8.6 Fahrkorbabschlusstür vorhanden? = Ja UND 8.8 Schließkantensicherung der Fahrkorbtür = „Keine Schließkantensicherung")</t>
        </is>
      </c>
      <c r="G147" s="4" t="inlineStr">
        <is>
          <t>Mittel</t>
        </is>
      </c>
      <c r="H147" s="4" t="inlineStr">
        <is>
          <t>HIGH_CONFIDENCE</t>
        </is>
      </c>
      <c r="I147" s="4" t="inlineStr"/>
      <c r="J147" s="4" t="inlineStr">
        <is>
          <t>Aufzug nur für eingeschränkten Personenkreis freigeben und für sonstigen Personentransport sperren</t>
        </is>
      </c>
      <c r="K147" s="4" t="inlineStr">
        <is>
          <t>Lichtgitter nachrüsten</t>
        </is>
      </c>
      <c r="L147" s="4" t="inlineStr">
        <is>
          <t>Freigegeben 2026-09-20.</t>
        </is>
      </c>
      <c r="M147" s="3" t="n"/>
      <c r="N147" s="3" t="n"/>
    </row>
    <row r="148">
      <c r="A148" s="2" t="inlineStr">
        <is>
          <t>MF-T06</t>
        </is>
      </c>
      <c r="B148" s="2" t="inlineStr">
        <is>
          <t>Fahrkorb ohne Abschlusstür oder ohne Schließkantensicherung</t>
        </is>
      </c>
      <c r="C148" s="2" t="inlineStr">
        <is>
          <t>Türen und Verriegelung</t>
        </is>
      </c>
      <c r="D148" s="2" t="inlineStr">
        <is>
          <t>MF-T06-R14</t>
        </is>
      </c>
      <c r="E148" s="2" t="n">
        <v>210</v>
      </c>
      <c r="F148" s="2" t="inlineStr">
        <is>
          <t>(8.6 Fahrkorbabschlusstür vorhanden? = Ja UND 8.8 Schließkantensicherung der Fahrkorbtür = „Einzel-Lichtschranke mit Kraftbegrenzung 150 N / 10 J (ältere Ausführung)" UND (4.9 Nutzung durch Personen mit eingeschränkter Mobilität (Rollstuhl, Rollator, Sehbehinderung) zu erwarten? = Ja ODER 4.12 Nutzung durch unbeaufsichtigte Kinder zu erwarten (Schule, Kita, Wohnanlage)? = Ja))</t>
        </is>
      </c>
      <c r="G148" s="2" t="inlineStr">
        <is>
          <t>Hoch</t>
        </is>
      </c>
      <c r="H148" s="2" t="inlineStr">
        <is>
          <t>INFERRED</t>
        </is>
      </c>
      <c r="I148" s="2" t="inlineStr"/>
      <c r="J148" s="2" t="inlineStr">
        <is>
          <t>Aufzug nur für eingeschränkten Personenkreis freigeben und für sonstigen Personentransport sperren</t>
        </is>
      </c>
      <c r="K148" s="2" t="inlineStr">
        <is>
          <t>Lichtgitter nachrüsten</t>
        </is>
      </c>
      <c r="L148" s="2" t="inlineStr">
        <is>
          <t>TRBS 3121 Anh. 1 Nr. 10: 150 N + Lichtschranke + 10 J = Mittel, ausdrücklich NICHT bei behinderten, alten oder gebrechlichen Personen. Entschieden 2026-09-02: K-T02.</t>
        </is>
      </c>
      <c r="M148" s="3" t="n"/>
      <c r="N148" s="3" t="n"/>
    </row>
    <row r="149">
      <c r="A149" s="4" t="inlineStr">
        <is>
          <t>MF-T06</t>
        </is>
      </c>
      <c r="B149" s="4" t="inlineStr">
        <is>
          <t>Fahrkorb ohne Abschlusstür oder ohne Schließkantensicherung</t>
        </is>
      </c>
      <c r="C149" s="4" t="inlineStr">
        <is>
          <t>Türen und Verriegelung</t>
        </is>
      </c>
      <c r="D149" s="4" t="inlineStr">
        <is>
          <t>MF-T06-R7</t>
        </is>
      </c>
      <c r="E149" s="4" t="n">
        <v>200</v>
      </c>
      <c r="F149" s="4" t="inlineStr">
        <is>
          <t>(8.6 Fahrkorbabschlusstür vorhanden? = Ja UND 8.8 Schließkantensicherung der Fahrkorbtür = „Einzel-Lichtschranke mit Kraftbegrenzung 150 N / 10 J (ältere Ausführung)")</t>
        </is>
      </c>
      <c r="G149" s="4" t="inlineStr">
        <is>
          <t>Mittel</t>
        </is>
      </c>
      <c r="H149" s="4" t="inlineStr">
        <is>
          <t>HIGH_CONFIDENCE</t>
        </is>
      </c>
      <c r="I149" s="4" t="inlineStr"/>
      <c r="J149" s="4" t="inlineStr">
        <is>
          <t>Aufzug nur für eingeschränkten Personenkreis freigeben und für sonstigen Personentransport sperren</t>
        </is>
      </c>
      <c r="K149" s="4" t="inlineStr">
        <is>
          <t>Lichtgitter nachrüsten</t>
        </is>
      </c>
      <c r="L149" s="4" t="inlineStr">
        <is>
          <t>TRBS 3121 Anh. 1 Nr. 10: ausdrücklich mittleres Risiko. Entschieden 2026-09-02: K-T02.</t>
        </is>
      </c>
      <c r="M149" s="3" t="n"/>
      <c r="N149" s="3" t="n"/>
    </row>
    <row r="150">
      <c r="A150" s="2" t="inlineStr">
        <is>
          <t>MF-T06</t>
        </is>
      </c>
      <c r="B150" s="2" t="inlineStr">
        <is>
          <t>Fahrkorb ohne Abschlusstür oder ohne Schließkantensicherung</t>
        </is>
      </c>
      <c r="C150" s="2" t="inlineStr">
        <is>
          <t>Türen und Verriegelung</t>
        </is>
      </c>
      <c r="D150" s="2" t="inlineStr">
        <is>
          <t>MF-T06-R15</t>
        </is>
      </c>
      <c r="E150" s="2" t="n">
        <v>190</v>
      </c>
      <c r="F150" s="2" t="inlineStr">
        <is>
          <t>(8.6 Fahrkorbabschlusstür vorhanden? = Ja UND 8.8 Schließkantensicherung der Fahrkorbtür = „Andere Schließkantensicherung (Bauart dokumentieren)")</t>
        </is>
      </c>
      <c r="G150" s="2" t="inlineStr">
        <is>
          <t>Niedrig</t>
        </is>
      </c>
      <c r="H150" s="2" t="inlineStr">
        <is>
          <t>INFERRED</t>
        </is>
      </c>
      <c r="I150" s="2" t="inlineStr"/>
      <c r="J150" s="2" t="inlineStr">
        <is>
          <t>Bauart der Schließkantensicherung im Bericht benennen und ihre Wirkung beim Schließvorgang erproben</t>
        </is>
      </c>
      <c r="K150" s="2" t="inlineStr">
        <is>
          <t>Wirksamkeit der Schließkantensicherung nachweisen (Kraft- und Energiemessung nach EN 81-20 5.3.6.2.2) oder Lichtgitter nachrüsten</t>
        </is>
      </c>
      <c r="L150" s="2" t="inlineStr">
        <is>
          <t>Prüfbericht 20.09.2026: „Andere" war eine Auffangoption ohne Prüfkriterium und damit ohne Bewertung. Jetzt Niedrig mit Nachweispflicht. Freigegeben 2026-09-20.</t>
        </is>
      </c>
      <c r="M150" s="3" t="n"/>
      <c r="N150" s="3" t="n"/>
    </row>
    <row r="151">
      <c r="A151" s="4" t="inlineStr">
        <is>
          <t>MF-T06</t>
        </is>
      </c>
      <c r="B151" s="4" t="inlineStr">
        <is>
          <t>Fahrkorb ohne Abschlusstür oder ohne Schließkantensicherung</t>
        </is>
      </c>
      <c r="C151" s="4" t="inlineStr">
        <is>
          <t>Türen und Verriegelung</t>
        </is>
      </c>
      <c r="D151" s="4" t="inlineStr">
        <is>
          <t>MF-T06-R8</t>
        </is>
      </c>
      <c r="E151" s="4" t="n">
        <v>1</v>
      </c>
      <c r="F151" s="4" t="inlineStr">
        <is>
          <t>8.6 Fahrkorbabschlusstür vorhanden? beantwortet</t>
        </is>
      </c>
      <c r="G151" s="4" t="inlineStr">
        <is>
          <t>Kein Risiko</t>
        </is>
      </c>
      <c r="H151" s="4" t="inlineStr">
        <is>
          <t>HIGH_CONFIDENCE</t>
        </is>
      </c>
      <c r="I151" s="4" t="inlineStr"/>
      <c r="J151" s="4" t="inlineStr">
        <is>
          <t>Zustand erhalten; bei der wiederkehrenden Prüfung und der Betreiberkontrolle erneut prüfen</t>
        </is>
      </c>
      <c r="K151" s="4" t="inlineStr"/>
      <c r="L151" s="4" t="inlineStr">
        <is>
          <t>Kein Risiko: keine Mangelregel trifft zu, alle Pflichtfragen beantwortet. Freigegeben 2026-09-20.</t>
        </is>
      </c>
      <c r="M151" s="3" t="n"/>
      <c r="N151" s="3" t="n"/>
    </row>
    <row r="152">
      <c r="A152" s="2" t="inlineStr">
        <is>
          <t>MF-T07</t>
        </is>
      </c>
      <c r="B152" s="2" t="inlineStr">
        <is>
          <t>Unzureichende Fläche unterhalb der Schachttürschwelle</t>
        </is>
      </c>
      <c r="C152" s="2" t="inlineStr">
        <is>
          <t>Türen und Verriegelung</t>
        </is>
      </c>
      <c r="D152" s="2" t="inlineStr">
        <is>
          <t>MF-T07-R1</t>
        </is>
      </c>
      <c r="E152" s="2" t="n">
        <v>200</v>
      </c>
      <c r="F152" s="2" t="inlineStr">
        <is>
          <t>7.12 Schachtwand unterhalb der Schachttürschwelle (vertikale Fläche zur Entriegelungszone) = „Keine geschlossene Fläche (offene Konstruktion, Gitter, Mauerwerk mit Absätzen)"</t>
        </is>
      </c>
      <c r="G152" s="2" t="inlineStr">
        <is>
          <t>Hoch</t>
        </is>
      </c>
      <c r="H152" s="2" t="inlineStr">
        <is>
          <t>HIGH_CONFIDENCE</t>
        </is>
      </c>
      <c r="I152" s="2" t="inlineStr"/>
      <c r="J152" s="2" t="inlineStr">
        <is>
          <t>Personenbefreiung nur durch fachkundige Personen; Haltestellen mit unvollständiger Schachtwand kennzeichnen</t>
        </is>
      </c>
      <c r="K152" s="2" t="inlineStr">
        <is>
          <t>Durchgehende, glatte vertikale Fläche unterhalb jeder Schachttürschwelle herstellen (EN 81-20 5.2.5.3.2)</t>
        </is>
      </c>
      <c r="L152" s="2" t="inlineStr">
        <is>
          <t>Freigegeben 2026-09-04.</t>
        </is>
      </c>
      <c r="M152" s="3" t="n"/>
      <c r="N152" s="3" t="n"/>
    </row>
    <row r="153">
      <c r="A153" s="4" t="inlineStr">
        <is>
          <t>MF-T07</t>
        </is>
      </c>
      <c r="B153" s="4" t="inlineStr">
        <is>
          <t>Unzureichende Fläche unterhalb der Schachttürschwelle</t>
        </is>
      </c>
      <c r="C153" s="4" t="inlineStr">
        <is>
          <t>Türen und Verriegelung</t>
        </is>
      </c>
      <c r="D153" s="4" t="inlineStr">
        <is>
          <t>MF-T07-R2</t>
        </is>
      </c>
      <c r="E153" s="4" t="n">
        <v>100</v>
      </c>
      <c r="F153" s="4" t="inlineStr">
        <is>
          <t>7.12 Schachtwand unterhalb der Schachttürschwelle (vertikale Fläche zur Entriegelungszone) = „Vorhanden, aber mit Mängeln (Vorsprünge über 5 mm, zu geringe Höhe oder Breite, nachgiebig, offene Fugen)"</t>
        </is>
      </c>
      <c r="G153" s="4" t="inlineStr">
        <is>
          <t>Mittel</t>
        </is>
      </c>
      <c r="H153" s="4" t="inlineStr">
        <is>
          <t>HIGH_CONFIDENCE</t>
        </is>
      </c>
      <c r="I153" s="4" t="inlineStr"/>
      <c r="J153" s="4" t="inlineStr">
        <is>
          <t>Vorsprünge und offene Fugen im Bereich der Türschwelle beseitigen</t>
        </is>
      </c>
      <c r="K153" s="4" t="inlineStr">
        <is>
          <t>Fläche unterhalb der Schachttürschwelle normgerecht ergänzen (Höhe, Breite, Festigkeit, Abschrägung)</t>
        </is>
      </c>
      <c r="L153" s="4" t="inlineStr">
        <is>
          <t>Freigegeben 2026-09-04.</t>
        </is>
      </c>
      <c r="M153" s="3" t="n"/>
      <c r="N153" s="3" t="n"/>
    </row>
    <row r="154">
      <c r="A154" s="2" t="inlineStr">
        <is>
          <t>MF-T07</t>
        </is>
      </c>
      <c r="B154" s="2" t="inlineStr">
        <is>
          <t>Unzureichende Fläche unterhalb der Schachttürschwelle</t>
        </is>
      </c>
      <c r="C154" s="2" t="inlineStr">
        <is>
          <t>Türen und Verriegelung</t>
        </is>
      </c>
      <c r="D154" s="2" t="inlineStr">
        <is>
          <t>MF-T07-R3</t>
        </is>
      </c>
      <c r="E154" s="2" t="n">
        <v>1</v>
      </c>
      <c r="F154" s="2" t="inlineStr">
        <is>
          <t>7.12 Schachtwand unterhalb der Schachttürschwelle (vertikale Fläche zur Entriegelungszone) beantwortet</t>
        </is>
      </c>
      <c r="G154" s="2" t="inlineStr">
        <is>
          <t>Kein Risiko</t>
        </is>
      </c>
      <c r="H154" s="2" t="inlineStr">
        <is>
          <t>HIGH_CONFIDENCE</t>
        </is>
      </c>
      <c r="I154" s="2" t="inlineStr"/>
      <c r="J154" s="2" t="inlineStr">
        <is>
          <t>Zustand erhalten; bei der wiederkehrenden Prüfung und der Betreiberkontrolle erneut prüfen</t>
        </is>
      </c>
      <c r="K154" s="2" t="inlineStr"/>
      <c r="L154" s="2" t="inlineStr">
        <is>
          <t>Kein Risiko: keine Mangelregel trifft zu, alle Pflichtfragen beantwortet. Freigegeben 2026-09-04.</t>
        </is>
      </c>
      <c r="M154" s="3" t="n"/>
      <c r="N154" s="3" t="n"/>
    </row>
    <row r="155">
      <c r="A155" s="4" t="inlineStr">
        <is>
          <t>MF-T08</t>
        </is>
      </c>
      <c r="B155" s="4" t="inlineStr">
        <is>
          <t>Türblatt kann aus der Führung fallen (fehlende Rückhalteeinrichtung)</t>
        </is>
      </c>
      <c r="C155" s="4" t="inlineStr">
        <is>
          <t>Türen und Verriegelung</t>
        </is>
      </c>
      <c r="D155" s="4" t="inlineStr">
        <is>
          <t>MF-T08-R1</t>
        </is>
      </c>
      <c r="E155" s="4" t="n">
        <v>200</v>
      </c>
      <c r="F155" s="4" t="inlineStr">
        <is>
          <t>(7.13 Rückhalteeinrichtungen an den horizontal bewegten Schacht-Schiebetüren vorhanden (Türblatt bleibt in seiner Lage, wenn ein Führungselement versagt)? = Nein UND 7.13a Führungselemente, Hänger und Befestigungen der Türblätter unbeschädigt und ohne auffälliges Spiel? = Nein)</t>
        </is>
      </c>
      <c r="G155" s="4" t="inlineStr">
        <is>
          <t>Hoch</t>
        </is>
      </c>
      <c r="H155" s="4" t="inlineStr">
        <is>
          <t>HIGH_CONFIDENCE</t>
        </is>
      </c>
      <c r="I155" s="4" t="inlineStr"/>
      <c r="J155" s="4" t="inlineStr">
        <is>
          <t>Beschädigte Führungselemente und Aufhängungen sofort instand setzen; Tür bis dahin außer Betrieb nehmen</t>
        </is>
      </c>
      <c r="K155" s="4" t="inlineStr">
        <is>
          <t>Rückhalteeinrichtungen nach EN 81-20 5.3.5.3.2 nachrüsten</t>
        </is>
      </c>
      <c r="L155" s="4" t="inlineStr">
        <is>
          <t>Freigegeben 2026-09-04.</t>
        </is>
      </c>
      <c r="M155" s="3" t="n"/>
      <c r="N155" s="3" t="n"/>
    </row>
    <row r="156">
      <c r="A156" s="2" t="inlineStr">
        <is>
          <t>MF-T08</t>
        </is>
      </c>
      <c r="B156" s="2" t="inlineStr">
        <is>
          <t>Türblatt kann aus der Führung fallen (fehlende Rückhalteeinrichtung)</t>
        </is>
      </c>
      <c r="C156" s="2" t="inlineStr">
        <is>
          <t>Türen und Verriegelung</t>
        </is>
      </c>
      <c r="D156" s="2" t="inlineStr">
        <is>
          <t>MF-T08-R2</t>
        </is>
      </c>
      <c r="E156" s="2" t="n">
        <v>100</v>
      </c>
      <c r="F156" s="2" t="inlineStr">
        <is>
          <t>7.13 Rückhalteeinrichtungen an den horizontal bewegten Schacht-Schiebetüren vorhanden (Türblatt bleibt in seiner Lage, wenn ein Führungselement versagt)? = Nein</t>
        </is>
      </c>
      <c r="G156" s="2" t="inlineStr">
        <is>
          <t>Mittel</t>
        </is>
      </c>
      <c r="H156" s="2" t="inlineStr">
        <is>
          <t>HIGH_CONFIDENCE</t>
        </is>
      </c>
      <c r="I156" s="2" t="inlineStr"/>
      <c r="J156" s="2" t="inlineStr">
        <is>
          <t>Führung, Hänger und Befestigung der Türblätter in die wiederkehrende Prüfung aufnehmen</t>
        </is>
      </c>
      <c r="K156" s="2" t="inlineStr">
        <is>
          <t>Rückhalteeinrichtungen nach EN 81-20 5.3.5.3.2 nachrüsten</t>
        </is>
      </c>
      <c r="L156" s="2" t="inlineStr">
        <is>
          <t>Freigegeben 2026-09-04.</t>
        </is>
      </c>
      <c r="M156" s="3" t="n"/>
      <c r="N156" s="3" t="n"/>
    </row>
    <row r="157">
      <c r="A157" s="4" t="inlineStr">
        <is>
          <t>MF-T08</t>
        </is>
      </c>
      <c r="B157" s="4" t="inlineStr">
        <is>
          <t>Türblatt kann aus der Führung fallen (fehlende Rückhalteeinrichtung)</t>
        </is>
      </c>
      <c r="C157" s="4" t="inlineStr">
        <is>
          <t>Türen und Verriegelung</t>
        </is>
      </c>
      <c r="D157" s="4" t="inlineStr">
        <is>
          <t>MF-T08-R3</t>
        </is>
      </c>
      <c r="E157" s="4" t="n">
        <v>90</v>
      </c>
      <c r="F157" s="4" t="inlineStr">
        <is>
          <t>7.13a Führungselemente, Hänger und Befestigungen der Türblätter unbeschädigt und ohne auffälliges Spiel? = Nein</t>
        </is>
      </c>
      <c r="G157" s="4" t="inlineStr">
        <is>
          <t>Mittel</t>
        </is>
      </c>
      <c r="H157" s="4" t="inlineStr">
        <is>
          <t>HIGH_CONFIDENCE</t>
        </is>
      </c>
      <c r="I157" s="4" t="inlineStr"/>
      <c r="J157" s="4" t="inlineStr">
        <is>
          <t>Beschädigte Führungselemente, Hänger und Befestigungen instand setzen</t>
        </is>
      </c>
      <c r="K157" s="4" t="inlineStr">
        <is>
          <t>Türführungen in den Wartungsplan aufnehmen und regelmäßig nachstellen</t>
        </is>
      </c>
      <c r="L157" s="4" t="inlineStr">
        <is>
          <t>Freigegeben 2026-09-04.</t>
        </is>
      </c>
      <c r="M157" s="3" t="n"/>
      <c r="N157" s="3" t="n"/>
    </row>
    <row r="158">
      <c r="A158" s="2" t="inlineStr">
        <is>
          <t>MF-T08</t>
        </is>
      </c>
      <c r="B158" s="2" t="inlineStr">
        <is>
          <t>Türblatt kann aus der Führung fallen (fehlende Rückhalteeinrichtung)</t>
        </is>
      </c>
      <c r="C158" s="2" t="inlineStr">
        <is>
          <t>Türen und Verriegelung</t>
        </is>
      </c>
      <c r="D158" s="2" t="inlineStr">
        <is>
          <t>MF-T08-R4</t>
        </is>
      </c>
      <c r="E158" s="2" t="n">
        <v>1</v>
      </c>
      <c r="F158" s="2" t="inlineStr">
        <is>
          <t>7.13 Rückhalteeinrichtungen an den horizontal bewegten Schacht-Schiebetüren vorhanden (Türblatt bleibt in seiner Lage, wenn ein Führungselement versagt)? beantwortet</t>
        </is>
      </c>
      <c r="G158" s="2" t="inlineStr">
        <is>
          <t>Kein Risiko</t>
        </is>
      </c>
      <c r="H158" s="2" t="inlineStr">
        <is>
          <t>HIGH_CONFIDENCE</t>
        </is>
      </c>
      <c r="I158" s="2" t="inlineStr"/>
      <c r="J158" s="2" t="inlineStr">
        <is>
          <t>Zustand erhalten; bei der wiederkehrenden Prüfung und der Betreiberkontrolle erneut prüfen</t>
        </is>
      </c>
      <c r="K158" s="2" t="inlineStr"/>
      <c r="L158" s="2" t="inlineStr">
        <is>
          <t>Kein Risiko: keine Mangelregel trifft zu, alle Pflichtfragen beantwortet. Freigegeben 2026-09-04.</t>
        </is>
      </c>
      <c r="M158" s="3" t="n"/>
      <c r="N158" s="3" t="n"/>
    </row>
    <row r="159">
      <c r="A159" s="4" t="inlineStr">
        <is>
          <t>MF-T09</t>
        </is>
      </c>
      <c r="B159" s="4" t="inlineStr">
        <is>
          <t>Unzureichende Verbindung der Türblätter mehrteiliger Schachttüren</t>
        </is>
      </c>
      <c r="C159" s="4" t="inlineStr">
        <is>
          <t>Türen und Verriegelung</t>
        </is>
      </c>
      <c r="D159" s="4" t="inlineStr">
        <is>
          <t>MF-T09-R1</t>
        </is>
      </c>
      <c r="E159" s="4" t="n">
        <v>200</v>
      </c>
      <c r="F159" s="4" t="inlineStr">
        <is>
          <t>7.14a Verbindung der Türblätter mehrteiliger Schachttüren = „Keine wirksame Verbindung; nur ein Türblatt verriegelt"</t>
        </is>
      </c>
      <c r="G159" s="4" t="inlineStr">
        <is>
          <t>Hoch</t>
        </is>
      </c>
      <c r="H159" s="4" t="inlineStr">
        <is>
          <t>HIGH_CONFIDENCE</t>
        </is>
      </c>
      <c r="I159" s="4" t="inlineStr"/>
      <c r="J159" s="4" t="inlineStr">
        <is>
          <t>Tür außer Betrieb nehmen oder alle Türblätter verriegeln, bis die Verbindung hergestellt ist</t>
        </is>
      </c>
      <c r="K159" s="4" t="inlineStr">
        <is>
          <t>Türblätter mechanisch verbinden oder alle Türblätter verriegeln und überwachen (EN 81-20 5.3.11)</t>
        </is>
      </c>
      <c r="L159" s="4" t="inlineStr">
        <is>
          <t>Freigegeben 2026-09-04.</t>
        </is>
      </c>
      <c r="M159" s="3" t="n"/>
      <c r="N159" s="3" t="n"/>
    </row>
    <row r="160">
      <c r="A160" s="2" t="inlineStr">
        <is>
          <t>MF-T09</t>
        </is>
      </c>
      <c r="B160" s="2" t="inlineStr">
        <is>
          <t>Unzureichende Verbindung der Türblätter mehrteiliger Schachttüren</t>
        </is>
      </c>
      <c r="C160" s="2" t="inlineStr">
        <is>
          <t>Türen und Verriegelung</t>
        </is>
      </c>
      <c r="D160" s="2" t="inlineStr">
        <is>
          <t>MF-T09-R2</t>
        </is>
      </c>
      <c r="E160" s="2" t="n">
        <v>150</v>
      </c>
      <c r="F160" s="2" t="inlineStr">
        <is>
          <t>7.14a Verbindung der Türblätter mehrteiliger Schachttüren = „Mittelbar verbunden, Schließstellung der übrigen Türblätter nicht überwacht"</t>
        </is>
      </c>
      <c r="G160" s="2" t="inlineStr">
        <is>
          <t>Hoch</t>
        </is>
      </c>
      <c r="H160" s="2" t="inlineStr">
        <is>
          <t>HIGH_CONFIDENCE</t>
        </is>
      </c>
      <c r="I160" s="2" t="inlineStr"/>
      <c r="J160" s="2" t="inlineStr">
        <is>
          <t>Griffe an den nicht verriegelten Türblättern entfernen; Schließstellung bei jeder Wartung prüfen</t>
        </is>
      </c>
      <c r="K160" s="2" t="inlineStr">
        <is>
          <t>Schließstellung der nicht verriegelten Türblätter durch eine elektrische Sicherheitseinrichtung überwachen (EN 81-20 5.3.11.2)</t>
        </is>
      </c>
      <c r="L160" s="2" t="inlineStr">
        <is>
          <t>Freigegeben 2026-09-04.</t>
        </is>
      </c>
      <c r="M160" s="3" t="n"/>
      <c r="N160" s="3" t="n"/>
    </row>
    <row r="161">
      <c r="A161" s="4" t="inlineStr">
        <is>
          <t>MF-T09</t>
        </is>
      </c>
      <c r="B161" s="4" t="inlineStr">
        <is>
          <t>Unzureichende Verbindung der Türblätter mehrteiliger Schachttüren</t>
        </is>
      </c>
      <c r="C161" s="4" t="inlineStr">
        <is>
          <t>Türen und Verriegelung</t>
        </is>
      </c>
      <c r="D161" s="4" t="inlineStr">
        <is>
          <t>MF-T09-R3</t>
        </is>
      </c>
      <c r="E161" s="4" t="n">
        <v>1</v>
      </c>
      <c r="F161" s="4" t="inlineStr">
        <is>
          <t>7.14a Verbindung der Türblätter mehrteiliger Schachttüren beantwortet</t>
        </is>
      </c>
      <c r="G161" s="4" t="inlineStr">
        <is>
          <t>Kein Risiko</t>
        </is>
      </c>
      <c r="H161" s="4" t="inlineStr">
        <is>
          <t>HIGH_CONFIDENCE</t>
        </is>
      </c>
      <c r="I161" s="4" t="inlineStr"/>
      <c r="J161" s="4" t="inlineStr">
        <is>
          <t>Zustand erhalten; bei der wiederkehrenden Prüfung und der Betreiberkontrolle erneut prüfen</t>
        </is>
      </c>
      <c r="K161" s="4" t="inlineStr"/>
      <c r="L161" s="4" t="inlineStr">
        <is>
          <t>Kein Risiko: keine Mangelregel trifft zu, alle Pflichtfragen beantwortet. Freigegeben 2026-09-04.</t>
        </is>
      </c>
      <c r="M161" s="3" t="n"/>
      <c r="N161" s="3" t="n"/>
    </row>
    <row r="162">
      <c r="A162" s="2" t="inlineStr">
        <is>
          <t>MF-K01</t>
        </is>
      </c>
      <c r="B162" s="2" t="inlineStr">
        <is>
          <t>Fehlende oder unzulängliche Notrufeinrichtung im Fahrkorb</t>
        </is>
      </c>
      <c r="C162" s="2" t="inlineStr">
        <is>
          <t>Notruf und Personenbefreiung</t>
        </is>
      </c>
      <c r="D162" s="2" t="inlineStr">
        <is>
          <t>MF-K01-R1</t>
        </is>
      </c>
      <c r="E162" s="2" t="n">
        <v>100</v>
      </c>
      <c r="F162" s="2" t="inlineStr">
        <is>
          <t>8.1 Notrufeinrichtung im Fahrkorb vorhanden? = Nein</t>
        </is>
      </c>
      <c r="G162" s="2" t="inlineStr">
        <is>
          <t>Hoch</t>
        </is>
      </c>
      <c r="H162" s="2" t="inlineStr">
        <is>
          <t>HIGH_CONFIDENCE</t>
        </is>
      </c>
      <c r="I162" s="2" t="inlineStr"/>
      <c r="J162" s="2" t="inlineStr">
        <is>
          <t>Aufzug für Personentransport sperren</t>
        </is>
      </c>
      <c r="K162" s="2" t="inlineStr">
        <is>
          <t>Notrufsystem mit Sprechverbindung installieren</t>
        </is>
      </c>
      <c r="L162" s="2" t="inlineStr">
        <is>
          <t>Freigegeben 2026-09-20.</t>
        </is>
      </c>
      <c r="M162" s="3" t="n"/>
      <c r="N162" s="3" t="n"/>
    </row>
    <row r="163">
      <c r="A163" s="4" t="inlineStr">
        <is>
          <t>MF-K01</t>
        </is>
      </c>
      <c r="B163" s="4" t="inlineStr">
        <is>
          <t>Fehlende oder unzulängliche Notrufeinrichtung im Fahrkorb</t>
        </is>
      </c>
      <c r="C163" s="4" t="inlineStr">
        <is>
          <t>Notruf und Personenbefreiung</t>
        </is>
      </c>
      <c r="D163" s="4" t="inlineStr">
        <is>
          <t>MF-K01-R2</t>
        </is>
      </c>
      <c r="E163" s="4" t="n">
        <v>110</v>
      </c>
      <c r="F163" s="4" t="inlineStr">
        <is>
          <t>8.2 Art der Notrufeinrichtung = „Klingel im Schacht ohne Weiterleitung"</t>
        </is>
      </c>
      <c r="G163" s="4" t="inlineStr">
        <is>
          <t>Hoch</t>
        </is>
      </c>
      <c r="H163" s="4" t="inlineStr">
        <is>
          <t>HIGH_CONFIDENCE</t>
        </is>
      </c>
      <c r="I163" s="4" t="inlineStr"/>
      <c r="J163" s="4" t="inlineStr">
        <is>
          <t>Aufzug für den Personentransport sperren, bis eine Notrufverbindung zu einer Stelle besteht, die die Befreiung auslöst</t>
        </is>
      </c>
      <c r="K163" s="4" t="inlineStr">
        <is>
          <t>Notrufsystem mit Sprechverbindung installieren</t>
        </is>
      </c>
      <c r="L163" s="4" t="inlineStr">
        <is>
          <t>Regelprüfung 20.09.2026: Eine nur im Schacht läutende Klingel ist in der Wirkung dasselbe wie gar kein Notruf: niemand nimmt das Signal entgegen, die Rettungskette startet nicht. Vorher lag der Fall mit den beiden milderen Ausführungen auf Mittel. Freigegeben 2026-09-20.</t>
        </is>
      </c>
      <c r="M163" s="3" t="n"/>
      <c r="N163" s="3" t="n"/>
    </row>
    <row r="164">
      <c r="A164" s="2" t="inlineStr">
        <is>
          <t>MF-K01</t>
        </is>
      </c>
      <c r="B164" s="2" t="inlineStr">
        <is>
          <t>Fehlende oder unzulängliche Notrufeinrichtung im Fahrkorb</t>
        </is>
      </c>
      <c r="C164" s="2" t="inlineStr">
        <is>
          <t>Notruf und Personenbefreiung</t>
        </is>
      </c>
      <c r="D164" s="2" t="inlineStr">
        <is>
          <t>MF-K01-R3</t>
        </is>
      </c>
      <c r="E164" s="2" t="n">
        <v>100</v>
      </c>
      <c r="F164" s="2" t="inlineStr">
        <is>
          <t>8.2 Art der Notrufeinrichtung = „Sprechverbindung oder Klingel zu nicht ständig besetzter Stelle"</t>
        </is>
      </c>
      <c r="G164" s="2" t="inlineStr">
        <is>
          <t>Mittel</t>
        </is>
      </c>
      <c r="H164" s="2" t="inlineStr">
        <is>
          <t>HIGH_CONFIDENCE</t>
        </is>
      </c>
      <c r="I164" s="2" t="inlineStr"/>
      <c r="J164" s="2" t="inlineStr">
        <is>
          <t>Aufzug nur für unterwiesene Personen freigeben und für sonstigen Personentransport sperren</t>
        </is>
      </c>
      <c r="K164" s="2" t="inlineStr">
        <is>
          <t>Notrufsystem mit Sprechverbindung installieren</t>
        </is>
      </c>
      <c r="L164" s="2" t="inlineStr">
        <is>
          <t>Regelprüfung 20.09.2026: Aus der bisherigen Sammelregel herausgelöst: die Rettungskette läuft, die Gegenstelle ist aber nicht ständig besetzt. Freigegeben 2026-09-20.</t>
        </is>
      </c>
      <c r="M164" s="3" t="n"/>
      <c r="N164" s="3" t="n"/>
    </row>
    <row r="165">
      <c r="A165" s="4" t="inlineStr">
        <is>
          <t>MF-K01</t>
        </is>
      </c>
      <c r="B165" s="4" t="inlineStr">
        <is>
          <t>Fehlende oder unzulängliche Notrufeinrichtung im Fahrkorb</t>
        </is>
      </c>
      <c r="C165" s="4" t="inlineStr">
        <is>
          <t>Notruf und Personenbefreiung</t>
        </is>
      </c>
      <c r="D165" s="4" t="inlineStr">
        <is>
          <t>MF-K01-R4</t>
        </is>
      </c>
      <c r="E165" s="4" t="n">
        <v>100</v>
      </c>
      <c r="F165" s="4" t="inlineStr">
        <is>
          <t>8.2 Art der Notrufeinrichtung = „Klingel zu ständig besetzter Stelle"</t>
        </is>
      </c>
      <c r="G165" s="4" t="inlineStr">
        <is>
          <t>Mittel</t>
        </is>
      </c>
      <c r="H165" s="4" t="inlineStr">
        <is>
          <t>HIGH_CONFIDENCE</t>
        </is>
      </c>
      <c r="I165" s="4" t="inlineStr"/>
      <c r="J165" s="4" t="inlineStr">
        <is>
          <t>Betreiber informieren; Erreichbarkeit und Befreiungsablauf der ständig besetzten Stelle organisatorisch sicherstellen</t>
        </is>
      </c>
      <c r="K165" s="4" t="inlineStr">
        <is>
          <t>Notrufsystem mit Sprechverbindung installieren</t>
        </is>
      </c>
      <c r="L165" s="4" t="inlineStr">
        <is>
          <t>Regelprüfung 20.09.2026: Mildester Fall: die Rettungskette funktioniert, nur die Sprechverbindung fehlt. Die einschneidende Sperrung aus der Sammelregel war hier unverhältnismäßig. Freigegeben 2026-09-20.</t>
        </is>
      </c>
      <c r="M165" s="3" t="n"/>
      <c r="N165" s="3" t="n"/>
    </row>
    <row r="166">
      <c r="A166" s="2" t="inlineStr">
        <is>
          <t>MF-K01</t>
        </is>
      </c>
      <c r="B166" s="2" t="inlineStr">
        <is>
          <t>Fehlende oder unzulängliche Notrufeinrichtung im Fahrkorb</t>
        </is>
      </c>
      <c r="C166" s="2" t="inlineStr">
        <is>
          <t>Notruf und Personenbefreiung</t>
        </is>
      </c>
      <c r="D166" s="2" t="inlineStr">
        <is>
          <t>MF-K01-R5</t>
        </is>
      </c>
      <c r="E166" s="2" t="n">
        <v>100</v>
      </c>
      <c r="F166" s="2" t="inlineStr">
        <is>
          <t>8.3 Nachweis: Notruf auf eine rund um die Uhr besetzte Stelle aufgeschaltet (Aufschaltbestätigung, Testruf)? = Nein</t>
        </is>
      </c>
      <c r="G166" s="2" t="inlineStr">
        <is>
          <t>Mittel</t>
        </is>
      </c>
      <c r="H166" s="2" t="inlineStr">
        <is>
          <t>INFERRED</t>
        </is>
      </c>
      <c r="I166" s="2" t="inlineStr"/>
      <c r="J166" s="2" t="inlineStr">
        <is>
          <t>Betreiber informieren; Erreichbarkeit der Notrufstelle außerhalb der Betriebszeiten regeln</t>
        </is>
      </c>
      <c r="K166" s="2" t="inlineStr">
        <is>
          <t>Notruf auf einen 24 h besetzten Notrufdienst (EN 81-28) aufschalten</t>
        </is>
      </c>
      <c r="L166" s="2" t="inlineStr">
        <is>
          <t>Entschieden 2026-09-02: K-K01.</t>
        </is>
      </c>
      <c r="M166" s="3" t="n"/>
      <c r="N166" s="3" t="n"/>
    </row>
    <row r="167">
      <c r="A167" s="4" t="inlineStr">
        <is>
          <t>MF-K01</t>
        </is>
      </c>
      <c r="B167" s="4" t="inlineStr">
        <is>
          <t>Fehlende oder unzulängliche Notrufeinrichtung im Fahrkorb</t>
        </is>
      </c>
      <c r="C167" s="4" t="inlineStr">
        <is>
          <t>Notruf und Personenbefreiung</t>
        </is>
      </c>
      <c r="D167" s="4" t="inlineStr">
        <is>
          <t>MF-K01-R6</t>
        </is>
      </c>
      <c r="E167" s="4" t="n">
        <v>1</v>
      </c>
      <c r="F167" s="4" t="inlineStr">
        <is>
          <t>8.1 Notrufeinrichtung im Fahrkorb vorhanden? beantwortet</t>
        </is>
      </c>
      <c r="G167" s="4" t="inlineStr">
        <is>
          <t>Kein Risiko</t>
        </is>
      </c>
      <c r="H167" s="4" t="inlineStr">
        <is>
          <t>HIGH_CONFIDENCE</t>
        </is>
      </c>
      <c r="I167" s="4" t="inlineStr"/>
      <c r="J167" s="4" t="inlineStr">
        <is>
          <t>Zustand erhalten; bei der wiederkehrenden Prüfung und der Betreiberkontrolle erneut prüfen</t>
        </is>
      </c>
      <c r="K167" s="4" t="inlineStr"/>
      <c r="L167" s="4" t="inlineStr">
        <is>
          <t>Kein Risiko: keine Mangelregel trifft zu, alle Pflichtfragen beantwortet. Freigegeben 2026-09-20.</t>
        </is>
      </c>
      <c r="M167" s="3" t="n"/>
      <c r="N167" s="3" t="n"/>
    </row>
    <row r="168">
      <c r="A168" s="2" t="inlineStr">
        <is>
          <t>MF-K02</t>
        </is>
      </c>
      <c r="B168" s="2" t="inlineStr">
        <is>
          <t>Fehlende oder unzulängliche Notbeleuchtung im Fahrkorb</t>
        </is>
      </c>
      <c r="C168" s="2" t="inlineStr">
        <is>
          <t>Beleuchtung</t>
        </is>
      </c>
      <c r="D168" s="2" t="inlineStr">
        <is>
          <t>MF-K02-R1</t>
        </is>
      </c>
      <c r="E168" s="2" t="n">
        <v>100</v>
      </c>
      <c r="F168" s="2" t="inlineStr">
        <is>
          <t>8.5 Notbeleuchtung im Fahrkorb = „Keine Notbeleuchtung"</t>
        </is>
      </c>
      <c r="G168" s="2" t="inlineStr">
        <is>
          <t>Mittel</t>
        </is>
      </c>
      <c r="H168" s="2" t="inlineStr">
        <is>
          <t>HIGH_CONFIDENCE</t>
        </is>
      </c>
      <c r="I168" s="2" t="inlineStr"/>
      <c r="J168" s="2" t="inlineStr">
        <is>
          <t>Betreiber informieren; Verhalten bei Stromausfall im Notfallplan festlegen und Befreiung innerhalb einer festgelegten Zeit sicherstellen</t>
        </is>
      </c>
      <c r="K168" s="2" t="inlineStr">
        <is>
          <t>Notbeleuchtung nach DIN EN 81-20 5.4.10.4 nachrüsten (mind. 5 lx am Notrufauslöser, 1 h)</t>
        </is>
      </c>
      <c r="L168" s="2" t="inlineStr">
        <is>
          <t>Regelprüfung 20.09.2026: Hoch auf Mittel: Ein dunkler Fahrkorb bedroht Leben und Gesundheit nicht unmittelbar – die Gefährdung entsteht erst beim Zusammentreffen von Netzausfall und Einschluss. Hoch bleibt dem Zusammentreffen mit fehlendem Notruf vorbehalten (MF-K01). Der Nachrüstauftrag braucht eine Fachfirma und ist in die mittelfristige Maßnahme gewandert. Entschieden 2026-09-02: K-K02.</t>
        </is>
      </c>
      <c r="M168" s="3" t="n"/>
      <c r="N168" s="3" t="n"/>
    </row>
    <row r="169">
      <c r="A169" s="4" t="inlineStr">
        <is>
          <t>MF-K02</t>
        </is>
      </c>
      <c r="B169" s="4" t="inlineStr">
        <is>
          <t>Fehlende oder unzulängliche Notbeleuchtung im Fahrkorb</t>
        </is>
      </c>
      <c r="C169" s="4" t="inlineStr">
        <is>
          <t>Beleuchtung</t>
        </is>
      </c>
      <c r="D169" s="4" t="inlineStr">
        <is>
          <t>MF-K02-R2</t>
        </is>
      </c>
      <c r="E169" s="4" t="n">
        <v>100</v>
      </c>
      <c r="F169" s="4" t="inlineStr">
        <is>
          <t>8.5 Notbeleuchtung im Fahrkorb = „Keine Notbeleuchtung, aber beleuchteter Notruftaster"</t>
        </is>
      </c>
      <c r="G169" s="4" t="inlineStr">
        <is>
          <t>Niedrig</t>
        </is>
      </c>
      <c r="H169" s="4" t="inlineStr">
        <is>
          <t>INFERRED</t>
        </is>
      </c>
      <c r="I169" s="4" t="inlineStr"/>
      <c r="J169" s="4" t="inlineStr">
        <is>
          <t>Beleuchtung des Notruftasters bei Netzausfall prüfen; Verhalten bei Stromausfall im Notfallplan festlegen</t>
        </is>
      </c>
      <c r="K169" s="4" t="inlineStr">
        <is>
          <t>Notbeleuchtung nach DIN EN 81-20 5.4.10.4 nachrüsten (mind. 5 lx am Notrufauslöser, 1 h)</t>
        </is>
      </c>
      <c r="L169" s="4" t="inlineStr">
        <is>
          <t>App K10: Leuchte ohne Netzersatzfunktion, jedoch beleuchteter Notruf-Taster = grün. [Prüfbericht: Prüfbericht 16.09.2026 – Tasterbeleuchtung ersetzt keine Notbeleuchtung: Niedrig statt Kein Risiko] Freigegeben 2026-09-20.</t>
        </is>
      </c>
      <c r="M169" s="3" t="n"/>
      <c r="N169" s="3" t="n"/>
    </row>
    <row r="170">
      <c r="A170" s="2" t="inlineStr">
        <is>
          <t>MF-K02</t>
        </is>
      </c>
      <c r="B170" s="2" t="inlineStr">
        <is>
          <t>Fehlende oder unzulängliche Notbeleuchtung im Fahrkorb</t>
        </is>
      </c>
      <c r="C170" s="2" t="inlineStr">
        <is>
          <t>Beleuchtung</t>
        </is>
      </c>
      <c r="D170" s="2" t="inlineStr">
        <is>
          <t>MF-K02-R3</t>
        </is>
      </c>
      <c r="E170" s="2" t="n">
        <v>1</v>
      </c>
      <c r="F170" s="2" t="inlineStr">
        <is>
          <t>8.5 Notbeleuchtung im Fahrkorb beantwortet</t>
        </is>
      </c>
      <c r="G170" s="2" t="inlineStr">
        <is>
          <t>Kein Risiko</t>
        </is>
      </c>
      <c r="H170" s="2" t="inlineStr">
        <is>
          <t>HIGH_CONFIDENCE</t>
        </is>
      </c>
      <c r="I170" s="2" t="inlineStr"/>
      <c r="J170" s="2" t="inlineStr">
        <is>
          <t>Zustand erhalten; bei der wiederkehrenden Prüfung und der Betreiberkontrolle erneut prüfen</t>
        </is>
      </c>
      <c r="K170" s="2" t="inlineStr"/>
      <c r="L170" s="2" t="inlineStr">
        <is>
          <t>Kein Risiko: keine Mangelregel trifft zu, alle Pflichtfragen beantwortet. Freigegeben 2026-09-20.</t>
        </is>
      </c>
      <c r="M170" s="3" t="n"/>
      <c r="N170" s="3" t="n"/>
    </row>
    <row r="171">
      <c r="A171" s="4" t="inlineStr">
        <is>
          <t>MF-K03</t>
        </is>
      </c>
      <c r="B171" s="4" t="inlineStr">
        <is>
          <t>Unzureichende Haltegenauigkeit / Stufenbildung an den Haltestellen</t>
        </is>
      </c>
      <c r="C171" s="4" t="inlineStr">
        <is>
          <t>Antrieb, Bremse und Hydraulik</t>
        </is>
      </c>
      <c r="D171" s="4" t="inlineStr">
        <is>
          <t>MF-K03-R1</t>
        </is>
      </c>
      <c r="E171" s="4" t="n">
        <v>300</v>
      </c>
      <c r="F171" s="4" t="inlineStr">
        <is>
          <t>8.10 Größte Stufenbildung / Haltegenauigkeit an den Haltestellen in [„über 20 mm"]</t>
        </is>
      </c>
      <c r="G171" s="4" t="inlineStr">
        <is>
          <t>Hoch</t>
        </is>
      </c>
      <c r="H171" s="4" t="inlineStr">
        <is>
          <t>HIGH_CONFIDENCE</t>
        </is>
      </c>
      <c r="I171" s="4" t="inlineStr"/>
      <c r="J171" s="4" t="inlineStr">
        <is>
          <t>Aufzug nur für unterwiesene Personen freigeben und für sonstigen Personentransport sperren</t>
        </is>
      </c>
      <c r="K171" s="4" t="inlineStr">
        <is>
          <t>Motorregelung oder andere technische Maßnahme nachrüsten</t>
        </is>
      </c>
      <c r="L171" s="4" t="inlineStr">
        <is>
          <t>Freigegeben 2026-09-20.</t>
        </is>
      </c>
      <c r="M171" s="3" t="n"/>
      <c r="N171" s="3" t="n"/>
    </row>
    <row r="172">
      <c r="A172" s="2" t="inlineStr">
        <is>
          <t>MF-K03</t>
        </is>
      </c>
      <c r="B172" s="2" t="inlineStr">
        <is>
          <t>Unzureichende Haltegenauigkeit / Stufenbildung an den Haltestellen</t>
        </is>
      </c>
      <c r="C172" s="2" t="inlineStr">
        <is>
          <t>Antrieb, Bremse und Hydraulik</t>
        </is>
      </c>
      <c r="D172" s="2" t="inlineStr">
        <is>
          <t>MF-K03-R2</t>
        </is>
      </c>
      <c r="E172" s="2" t="n">
        <v>250</v>
      </c>
      <c r="F172" s="2" t="inlineStr">
        <is>
          <t>(8.10 Größte Stufenbildung / Haltegenauigkeit an den Haltestellen in [„11–20 mm", „über 20 mm"] UND 4.9 Nutzung durch Personen mit eingeschränkter Mobilität (Rollstuhl, Rollator, Sehbehinderung) zu erwarten? = Ja)</t>
        </is>
      </c>
      <c r="G172" s="2" t="inlineStr">
        <is>
          <t>Hoch</t>
        </is>
      </c>
      <c r="H172" s="2" t="inlineStr">
        <is>
          <t>INFERRED</t>
        </is>
      </c>
      <c r="I172" s="2" t="inlineStr"/>
      <c r="J172" s="2" t="inlineStr">
        <is>
          <t>Aufzug nur für unterwiesene Personen freigeben und für sonstigen Personentransport sperren</t>
        </is>
      </c>
      <c r="K172" s="2" t="inlineStr">
        <is>
          <t>Motorregelung oder andere technische Maßnahme nachrüsten</t>
        </is>
      </c>
      <c r="L172" s="2" t="inlineStr">
        <is>
          <t>Entschieden 2026-09-02: K-K03.</t>
        </is>
      </c>
      <c r="M172" s="3" t="n"/>
      <c r="N172" s="3" t="n"/>
    </row>
    <row r="173">
      <c r="A173" s="4" t="inlineStr">
        <is>
          <t>MF-K03</t>
        </is>
      </c>
      <c r="B173" s="4" t="inlineStr">
        <is>
          <t>Unzureichende Haltegenauigkeit / Stufenbildung an den Haltestellen</t>
        </is>
      </c>
      <c r="C173" s="4" t="inlineStr">
        <is>
          <t>Antrieb, Bremse und Hydraulik</t>
        </is>
      </c>
      <c r="D173" s="4" t="inlineStr">
        <is>
          <t>MF-K03-R3</t>
        </is>
      </c>
      <c r="E173" s="4" t="n">
        <v>200</v>
      </c>
      <c r="F173" s="4" t="inlineStr">
        <is>
          <t>8.10 Größte Stufenbildung / Haltegenauigkeit an den Haltestellen in [„11–20 mm", „über 20 mm"]</t>
        </is>
      </c>
      <c r="G173" s="4" t="inlineStr">
        <is>
          <t>Mittel</t>
        </is>
      </c>
      <c r="H173" s="4" t="inlineStr">
        <is>
          <t>HIGH_CONFIDENCE</t>
        </is>
      </c>
      <c r="I173" s="4" t="inlineStr"/>
      <c r="J173" s="4" t="inlineStr">
        <is>
          <t>Betroffene Haltestellen kennzeichnen (Stufenmarkierung), Nutzer und Reinigungspersonal auf die Stufe hinweisen, Betreiber informieren und Nachregulierung beauftragen</t>
        </is>
      </c>
      <c r="K173" s="4" t="inlineStr">
        <is>
          <t>Haltegenauigkeit auf ±10 mm und Nachregulierung auf ±20 mm herstellen (geregelter Antrieb, Nachstelleinrichtung bzw. geregeltes Ventil)</t>
        </is>
      </c>
      <c r="L173" s="4" t="inlineStr">
        <is>
          <t>Entscheidung 02.09.2026: kein Warnhinweis als Kompensation, bleibt Mittel. Regelprüfung 20.09.2026: Sofortmaßnahme war das Einstellen von Aufzug/Bremse/Motorregelung – das ist keine Sofortmaßnahme, sondern genau die mittelfristige technische Nachregulierung. Sofort wirkt nur die organisatorische Kennzeichnung der Stufe (TOP: O vor T). [Prüfbericht: H11 – mittelfristige Maßnahme ergänzt] Frühere Klärung (vor der Änderung entschieden): K-K10 Freigegeben 2026-09-20.</t>
        </is>
      </c>
      <c r="M173" s="3" t="n"/>
      <c r="N173" s="3" t="n"/>
    </row>
    <row r="174">
      <c r="A174" s="2" t="inlineStr">
        <is>
          <t>MF-K03</t>
        </is>
      </c>
      <c r="B174" s="2" t="inlineStr">
        <is>
          <t>Unzureichende Haltegenauigkeit / Stufenbildung an den Haltestellen</t>
        </is>
      </c>
      <c r="C174" s="2" t="inlineStr">
        <is>
          <t>Antrieb, Bremse und Hydraulik</t>
        </is>
      </c>
      <c r="D174" s="2" t="inlineStr">
        <is>
          <t>MF-K03-R4</t>
        </is>
      </c>
      <c r="E174" s="2" t="n">
        <v>1</v>
      </c>
      <c r="F174" s="2" t="inlineStr">
        <is>
          <t>8.10 Größte Stufenbildung / Haltegenauigkeit an den Haltestellen beantwortet</t>
        </is>
      </c>
      <c r="G174" s="2" t="inlineStr">
        <is>
          <t>Kein Risiko</t>
        </is>
      </c>
      <c r="H174" s="2" t="inlineStr">
        <is>
          <t>HIGH_CONFIDENCE</t>
        </is>
      </c>
      <c r="I174" s="2" t="inlineStr"/>
      <c r="J174" s="2" t="inlineStr">
        <is>
          <t>Zustand erhalten; bei der wiederkehrenden Prüfung und der Betreiberkontrolle erneut prüfen</t>
        </is>
      </c>
      <c r="K174" s="2" t="inlineStr"/>
      <c r="L174" s="2" t="inlineStr">
        <is>
          <t>Kein Risiko: keine Mangelregel trifft zu, alle Pflichtfragen beantwortet. Freigegeben 2026-09-20.</t>
        </is>
      </c>
      <c r="M174" s="3" t="n"/>
      <c r="N174" s="3" t="n"/>
    </row>
    <row r="175">
      <c r="A175" s="4" t="inlineStr">
        <is>
          <t>MF-K04</t>
        </is>
      </c>
      <c r="B175" s="4" t="inlineStr">
        <is>
          <t>Unzureichende Fahrkorbtürschürze</t>
        </is>
      </c>
      <c r="C175" s="4" t="inlineStr">
        <is>
          <t>Fahrkorb und Nutzung</t>
        </is>
      </c>
      <c r="D175" s="4" t="inlineStr">
        <is>
          <t>MF-K04-R1</t>
        </is>
      </c>
      <c r="E175" s="4" t="n">
        <v>300</v>
      </c>
      <c r="F175" s="4" t="inlineStr">
        <is>
          <t>(8.12 Fahrkorbtürschürze in [„unter 300 mm oder keine Schürze"] UND 8.13 Personenbefreiung ausschließlich durch fachkundige Personen (Betriebsanweisung, keine Selbstbefreiung durch Aufzugswärter)? = Ja)</t>
        </is>
      </c>
      <c r="G175" s="4" t="inlineStr">
        <is>
          <t>Mittel</t>
        </is>
      </c>
      <c r="H175" s="4" t="inlineStr">
        <is>
          <t>HIGH_CONFIDENCE</t>
        </is>
      </c>
      <c r="I175" s="4" t="inlineStr"/>
      <c r="J175" s="4" t="inlineStr">
        <is>
          <t>Personenbefreiung nur durch fachkundige Personen und nur mit dem Fahrkorb in der Entriegelungszone; Schachtöffnung unter dem Fahrkorb sichern</t>
        </is>
      </c>
      <c r="K175" s="4" t="inlineStr">
        <is>
          <t>Kabinentürschürze nachrüsten</t>
        </is>
      </c>
      <c r="L175" s="4" t="inlineStr">
        <is>
          <t>[Prüfbericht 16.09.2026: konkrete Sofortmaßnahme statt „Vorsicht“] Freigegeben 2026-09-20.</t>
        </is>
      </c>
      <c r="M175" s="3" t="n"/>
      <c r="N175" s="3" t="n"/>
    </row>
    <row r="176">
      <c r="A176" s="2" t="inlineStr">
        <is>
          <t>MF-K04</t>
        </is>
      </c>
      <c r="B176" s="2" t="inlineStr">
        <is>
          <t>Unzureichende Fahrkorbtürschürze</t>
        </is>
      </c>
      <c r="C176" s="2" t="inlineStr">
        <is>
          <t>Fahrkorb und Nutzung</t>
        </is>
      </c>
      <c r="D176" s="2" t="inlineStr">
        <is>
          <t>MF-K04-R2</t>
        </is>
      </c>
      <c r="E176" s="2" t="n">
        <v>200</v>
      </c>
      <c r="F176" s="2" t="inlineStr">
        <is>
          <t>8.12 Fahrkorbtürschürze in [„unter 300 mm oder keine Schürze"]</t>
        </is>
      </c>
      <c r="G176" s="2" t="inlineStr">
        <is>
          <t>Hoch</t>
        </is>
      </c>
      <c r="H176" s="2" t="inlineStr">
        <is>
          <t>HIGH_CONFIDENCE</t>
        </is>
      </c>
      <c r="I176" s="2" t="inlineStr"/>
      <c r="J176" s="2" t="inlineStr">
        <is>
          <t>Personenbefreiung nur durch fachkundige Personen und nur mit dem Fahrkorb in der Entriegelungszone; Schachtöffnung unter dem Fahrkorb sichern</t>
        </is>
      </c>
      <c r="K176" s="2" t="inlineStr">
        <is>
          <t>Kabinentürschürze nachrüsten</t>
        </is>
      </c>
      <c r="L176" s="2" t="inlineStr">
        <is>
          <t>[Prüfbericht 16.09.2026: konkrete Sofortmaßnahme statt „Vorsicht“] Freigegeben 2026-09-20.</t>
        </is>
      </c>
      <c r="M176" s="3" t="n"/>
      <c r="N176" s="3" t="n"/>
    </row>
    <row r="177">
      <c r="A177" s="4" t="inlineStr">
        <is>
          <t>MF-K04</t>
        </is>
      </c>
      <c r="B177" s="4" t="inlineStr">
        <is>
          <t>Unzureichende Fahrkorbtürschürze</t>
        </is>
      </c>
      <c r="C177" s="4" t="inlineStr">
        <is>
          <t>Fahrkorb und Nutzung</t>
        </is>
      </c>
      <c r="D177" s="4" t="inlineStr">
        <is>
          <t>MF-K04-R3</t>
        </is>
      </c>
      <c r="E177" s="4" t="n">
        <v>100</v>
      </c>
      <c r="F177" s="4" t="inlineStr">
        <is>
          <t>8.12 Fahrkorbtürschürze in [„300–749 mm", „unter 300 mm oder keine Schürze"]</t>
        </is>
      </c>
      <c r="G177" s="4" t="inlineStr">
        <is>
          <t>Mittel</t>
        </is>
      </c>
      <c r="H177" s="4" t="inlineStr">
        <is>
          <t>HIGH_CONFIDENCE</t>
        </is>
      </c>
      <c r="I177" s="4" t="inlineStr"/>
      <c r="J177" s="4" t="inlineStr">
        <is>
          <t>Personenbefreiung nur durch fachkundige Personen und nur mit dem Fahrkorb in der Entriegelungszone; Schachtöffnung unter dem Fahrkorb sichern</t>
        </is>
      </c>
      <c r="K177" s="4" t="inlineStr">
        <is>
          <t>Kabinentürschürze nachrüsten</t>
        </is>
      </c>
      <c r="L177" s="4" t="inlineStr">
        <is>
          <t>[Prüfbericht 16.09.2026: konkrete Sofortmaßnahme statt „Vorsicht“] Freigegeben 2026-09-20.</t>
        </is>
      </c>
      <c r="M177" s="3" t="n"/>
      <c r="N177" s="3" t="n"/>
    </row>
    <row r="178">
      <c r="A178" s="2" t="inlineStr">
        <is>
          <t>MF-K04</t>
        </is>
      </c>
      <c r="B178" s="2" t="inlineStr">
        <is>
          <t>Unzureichende Fahrkorbtürschürze</t>
        </is>
      </c>
      <c r="C178" s="2" t="inlineStr">
        <is>
          <t>Fahrkorb und Nutzung</t>
        </is>
      </c>
      <c r="D178" s="2" t="inlineStr">
        <is>
          <t>MF-K04-R4</t>
        </is>
      </c>
      <c r="E178" s="2" t="n">
        <v>1</v>
      </c>
      <c r="F178" s="2" t="inlineStr">
        <is>
          <t>8.12 Fahrkorbtürschürze beantwortet</t>
        </is>
      </c>
      <c r="G178" s="2" t="inlineStr">
        <is>
          <t>Kein Risiko</t>
        </is>
      </c>
      <c r="H178" s="2" t="inlineStr">
        <is>
          <t>HIGH_CONFIDENCE</t>
        </is>
      </c>
      <c r="I178" s="2" t="inlineStr"/>
      <c r="J178" s="2" t="inlineStr">
        <is>
          <t>Zustand erhalten; bei der wiederkehrenden Prüfung und der Betreiberkontrolle erneut prüfen</t>
        </is>
      </c>
      <c r="K178" s="2" t="inlineStr"/>
      <c r="L178" s="2" t="inlineStr">
        <is>
          <t>Kein Risiko: keine Mangelregel trifft zu, alle Pflichtfragen beantwortet. Freigegeben 2026-09-20.</t>
        </is>
      </c>
      <c r="M178" s="3" t="n"/>
      <c r="N178" s="3" t="n"/>
    </row>
    <row r="179">
      <c r="A179" s="4" t="inlineStr">
        <is>
          <t>MF-K05</t>
        </is>
      </c>
      <c r="B179" s="4" t="inlineStr">
        <is>
          <t>Zu großer Abstand zwischen Fahrkorbschwelle und Schachtwand</t>
        </is>
      </c>
      <c r="C179" s="4" t="inlineStr">
        <is>
          <t>Fahrkorb und Nutzung</t>
        </is>
      </c>
      <c r="D179" s="4" t="inlineStr">
        <is>
          <t>MF-K05-R1</t>
        </is>
      </c>
      <c r="E179" s="4" t="n">
        <v>200</v>
      </c>
      <c r="F179" s="4" t="inlineStr">
        <is>
          <t>(8.14 Abstand Fahrkorbschwelle – Schachtwand über 150 mm? = Ja UND 8.15 Fahrkorbtür-Verriegelung (Fahrkorbtür außerhalb der Entriegelungszone verriegelt)? = Ja UND 8.15a Zusatzverriegelung an den Schachttüren vorhanden? = Ja)</t>
        </is>
      </c>
      <c r="G179" s="4" t="inlineStr">
        <is>
          <t>Kein Risiko</t>
        </is>
      </c>
      <c r="H179" s="4" t="inlineStr">
        <is>
          <t>HIGH_CONFIDENCE</t>
        </is>
      </c>
      <c r="I179" s="4" t="inlineStr"/>
      <c r="J179" s="4" t="inlineStr"/>
      <c r="K179" s="4" t="inlineStr"/>
      <c r="L179" s="4" t="inlineStr">
        <is>
          <t>Entscheidung 02.09.2026: Kein Risiko nur mit Fahrkorbtür-Verriegelung UND Zusatzverriegelung an der Schachttür. Entschieden 2026-09-02: K-K04.</t>
        </is>
      </c>
      <c r="M179" s="3" t="n"/>
      <c r="N179" s="3" t="n"/>
    </row>
    <row r="180">
      <c r="A180" s="2" t="inlineStr">
        <is>
          <t>MF-K05</t>
        </is>
      </c>
      <c r="B180" s="2" t="inlineStr">
        <is>
          <t>Zu großer Abstand zwischen Fahrkorbschwelle und Schachtwand</t>
        </is>
      </c>
      <c r="C180" s="2" t="inlineStr">
        <is>
          <t>Fahrkorb und Nutzung</t>
        </is>
      </c>
      <c r="D180" s="2" t="inlineStr">
        <is>
          <t>MF-K05-R4</t>
        </is>
      </c>
      <c r="E180" s="2" t="n">
        <v>190</v>
      </c>
      <c r="F180" s="2" t="inlineStr">
        <is>
          <t>(8.14 Abstand Fahrkorbschwelle – Schachtwand über 150 mm? = Ja UND ((8.15 Fahrkorbtür-Verriegelung (Fahrkorbtür außerhalb der Entriegelungszone verriegelt)? = Ja UND 8.15a Zusatzverriegelung an den Schachttüren vorhanden? = Nein) ODER (8.15 Fahrkorbtür-Verriegelung (Fahrkorbtür außerhalb der Entriegelungszone verriegelt)? = Nein UND 8.15a Zusatzverriegelung an den Schachttüren vorhanden? = Ja)))</t>
        </is>
      </c>
      <c r="G180" s="2" t="inlineStr">
        <is>
          <t>Niedrig</t>
        </is>
      </c>
      <c r="H180" s="2" t="inlineStr">
        <is>
          <t>INFERRED</t>
        </is>
      </c>
      <c r="I180" s="2" t="inlineStr"/>
      <c r="J180" s="2" t="inlineStr">
        <is>
          <t>Nutzer über die Absturzgefahr bei Selbstbefreiung unterweisen</t>
        </is>
      </c>
      <c r="K180" s="2" t="inlineStr">
        <is>
          <t>Zweite Maßnahme (Fahrkorbtür-Verriegelung bzw. Zusatzverriegelung der Schachttüren) bei der nächsten Modernisierung ergänzen</t>
        </is>
      </c>
      <c r="L180" s="2" t="inlineStr">
        <is>
          <t>TRBS 3121 Anh. 1 Nr. 19 ist mit einer der Alternativen a) oder b) erfüllt. EIGENER STANDARD (strenger): Kein Risiko erst mit beiden Maßnahmen (K-K04). [Prüfbericht: Prüfbericht 16.09.2026 – TRBS-Alternative und eigener Standard getrennt] Freigegeben 2026-09-20.</t>
        </is>
      </c>
      <c r="M180" s="3" t="n"/>
      <c r="N180" s="3" t="n"/>
    </row>
    <row r="181">
      <c r="A181" s="4" t="inlineStr">
        <is>
          <t>MF-K05</t>
        </is>
      </c>
      <c r="B181" s="4" t="inlineStr">
        <is>
          <t>Zu großer Abstand zwischen Fahrkorbschwelle und Schachtwand</t>
        </is>
      </c>
      <c r="C181" s="4" t="inlineStr">
        <is>
          <t>Fahrkorb und Nutzung</t>
        </is>
      </c>
      <c r="D181" s="4" t="inlineStr">
        <is>
          <t>MF-K05-R5</t>
        </is>
      </c>
      <c r="E181" s="4" t="n">
        <v>150</v>
      </c>
      <c r="F181" s="4" t="inlineStr">
        <is>
          <t>(8.14 Abstand Fahrkorbschwelle – Schachtwand über 150 mm? = Ja UND 4.12 Nutzung durch unbeaufsichtigte Kinder zu erwarten (Schule, Kita, Wohnanlage)? = Ja)</t>
        </is>
      </c>
      <c r="G181" s="4" t="inlineStr">
        <is>
          <t>Hoch</t>
        </is>
      </c>
      <c r="H181" s="4" t="inlineStr">
        <is>
          <t>INFERRED</t>
        </is>
      </c>
      <c r="I181" s="4" t="inlineStr"/>
      <c r="J181" s="4" t="inlineStr">
        <is>
          <t>Betreiber unterrichten; Aufsichtspflichtige (Schule, Kita, Hausverwaltung) unterweisen und die Nutzung durch Kinder ohne Begleitung unterbinden; Aushang im Fahrkorb „Fahrkorbtür nicht öffnen, auf Befreiung warten"; Personenbefreiung ausschließlich durch fachkundige Personen mit vereinbarter Reaktionszeit; solange das nicht sichergestellt ist, Aufzug für die Nutzung durch Kinder sperren</t>
        </is>
      </c>
      <c r="K181" s="4" t="inlineStr">
        <is>
          <t>Fahrkorbtür-Verriegelung außerhalb der Entriegelungszone oder Zusatzverriegelung an den Schachttüren nachrüsten oder Abstand auf unter 150 mm reduzieren</t>
        </is>
      </c>
      <c r="L181" s="4" t="inlineStr">
        <is>
          <t>EIGENER STANDARD (strenger als TRBS 3121 Anh. 1 Nr. 19, dort bis Mittel): Hoch bei Nutzung durch Kinder. Regelprüfung 20.09.2026: Auslöser der Regel sind unbeaufsichtigte Kinder – eine Unterweisung genau dieses Personenkreises wirkt dort nicht. Die Sofortmaßnahme greift jetzt ohne Mitwirkung der gefährdeten Person. [Prüfbericht: Prüfbericht 16.09.2026 – neu: Nutzerkreis Kinder] Freigegeben 2026-09-20.</t>
        </is>
      </c>
      <c r="M181" s="3" t="n"/>
      <c r="N181" s="3" t="n"/>
    </row>
    <row r="182">
      <c r="A182" s="2" t="inlineStr">
        <is>
          <t>MF-K05</t>
        </is>
      </c>
      <c r="B182" s="2" t="inlineStr">
        <is>
          <t>Zu großer Abstand zwischen Fahrkorbschwelle und Schachtwand</t>
        </is>
      </c>
      <c r="C182" s="2" t="inlineStr">
        <is>
          <t>Fahrkorb und Nutzung</t>
        </is>
      </c>
      <c r="D182" s="2" t="inlineStr">
        <is>
          <t>MF-K05-R2</t>
        </is>
      </c>
      <c r="E182" s="2" t="n">
        <v>100</v>
      </c>
      <c r="F182" s="2" t="inlineStr">
        <is>
          <t>8.14 Abstand Fahrkorbschwelle – Schachtwand über 150 mm? = Ja</t>
        </is>
      </c>
      <c r="G182" s="2" t="inlineStr">
        <is>
          <t>Mittel</t>
        </is>
      </c>
      <c r="H182" s="2" t="inlineStr">
        <is>
          <t>HIGH_CONFIDENCE</t>
        </is>
      </c>
      <c r="I182" s="2" t="inlineStr"/>
      <c r="J182" s="2" t="inlineStr">
        <is>
          <t>Nutzer über die Absturzgefahr bei Selbstbefreiung unterweisen; Personenbefreiung nur durch fachkundige Personen</t>
        </is>
      </c>
      <c r="K182" s="2" t="inlineStr">
        <is>
          <t>Fahrkorbtür-Verriegelung außerhalb der Entriegelungszone oder Zusatzverriegelung an den Schachttüren nachrüsten oder Abstand auf unter 150 mm reduzieren</t>
        </is>
      </c>
      <c r="L182" s="2" t="inlineStr">
        <is>
          <t>TRBS 3121 Anh. 1 Nr. 19: bei Altanlagen niedrig bis mittel je nach Benutzerkreis. [Prüfbericht: Prüfbericht 16.09.2026 – Hoch auf Mittel; Hoch nur bei Nutzung durch Kinder] Freigegeben 2026-09-20.</t>
        </is>
      </c>
      <c r="M182" s="3" t="n"/>
      <c r="N182" s="3" t="n"/>
    </row>
    <row r="183">
      <c r="A183" s="4" t="inlineStr">
        <is>
          <t>MF-K05</t>
        </is>
      </c>
      <c r="B183" s="4" t="inlineStr">
        <is>
          <t>Zu großer Abstand zwischen Fahrkorbschwelle und Schachtwand</t>
        </is>
      </c>
      <c r="C183" s="4" t="inlineStr">
        <is>
          <t>Fahrkorb und Nutzung</t>
        </is>
      </c>
      <c r="D183" s="4" t="inlineStr">
        <is>
          <t>MF-K05-R3</t>
        </is>
      </c>
      <c r="E183" s="4" t="n">
        <v>1</v>
      </c>
      <c r="F183" s="4" t="inlineStr">
        <is>
          <t>8.14 Abstand Fahrkorbschwelle – Schachtwand über 150 mm? beantwortet</t>
        </is>
      </c>
      <c r="G183" s="4" t="inlineStr">
        <is>
          <t>Kein Risiko</t>
        </is>
      </c>
      <c r="H183" s="4" t="inlineStr">
        <is>
          <t>HIGH_CONFIDENCE</t>
        </is>
      </c>
      <c r="I183" s="4" t="inlineStr"/>
      <c r="J183" s="4" t="inlineStr">
        <is>
          <t>Zustand erhalten; bei der wiederkehrenden Prüfung und der Betreiberkontrolle erneut prüfen</t>
        </is>
      </c>
      <c r="K183" s="4" t="inlineStr"/>
      <c r="L183" s="4" t="inlineStr">
        <is>
          <t>Kein Risiko: keine Mangelregel trifft zu, alle Pflichtfragen beantwortet. Freigegeben 2026-09-20.</t>
        </is>
      </c>
      <c r="M183" s="3" t="n"/>
      <c r="N183" s="3" t="n"/>
    </row>
    <row r="184">
      <c r="A184" s="2" t="inlineStr">
        <is>
          <t>MF-K06</t>
        </is>
      </c>
      <c r="B184" s="2" t="inlineStr">
        <is>
          <t>Fehlende Kennzeichnung der Nennlast, unpassende Nutzfläche oder fehlende Überlastkontrolle</t>
        </is>
      </c>
      <c r="C184" s="2" t="inlineStr">
        <is>
          <t>Fahrkorb und Nutzung</t>
        </is>
      </c>
      <c r="D184" s="2" t="inlineStr">
        <is>
          <t>MF-K06-R1</t>
        </is>
      </c>
      <c r="E184" s="2" t="n">
        <v>100</v>
      </c>
      <c r="F184" s="2" t="inlineStr">
        <is>
          <t>8.17 Nutzfläche des Fahrkorbs passt zur Nennlast (Tabelle EN 81-20 5.4.2)? = Nein</t>
        </is>
      </c>
      <c r="G184" s="2" t="inlineStr">
        <is>
          <t>Hoch</t>
        </is>
      </c>
      <c r="H184" s="2" t="inlineStr">
        <is>
          <t>HIGH_CONFIDENCE</t>
        </is>
      </c>
      <c r="I184" s="2" t="inlineStr"/>
      <c r="J184" s="2" t="inlineStr">
        <is>
          <t>Beladung begrenzen und Nutzer unterweisen, Personenbeförderung einschränken</t>
        </is>
      </c>
      <c r="K184" s="2" t="inlineStr">
        <is>
          <t>Nutzfläche verkleinern oder Nennlast anpassen und die Anlage neu bewerten lassen</t>
        </is>
      </c>
      <c r="L184" s="2" t="inlineStr">
        <is>
          <t>Freigegeben 2026-09-20.</t>
        </is>
      </c>
      <c r="M184" s="3" t="n"/>
      <c r="N184" s="3" t="n"/>
    </row>
    <row r="185">
      <c r="A185" s="4" t="inlineStr">
        <is>
          <t>MF-K06</t>
        </is>
      </c>
      <c r="B185" s="4" t="inlineStr">
        <is>
          <t>Fehlende Kennzeichnung der Nennlast, unpassende Nutzfläche oder fehlende Überlastkontrolle</t>
        </is>
      </c>
      <c r="C185" s="4" t="inlineStr">
        <is>
          <t>Fahrkorb und Nutzung</t>
        </is>
      </c>
      <c r="D185" s="4" t="inlineStr">
        <is>
          <t>MF-K06-R2</t>
        </is>
      </c>
      <c r="E185" s="4" t="n">
        <v>100</v>
      </c>
      <c r="F185" s="4" t="inlineStr">
        <is>
          <t>(8.18 Überlastkontrolle / Lastmessung vorhanden? = Nein UND 2.1 Nutzungsart der Anlage in [„Lastenaufzug mit Personenbegleitung", „Güteraufzug ohne Personenbeförderung", „Personen- und Lastenaufzug"])</t>
        </is>
      </c>
      <c r="G185" s="4" t="inlineStr">
        <is>
          <t>Hoch</t>
        </is>
      </c>
      <c r="H185" s="4" t="inlineStr">
        <is>
          <t>HIGH_CONFIDENCE</t>
        </is>
      </c>
      <c r="I185" s="4" t="inlineStr"/>
      <c r="J185" s="4" t="inlineStr">
        <is>
          <t>Aufzug nur für unterwiesene Personen freigeben und für sonstigen Personentransport sperren</t>
        </is>
      </c>
      <c r="K185" s="4" t="inlineStr">
        <is>
          <t>Überlastsicherung nachrüsten</t>
        </is>
      </c>
      <c r="L185" s="4" t="inlineStr">
        <is>
          <t>Freigegeben 2026-09-20.</t>
        </is>
      </c>
      <c r="M185" s="3" t="n"/>
      <c r="N185" s="3" t="n"/>
    </row>
    <row r="186">
      <c r="A186" s="2" t="inlineStr">
        <is>
          <t>MF-K06</t>
        </is>
      </c>
      <c r="B186" s="2" t="inlineStr">
        <is>
          <t>Fehlende Kennzeichnung der Nennlast, unpassende Nutzfläche oder fehlende Überlastkontrolle</t>
        </is>
      </c>
      <c r="C186" s="2" t="inlineStr">
        <is>
          <t>Fahrkorb und Nutzung</t>
        </is>
      </c>
      <c r="D186" s="2" t="inlineStr">
        <is>
          <t>MF-K06-R3</t>
        </is>
      </c>
      <c r="E186" s="2" t="n">
        <v>100</v>
      </c>
      <c r="F186" s="2" t="inlineStr">
        <is>
          <t>8.18 Überlastkontrolle / Lastmessung vorhanden? = Nein</t>
        </is>
      </c>
      <c r="G186" s="2" t="inlineStr">
        <is>
          <t>Mittel</t>
        </is>
      </c>
      <c r="H186" s="2" t="inlineStr">
        <is>
          <t>HIGH_CONFIDENCE</t>
        </is>
      </c>
      <c r="I186" s="2" t="inlineStr"/>
      <c r="J186" s="2" t="inlineStr">
        <is>
          <t>Beladung organisatorisch begrenzen und überwachen</t>
        </is>
      </c>
      <c r="K186" s="2" t="inlineStr">
        <is>
          <t>Überlasteinrichtung nachrüsten</t>
        </is>
      </c>
      <c r="L186" s="2" t="inlineStr">
        <is>
          <t>Freigegeben 2026-09-20.</t>
        </is>
      </c>
      <c r="M186" s="3" t="n"/>
      <c r="N186" s="3" t="n"/>
    </row>
    <row r="187">
      <c r="A187" s="4" t="inlineStr">
        <is>
          <t>MF-K06</t>
        </is>
      </c>
      <c r="B187" s="4" t="inlineStr">
        <is>
          <t>Fehlende Kennzeichnung der Nennlast, unpassende Nutzfläche oder fehlende Überlastkontrolle</t>
        </is>
      </c>
      <c r="C187" s="4" t="inlineStr">
        <is>
          <t>Fahrkorb und Nutzung</t>
        </is>
      </c>
      <c r="D187" s="4" t="inlineStr">
        <is>
          <t>MF-K06-R4</t>
        </is>
      </c>
      <c r="E187" s="4" t="n">
        <v>100</v>
      </c>
      <c r="F187" s="4" t="inlineStr">
        <is>
          <t>8.16 Nennlast und zulässige Personenzahl im Fahrkorb gekennzeichnet? = Nein</t>
        </is>
      </c>
      <c r="G187" s="4" t="inlineStr">
        <is>
          <t>Niedrig</t>
        </is>
      </c>
      <c r="H187" s="4" t="inlineStr">
        <is>
          <t>HIGH_CONFIDENCE</t>
        </is>
      </c>
      <c r="I187" s="4" t="inlineStr"/>
      <c r="J187" s="4" t="inlineStr">
        <is>
          <t>Kennzeichnung provisorisch anbringen und Nutzer unterweisen</t>
        </is>
      </c>
      <c r="K187" s="4" t="inlineStr">
        <is>
          <t>Dauerhafte Kennzeichnung von Nennlast und zulässiger Personenzahl im Fahrkorb anbringen</t>
        </is>
      </c>
      <c r="L187" s="4" t="inlineStr">
        <is>
          <t>Regelprüfung 20.09.2026: Mittel auf Niedrig: Bei wirksamer Überlastkontrolle hat die fehlende Beschilderung keinen unmittelbaren Gefährdungsbeitrag – die Überlast wird technisch abgefangen. Fehlt die Überlastkontrolle, ergibt sich Mittel ohnehin über die Regel zu 8.16 (Aggregation MAXIMUM). Freigegeben 2026-09-20.</t>
        </is>
      </c>
      <c r="M187" s="3" t="n"/>
      <c r="N187" s="3" t="n"/>
    </row>
    <row r="188">
      <c r="A188" s="2" t="inlineStr">
        <is>
          <t>MF-K06</t>
        </is>
      </c>
      <c r="B188" s="2" t="inlineStr">
        <is>
          <t>Fehlende Kennzeichnung der Nennlast, unpassende Nutzfläche oder fehlende Überlastkontrolle</t>
        </is>
      </c>
      <c r="C188" s="2" t="inlineStr">
        <is>
          <t>Fahrkorb und Nutzung</t>
        </is>
      </c>
      <c r="D188" s="2" t="inlineStr">
        <is>
          <t>MF-K06-R5</t>
        </is>
      </c>
      <c r="E188" s="2" t="n">
        <v>100</v>
      </c>
      <c r="F188" s="2" t="inlineStr">
        <is>
          <t>8.18a Funktion der Überlastkontrolle nachweislich geprüft? = Nein</t>
        </is>
      </c>
      <c r="G188" s="2" t="inlineStr">
        <is>
          <t>Niedrig</t>
        </is>
      </c>
      <c r="H188" s="2" t="inlineStr">
        <is>
          <t>HIGH_CONFIDENCE</t>
        </is>
      </c>
      <c r="I188" s="2" t="inlineStr"/>
      <c r="J188" s="2" t="inlineStr">
        <is>
          <t>Funktion der Überlastkontrolle prüfen lassen</t>
        </is>
      </c>
      <c r="K188" s="2" t="inlineStr">
        <is>
          <t>Überlastkontrolle in die wiederkehrende Prüfung aufnehmen und dokumentieren</t>
        </is>
      </c>
      <c r="L188" s="2" t="inlineStr">
        <is>
          <t>Entschieden 2026-09-02: K-K05.</t>
        </is>
      </c>
      <c r="M188" s="3" t="n"/>
      <c r="N188" s="3" t="n"/>
    </row>
    <row r="189">
      <c r="A189" s="4" t="inlineStr">
        <is>
          <t>MF-K06</t>
        </is>
      </c>
      <c r="B189" s="4" t="inlineStr">
        <is>
          <t>Fehlende Kennzeichnung der Nennlast, unpassende Nutzfläche oder fehlende Überlastkontrolle</t>
        </is>
      </c>
      <c r="C189" s="4" t="inlineStr">
        <is>
          <t>Fahrkorb und Nutzung</t>
        </is>
      </c>
      <c r="D189" s="4" t="inlineStr">
        <is>
          <t>MF-K06-R6</t>
        </is>
      </c>
      <c r="E189" s="4" t="n">
        <v>1</v>
      </c>
      <c r="F189" s="4" t="inlineStr">
        <is>
          <t>8.16 Nennlast und zulässige Personenzahl im Fahrkorb gekennzeichnet? beantwortet</t>
        </is>
      </c>
      <c r="G189" s="4" t="inlineStr">
        <is>
          <t>Kein Risiko</t>
        </is>
      </c>
      <c r="H189" s="4" t="inlineStr">
        <is>
          <t>HIGH_CONFIDENCE</t>
        </is>
      </c>
      <c r="I189" s="4" t="inlineStr"/>
      <c r="J189" s="4" t="inlineStr">
        <is>
          <t>Zustand erhalten; bei der wiederkehrenden Prüfung und der Betreiberkontrolle erneut prüfen</t>
        </is>
      </c>
      <c r="K189" s="4" t="inlineStr"/>
      <c r="L189" s="4" t="inlineStr">
        <is>
          <t>Kein Risiko: keine Mangelregel trifft zu, alle Pflichtfragen beantwortet. Freigegeben 2026-09-20.</t>
        </is>
      </c>
      <c r="M189" s="3" t="n"/>
      <c r="N189" s="3" t="n"/>
    </row>
    <row r="190">
      <c r="A190" s="2" t="inlineStr">
        <is>
          <t>MF-K07</t>
        </is>
      </c>
      <c r="B190" s="2" t="inlineStr">
        <is>
          <t>Unzureichende Lüftung des Fahrkorbs</t>
        </is>
      </c>
      <c r="C190" s="2" t="inlineStr">
        <is>
          <t>Fahrkorb und Nutzung</t>
        </is>
      </c>
      <c r="D190" s="2" t="inlineStr">
        <is>
          <t>MF-K07-R1</t>
        </is>
      </c>
      <c r="E190" s="2" t="n">
        <v>100</v>
      </c>
      <c r="F190" s="2" t="inlineStr">
        <is>
          <t>8.19 Lüftung des Fahrkorbs = „Lüftungsöffnungen fehlen oder unzureichend"</t>
        </is>
      </c>
      <c r="G190" s="2" t="inlineStr">
        <is>
          <t>Mittel</t>
        </is>
      </c>
      <c r="H190" s="2" t="inlineStr">
        <is>
          <t>HIGH_CONFIDENCE</t>
        </is>
      </c>
      <c r="I190" s="2" t="inlineStr"/>
      <c r="J190" s="2" t="inlineStr">
        <is>
          <t>Betreiber informieren; Befreiung innerhalb einer festgelegten kurzen Reaktionszeit sicherstellen (Notfallplan, Befreiungsanweisung); Belegung begrenzen</t>
        </is>
      </c>
      <c r="K190" s="2" t="inlineStr">
        <is>
          <t>Lüftungsöffnungen nach DIN EN 81-20, 5.4.9 herstellen</t>
        </is>
      </c>
      <c r="L190" s="2" t="inlineStr">
        <is>
          <t>Regelprüfung 20.09.2026: Hoch auf Mittel: Der Fahrkorb ist nie gasdicht; Hitzestau und verbrauchte Luft entstehen erst bei Einschluss mit längerer Befreiungsdauer. Nachrüstbedarf nach EN 81-80, kein unmittelbarer Konformitätsmangel. Freigegeben 2026-09-20.</t>
        </is>
      </c>
      <c r="M190" s="3" t="n"/>
      <c r="N190" s="3" t="n"/>
    </row>
    <row r="191">
      <c r="A191" s="4" t="inlineStr">
        <is>
          <t>MF-K07</t>
        </is>
      </c>
      <c r="B191" s="4" t="inlineStr">
        <is>
          <t>Unzureichende Lüftung des Fahrkorbs</t>
        </is>
      </c>
      <c r="C191" s="4" t="inlineStr">
        <is>
          <t>Fahrkorb und Nutzung</t>
        </is>
      </c>
      <c r="D191" s="4" t="inlineStr">
        <is>
          <t>MF-K07-R2</t>
        </is>
      </c>
      <c r="E191" s="4" t="n">
        <v>100</v>
      </c>
      <c r="F191" s="4" t="inlineStr">
        <is>
          <t>8.19 Lüftung des Fahrkorbs = „Lüftungsöffnungen teilweise verdeckt oder verschmutzt"</t>
        </is>
      </c>
      <c r="G191" s="4" t="inlineStr">
        <is>
          <t>Niedrig</t>
        </is>
      </c>
      <c r="H191" s="4" t="inlineStr">
        <is>
          <t>HIGH_CONFIDENCE</t>
        </is>
      </c>
      <c r="I191" s="4" t="inlineStr"/>
      <c r="J191" s="4" t="inlineStr">
        <is>
          <t>Öffnungen freimachen und reinigen</t>
        </is>
      </c>
      <c r="K191" s="4" t="inlineStr">
        <is>
          <t>Reinigung der Lüftungsöffnungen in den Wartungsplan aufnehmen</t>
        </is>
      </c>
      <c r="L191" s="4" t="inlineStr">
        <is>
          <t>Regelprüfung 20.09.2026: Mittel auf Niedrig: Die Öffnungen sind vorhanden und nur teilweise beeinträchtigt; die Ursache wird durch Reinigung bei nächster Gelegenheit beseitigt – genau das ist die eigene Maßnahme der Regel. Freigegeben 2026-09-20.</t>
        </is>
      </c>
      <c r="M191" s="3" t="n"/>
      <c r="N191" s="3" t="n"/>
    </row>
    <row r="192">
      <c r="A192" s="2" t="inlineStr">
        <is>
          <t>MF-K07</t>
        </is>
      </c>
      <c r="B192" s="2" t="inlineStr">
        <is>
          <t>Unzureichende Lüftung des Fahrkorbs</t>
        </is>
      </c>
      <c r="C192" s="2" t="inlineStr">
        <is>
          <t>Fahrkorb und Nutzung</t>
        </is>
      </c>
      <c r="D192" s="2" t="inlineStr">
        <is>
          <t>MF-K07-R3</t>
        </is>
      </c>
      <c r="E192" s="2" t="n">
        <v>100</v>
      </c>
      <c r="F192" s="2" t="inlineStr">
        <is>
          <t>8.19 Lüftung des Fahrkorbs = „Keine Zwangsbelüftung bei langen Fahrzeiten / hoher Belegung"</t>
        </is>
      </c>
      <c r="G192" s="2" t="inlineStr">
        <is>
          <t>Niedrig</t>
        </is>
      </c>
      <c r="H192" s="2" t="inlineStr">
        <is>
          <t>HIGH_CONFIDENCE</t>
        </is>
      </c>
      <c r="I192" s="2" t="inlineStr"/>
      <c r="J192" s="2" t="inlineStr">
        <is>
          <t>Betreiber informieren; bei hoher Belegung Fahrgastzahl begrenzen und Befreiungszeiten verkürzen</t>
        </is>
      </c>
      <c r="K192" s="2" t="inlineStr">
        <is>
          <t>Zwangsbelüftung des Fahrkorbs nachrüsten oder freien Lüftungsquerschnitt vergrößern (Nachrüstbedarf nach EN 81-80 bzw. ASR A3.4)</t>
        </is>
      </c>
      <c r="L192" s="2" t="inlineStr">
        <is>
          <t>Regelprüfung 20.09.2026: Mittel auf Niedrig: DIN EN 81-20 5.4.9 fordert Lüftungsöffnungen, keine Zwangsbelüftung – ohne nachgewiesene Beeinträchtigung ist der Mangel ohne unmittelbaren Gefährdungsbeitrag. „Belegung und Fahrzeiten beobachten" war keine Sofortmaßnahme, sondern eine Dauerbeobachtung ohne Schutzwirkung. Freigegeben 2026-09-20.</t>
        </is>
      </c>
      <c r="M192" s="3" t="n"/>
      <c r="N192" s="3" t="n"/>
    </row>
    <row r="193">
      <c r="A193" s="4" t="inlineStr">
        <is>
          <t>MF-K07</t>
        </is>
      </c>
      <c r="B193" s="4" t="inlineStr">
        <is>
          <t>Unzureichende Lüftung des Fahrkorbs</t>
        </is>
      </c>
      <c r="C193" s="4" t="inlineStr">
        <is>
          <t>Fahrkorb und Nutzung</t>
        </is>
      </c>
      <c r="D193" s="4" t="inlineStr">
        <is>
          <t>MF-K07-R4</t>
        </is>
      </c>
      <c r="E193" s="4" t="n">
        <v>1</v>
      </c>
      <c r="F193" s="4" t="inlineStr">
        <is>
          <t>8.19 Lüftung des Fahrkorbs beantwortet</t>
        </is>
      </c>
      <c r="G193" s="4" t="inlineStr">
        <is>
          <t>Kein Risiko</t>
        </is>
      </c>
      <c r="H193" s="4" t="inlineStr">
        <is>
          <t>HIGH_CONFIDENCE</t>
        </is>
      </c>
      <c r="I193" s="4" t="inlineStr"/>
      <c r="J193" s="4" t="inlineStr">
        <is>
          <t>Zustand erhalten; bei der wiederkehrenden Prüfung und der Betreiberkontrolle erneut prüfen</t>
        </is>
      </c>
      <c r="K193" s="4" t="inlineStr"/>
      <c r="L193" s="4" t="inlineStr">
        <is>
          <t>Kein Risiko: keine Mangelregel trifft zu, alle Pflichtfragen beantwortet. Freigegeben 2026-09-20.</t>
        </is>
      </c>
      <c r="M193" s="3" t="n"/>
      <c r="N193" s="3" t="n"/>
    </row>
    <row r="194">
      <c r="A194" s="2" t="inlineStr">
        <is>
          <t>MF-K08</t>
        </is>
      </c>
      <c r="B194" s="2" t="inlineStr">
        <is>
          <t>Fehlende Brandfallsteuerung trotz Anforderung im Brandschutzkonzept</t>
        </is>
      </c>
      <c r="C194" s="2" t="inlineStr">
        <is>
          <t>Brandschutz und Gebäudeschnittstelle</t>
        </is>
      </c>
      <c r="D194" s="2" t="inlineStr">
        <is>
          <t>MF-K08-R1</t>
        </is>
      </c>
      <c r="E194" s="2" t="n">
        <v>100</v>
      </c>
      <c r="F194" s="2" t="inlineStr">
        <is>
          <t>8.21 Brandfallsteuerung vorhanden? = Nein</t>
        </is>
      </c>
      <c r="G194" s="2" t="inlineStr">
        <is>
          <t>Hoch</t>
        </is>
      </c>
      <c r="H194" s="2" t="inlineStr">
        <is>
          <t>HIGH_CONFIDENCE</t>
        </is>
      </c>
      <c r="I194" s="2" t="inlineStr"/>
      <c r="J194" s="2" t="inlineStr">
        <is>
          <t>Betreiber und Brandschutzbeauftragten informieren, Ersatzmaßnahmen festlegen</t>
        </is>
      </c>
      <c r="K194" s="2" t="inlineStr">
        <is>
          <t>Brandfallsteuerung nach DIN EN 81-73 nachrüsten</t>
        </is>
      </c>
      <c r="L194" s="2" t="inlineStr">
        <is>
          <t>Freigegeben 2026-09-20.</t>
        </is>
      </c>
      <c r="M194" s="3" t="n"/>
      <c r="N194" s="3" t="n"/>
    </row>
    <row r="195">
      <c r="A195" s="4" t="inlineStr">
        <is>
          <t>MF-K08</t>
        </is>
      </c>
      <c r="B195" s="4" t="inlineStr">
        <is>
          <t>Fehlende Brandfallsteuerung trotz Anforderung im Brandschutzkonzept</t>
        </is>
      </c>
      <c r="C195" s="4" t="inlineStr">
        <is>
          <t>Brandschutz und Gebäudeschnittstelle</t>
        </is>
      </c>
      <c r="D195" s="4" t="inlineStr">
        <is>
          <t>MF-K08-R4</t>
        </is>
      </c>
      <c r="E195" s="4" t="n">
        <v>100</v>
      </c>
      <c r="F195" s="4" t="inlineStr">
        <is>
          <t>8.21b Auslösung der Brandfallsteuerung = „Nur manuell (Schlüsselschalter, Taster, Feuerwehr) – keine automatische Auslösung durch Branddetektion"</t>
        </is>
      </c>
      <c r="G195" s="4" t="inlineStr">
        <is>
          <t>Mittel</t>
        </is>
      </c>
      <c r="H195" s="4" t="inlineStr">
        <is>
          <t>INFERRED</t>
        </is>
      </c>
      <c r="I195" s="4" t="inlineStr"/>
      <c r="J195" s="4" t="inlineStr">
        <is>
          <t>Feuerwehr und Brandschutzbeauftragten über die nur manuelle Auslösung informieren; Auslösestelle kennzeichnen</t>
        </is>
      </c>
      <c r="K195" s="4" t="inlineStr">
        <is>
          <t>Automatische Ansteuerung der Brandfallsteuerung über die vorhandene oder nachzurüstende Branddetektion nach DIN EN 81-73 herstellen; Umfang mit dem Brandschutzkonzept und dem Brandschutzbeauftragten abstimmen</t>
        </is>
      </c>
      <c r="L195" s="4" t="inlineStr">
        <is>
          <t>Prüfbericht 20.09.2026: aus der bisherigen Doppelfrage 8.21 herausgelöst – fehlt nur die Einbindung, ist nicht die ganze Brandfallsteuerung nachzurüsten. Regelprüfung 20.09.2026: Die Maßnahme verlangte faktisch die Nachrüstung einer Gebäude-Brandmeldeanlage und ging dort ins Leere, wo keine existiert. Freigegeben 2026-09-20.</t>
        </is>
      </c>
      <c r="M195" s="3" t="n"/>
      <c r="N195" s="3" t="n"/>
    </row>
    <row r="196">
      <c r="A196" s="2" t="inlineStr">
        <is>
          <t>MF-K08</t>
        </is>
      </c>
      <c r="B196" s="2" t="inlineStr">
        <is>
          <t>Fehlende Brandfallsteuerung trotz Anforderung im Brandschutzkonzept</t>
        </is>
      </c>
      <c r="C196" s="2" t="inlineStr">
        <is>
          <t>Brandschutz und Gebäudeschnittstelle</t>
        </is>
      </c>
      <c r="D196" s="2" t="inlineStr">
        <is>
          <t>MF-K08-R5</t>
        </is>
      </c>
      <c r="E196" s="2" t="n">
        <v>100</v>
      </c>
      <c r="F196" s="2" t="inlineStr">
        <is>
          <t>8.21b Auslösung der Brandfallsteuerung = „Einbindung in das Brandschutzkonzept unbekannt"</t>
        </is>
      </c>
      <c r="G196" s="2" t="inlineStr">
        <is>
          <t>Mittel</t>
        </is>
      </c>
      <c r="H196" s="2" t="inlineStr">
        <is>
          <t>INFERRED</t>
        </is>
      </c>
      <c r="I196" s="2" t="inlineStr"/>
      <c r="J196" s="2" t="inlineStr">
        <is>
          <t>Einbindung des Aufzugs in das Brandschutzkonzept beim Betreiber klären</t>
        </is>
      </c>
      <c r="K196" s="2" t="inlineStr">
        <is>
          <t>Brandschutzkonzept und Ansteuerung dokumentieren und in die Prüfung aufnehmen</t>
        </is>
      </c>
      <c r="L196" s="2" t="inlineStr">
        <is>
          <t>Entspricht dem Istzustand „Einbindung des Aufzugs in das Brandschutzkonzept unbekannt" der VFA-/Riedl-Vorlage. Freigegeben 2026-09-20.</t>
        </is>
      </c>
      <c r="M196" s="3" t="n"/>
      <c r="N196" s="3" t="n"/>
    </row>
    <row r="197">
      <c r="A197" s="4" t="inlineStr">
        <is>
          <t>MF-K08</t>
        </is>
      </c>
      <c r="B197" s="4" t="inlineStr">
        <is>
          <t>Fehlende Brandfallsteuerung trotz Anforderung im Brandschutzkonzept</t>
        </is>
      </c>
      <c r="C197" s="4" t="inlineStr">
        <is>
          <t>Brandschutz und Gebäudeschnittstelle</t>
        </is>
      </c>
      <c r="D197" s="4" t="inlineStr">
        <is>
          <t>MF-K08-R2</t>
        </is>
      </c>
      <c r="E197" s="4" t="n">
        <v>100</v>
      </c>
      <c r="F197" s="4" t="inlineStr">
        <is>
          <t>8.21a Funktion der Brandfallsteuerung regelmäßig geprüft (Nachweis der Wartung/Prüfung der Aufzugsanlage)? = Nein</t>
        </is>
      </c>
      <c r="G197" s="4" t="inlineStr">
        <is>
          <t>Mittel</t>
        </is>
      </c>
      <c r="H197" s="4" t="inlineStr">
        <is>
          <t>HIGH_CONFIDENCE</t>
        </is>
      </c>
      <c r="I197" s="4" t="inlineStr"/>
      <c r="J197" s="4" t="inlineStr">
        <is>
          <t>Funktionsprüfung veranlassen</t>
        </is>
      </c>
      <c r="K197" s="4" t="inlineStr">
        <is>
          <t>Funktionsprüfung in Wartung und wiederkehrende Prüfung aufnehmen</t>
        </is>
      </c>
      <c r="L197" s="4" t="inlineStr">
        <is>
          <t>Freigegeben 2026-09-20.</t>
        </is>
      </c>
      <c r="M197" s="3" t="n"/>
      <c r="N197" s="3" t="n"/>
    </row>
    <row r="198">
      <c r="A198" s="2" t="inlineStr">
        <is>
          <t>MF-K08</t>
        </is>
      </c>
      <c r="B198" s="2" t="inlineStr">
        <is>
          <t>Fehlende Brandfallsteuerung trotz Anforderung im Brandschutzkonzept</t>
        </is>
      </c>
      <c r="C198" s="2" t="inlineStr">
        <is>
          <t>Brandschutz und Gebäudeschnittstelle</t>
        </is>
      </c>
      <c r="D198" s="2" t="inlineStr">
        <is>
          <t>MF-K08-R3</t>
        </is>
      </c>
      <c r="E198" s="2" t="n">
        <v>1</v>
      </c>
      <c r="F198" s="2" t="inlineStr">
        <is>
          <t>8.21 Brandfallsteuerung vorhanden? beantwortet</t>
        </is>
      </c>
      <c r="G198" s="2" t="inlineStr">
        <is>
          <t>Kein Risiko</t>
        </is>
      </c>
      <c r="H198" s="2" t="inlineStr">
        <is>
          <t>HIGH_CONFIDENCE</t>
        </is>
      </c>
      <c r="I198" s="2" t="inlineStr"/>
      <c r="J198" s="2" t="inlineStr">
        <is>
          <t>Zustand erhalten; bei der wiederkehrenden Prüfung und der Betreiberkontrolle erneut prüfen</t>
        </is>
      </c>
      <c r="K198" s="2" t="inlineStr"/>
      <c r="L198" s="2" t="inlineStr">
        <is>
          <t>Kein Risiko: keine Mangelregel trifft zu, alle Pflichtfragen beantwortet. Freigegeben 2026-09-20.</t>
        </is>
      </c>
      <c r="M198" s="3" t="n"/>
      <c r="N198" s="3" t="n"/>
    </row>
    <row r="199">
      <c r="A199" s="4" t="inlineStr">
        <is>
          <t>MF-K09</t>
        </is>
      </c>
      <c r="B199" s="4" t="inlineStr">
        <is>
          <t>Fehlender Hinweis „Aufzug im Brandfall nicht benutzen"</t>
        </is>
      </c>
      <c r="C199" s="4" t="inlineStr">
        <is>
          <t>Brandschutz und Gebäudeschnittstelle</t>
        </is>
      </c>
      <c r="D199" s="4" t="inlineStr">
        <is>
          <t>MF-K09-R1</t>
        </is>
      </c>
      <c r="E199" s="4" t="n">
        <v>100</v>
      </c>
      <c r="F199" s="4" t="inlineStr">
        <is>
          <t>8.20 Hinweisschild „Aufzug im Brandfall nicht benutzen" an allen Haltestellen vorhanden und lesbar? = Nein</t>
        </is>
      </c>
      <c r="G199" s="4" t="inlineStr">
        <is>
          <t>Mittel</t>
        </is>
      </c>
      <c r="H199" s="4" t="inlineStr">
        <is>
          <t>HIGH_CONFIDENCE</t>
        </is>
      </c>
      <c r="I199" s="4" t="inlineStr"/>
      <c r="J199" s="4" t="inlineStr">
        <is>
          <t>Provisorischen Hinweis an den Haltestellen anbringen</t>
        </is>
      </c>
      <c r="K199" s="4" t="inlineStr">
        <is>
          <t>Dauerhafte Beschilderung an allen Haltestellen anbringen</t>
        </is>
      </c>
      <c r="L199" s="4" t="inlineStr">
        <is>
          <t>Freigegeben 2026-09-20.</t>
        </is>
      </c>
      <c r="M199" s="3" t="n"/>
      <c r="N199" s="3" t="n"/>
    </row>
    <row r="200">
      <c r="A200" s="2" t="inlineStr">
        <is>
          <t>MF-K09</t>
        </is>
      </c>
      <c r="B200" s="2" t="inlineStr">
        <is>
          <t>Fehlender Hinweis „Aufzug im Brandfall nicht benutzen"</t>
        </is>
      </c>
      <c r="C200" s="2" t="inlineStr">
        <is>
          <t>Brandschutz und Gebäudeschnittstelle</t>
        </is>
      </c>
      <c r="D200" s="2" t="inlineStr">
        <is>
          <t>MF-K09-R2</t>
        </is>
      </c>
      <c r="E200" s="2" t="n">
        <v>1</v>
      </c>
      <c r="F200" s="2" t="inlineStr">
        <is>
          <t>8.20 Hinweisschild „Aufzug im Brandfall nicht benutzen" an allen Haltestellen vorhanden und lesbar? beantwortet</t>
        </is>
      </c>
      <c r="G200" s="2" t="inlineStr">
        <is>
          <t>Kein Risiko</t>
        </is>
      </c>
      <c r="H200" s="2" t="inlineStr">
        <is>
          <t>HIGH_CONFIDENCE</t>
        </is>
      </c>
      <c r="I200" s="2" t="inlineStr"/>
      <c r="J200" s="2" t="inlineStr">
        <is>
          <t>Zustand erhalten; bei der wiederkehrenden Prüfung und der Betreiberkontrolle erneut prüfen</t>
        </is>
      </c>
      <c r="K200" s="2" t="inlineStr"/>
      <c r="L200" s="2" t="inlineStr">
        <is>
          <t>Kein Risiko: keine Mangelregel trifft zu, alle Pflichtfragen beantwortet. Freigegeben 2026-09-20.</t>
        </is>
      </c>
      <c r="M200" s="3" t="n"/>
      <c r="N200" s="3" t="n"/>
    </row>
    <row r="201">
      <c r="A201" s="4" t="inlineStr">
        <is>
          <t>MF-K10</t>
        </is>
      </c>
      <c r="B201" s="4" t="inlineStr">
        <is>
          <t>Eingeschränkte Zugänglichkeit für Personen mit eingeschränkter Mobilität</t>
        </is>
      </c>
      <c r="C201" s="4" t="inlineStr">
        <is>
          <t>Fahrkorb und Nutzung</t>
        </is>
      </c>
      <c r="D201" s="4" t="inlineStr">
        <is>
          <t>MF-K10-R1</t>
        </is>
      </c>
      <c r="E201" s="4" t="n">
        <v>100</v>
      </c>
      <c r="F201" s="4" t="inlineStr">
        <is>
          <t>8.24 Fahrkorbabmessungen für Rollstuhlnutzung ausreichend (mind. 1,00 m × 1,25 m, Fahrkorbtyp 1 nach DIN EN 81-70:2022-12)? = Nein</t>
        </is>
      </c>
      <c r="G201" s="4" t="inlineStr">
        <is>
          <t>Mittel</t>
        </is>
      </c>
      <c r="H201" s="4" t="inlineStr">
        <is>
          <t>HIGH_CONFIDENCE</t>
        </is>
      </c>
      <c r="I201" s="4" t="inlineStr"/>
      <c r="J201" s="4" t="inlineStr">
        <is>
          <t>Alternative barrierefreie Zugangsmöglichkeit festlegen und ausschildern</t>
        </is>
      </c>
      <c r="K201" s="4" t="inlineStr">
        <is>
          <t>Umbau oder Ersatz der Anlage prüfen; Verhältnismäßigkeit der Nachrüstung nach DIN EN 81-80 bewerten</t>
        </is>
      </c>
      <c r="L201" s="4" t="inlineStr">
        <is>
          <t>Regelprüfung 20.09.2026: Hoch auf Mittel: Ein zu kleiner Fahrkorb ist eine Nutzungseinschränkung, keine unmittelbare Gefahr; das Maß 1,00 m × 1,25 m stammt aus DIN EN 81-70 und gilt für die Errichtung – an der Bestandsanlage ist das Unterschreiten Nachrüstbedarf nach EN 81-80. Der Teilaspekt stand zudem über der Oberregel zu 8.22. Freigegeben 2026-09-20.</t>
        </is>
      </c>
      <c r="M201" s="3" t="n"/>
      <c r="N201" s="3" t="n"/>
    </row>
    <row r="202">
      <c r="A202" s="2" t="inlineStr">
        <is>
          <t>MF-K10</t>
        </is>
      </c>
      <c r="B202" s="2" t="inlineStr">
        <is>
          <t>Eingeschränkte Zugänglichkeit für Personen mit eingeschränkter Mobilität</t>
        </is>
      </c>
      <c r="C202" s="2" t="inlineStr">
        <is>
          <t>Fahrkorb und Nutzung</t>
        </is>
      </c>
      <c r="D202" s="2" t="inlineStr">
        <is>
          <t>MF-K10-R5</t>
        </is>
      </c>
      <c r="E202" s="2" t="n">
        <v>100</v>
      </c>
      <c r="F202" s="2" t="inlineStr">
        <is>
          <t>(8.22 Anlage nach DIN EN 81-70 barrierefrei ausgeführt? = Nein UND 4.9a Barrierefreie Ausführung gefordert (Baugenehmigung, Nutzungskonzept, öffentlich zugängliches Gebäude)? = Ja)</t>
        </is>
      </c>
      <c r="G202" s="2" t="inlineStr">
        <is>
          <t>Mittel</t>
        </is>
      </c>
      <c r="H202" s="2" t="inlineStr">
        <is>
          <t>HIGH_CONFIDENCE</t>
        </is>
      </c>
      <c r="I202" s="2" t="inlineStr"/>
      <c r="J202" s="2" t="inlineStr">
        <is>
          <t>Betreiber auf die fehlende barrierefreie Ausführung hinweisen; alternative Zugangsmöglichkeit benennen</t>
        </is>
      </c>
      <c r="K202" s="2" t="inlineStr">
        <is>
          <t>Nachrüstung nach DIN EN 81-70 herstellen (Bedienelemente, Handlauf, Spiegel, akustische Ansage)</t>
        </is>
      </c>
      <c r="L202" s="2" t="inlineStr">
        <is>
          <t>Prüfbericht 20.09.2026: Sofortmaßnahme („Bündigkeit und Türoffenhaltezeit prüfen") passte nicht zur Frage; 8.23/8.24 sind jetzt Teilaspekte von 8.22. Regelprüfung 20.09.2026: Mittel gilt jetzt nur, wenn die barrierefreie Ausführung rechtlich gefordert ist (4.9a) – sonst traf die Stufe nahezu den gesamten Bestand. Freigegeben 2026-09-20.</t>
        </is>
      </c>
      <c r="M202" s="3" t="n"/>
      <c r="N202" s="3" t="n"/>
    </row>
    <row r="203">
      <c r="A203" s="4" t="inlineStr">
        <is>
          <t>MF-K10</t>
        </is>
      </c>
      <c r="B203" s="4" t="inlineStr">
        <is>
          <t>Eingeschränkte Zugänglichkeit für Personen mit eingeschränkter Mobilität</t>
        </is>
      </c>
      <c r="C203" s="4" t="inlineStr">
        <is>
          <t>Fahrkorb und Nutzung</t>
        </is>
      </c>
      <c r="D203" s="4" t="inlineStr">
        <is>
          <t>MF-K10-R6</t>
        </is>
      </c>
      <c r="E203" s="4" t="n">
        <v>100</v>
      </c>
      <c r="F203" s="4" t="inlineStr">
        <is>
          <t>(8.22 Anlage nach DIN EN 81-70 barrierefrei ausgeführt? = Nein UND 4.9a Barrierefreie Ausführung gefordert (Baugenehmigung, Nutzungskonzept, öffentlich zugängliches Gebäude)? = Nein)</t>
        </is>
      </c>
      <c r="G203" s="4" t="inlineStr">
        <is>
          <t>Niedrig</t>
        </is>
      </c>
      <c r="H203" s="4" t="inlineStr">
        <is>
          <t>INFERRED</t>
        </is>
      </c>
      <c r="I203" s="4" t="inlineStr"/>
      <c r="J203" s="4" t="inlineStr">
        <is>
          <t>Betreiber auf die fehlende barrierefreie Ausführung hinweisen; alternative Zugangsmöglichkeit benennen</t>
        </is>
      </c>
      <c r="K203" s="4" t="inlineStr">
        <is>
          <t>Nachrüstung nach DIN EN 81-70 bei der nächsten Modernisierung prüfen (Bedienelemente, Handlauf, Spiegel, akustische Ansage); Verhältnismäßigkeit nach DIN EN 81-80 bewerten</t>
        </is>
      </c>
      <c r="L203" s="4" t="inlineStr">
        <is>
          <t>Regelprüfung 20.09.2026: Neu: Ist die barrierefreie Ausführung nicht gefordert, sondern nur die Nutzung durch Personen mit eingeschränkter Mobilität zu erwarten, ist das Nachrüstbedarf nach DIN EN 81-80 und kein Konformitätsmangel. Bleibt 4.9a unbeantwortet, greift keine der beiden Regeln und die Gefährdung bleibt unvollständig – gewollt. Freigegeben 2026-09-20.</t>
        </is>
      </c>
      <c r="M203" s="3" t="n"/>
      <c r="N203" s="3" t="n"/>
    </row>
    <row r="204">
      <c r="A204" s="2" t="inlineStr">
        <is>
          <t>MF-K10</t>
        </is>
      </c>
      <c r="B204" s="2" t="inlineStr">
        <is>
          <t>Eingeschränkte Zugänglichkeit für Personen mit eingeschränkter Mobilität</t>
        </is>
      </c>
      <c r="C204" s="2" t="inlineStr">
        <is>
          <t>Fahrkorb und Nutzung</t>
        </is>
      </c>
      <c r="D204" s="2" t="inlineStr">
        <is>
          <t>MF-K10-R3</t>
        </is>
      </c>
      <c r="E204" s="2" t="n">
        <v>100</v>
      </c>
      <c r="F204" s="2" t="inlineStr">
        <is>
          <t>8.23 Bedienelemente in erreichbarer Höhe und ertastbar? = Nein</t>
        </is>
      </c>
      <c r="G204" s="2" t="inlineStr">
        <is>
          <t>Mittel</t>
        </is>
      </c>
      <c r="H204" s="2" t="inlineStr">
        <is>
          <t>HIGH_CONFIDENCE</t>
        </is>
      </c>
      <c r="I204" s="2" t="inlineStr"/>
      <c r="J204" s="2" t="inlineStr">
        <is>
          <t>Nutzer unterweisen und Hilfestellung organisieren</t>
        </is>
      </c>
      <c r="K204" s="2" t="inlineStr">
        <is>
          <t>Bedienelemente nach DIN EN 81-70 versetzen oder ersetzen</t>
        </is>
      </c>
      <c r="L204" s="2" t="inlineStr">
        <is>
          <t>Freigegeben 2026-09-20.</t>
        </is>
      </c>
      <c r="M204" s="3" t="n"/>
      <c r="N204" s="3" t="n"/>
    </row>
    <row r="205">
      <c r="A205" s="4" t="inlineStr">
        <is>
          <t>MF-K10</t>
        </is>
      </c>
      <c r="B205" s="4" t="inlineStr">
        <is>
          <t>Eingeschränkte Zugänglichkeit für Personen mit eingeschränkter Mobilität</t>
        </is>
      </c>
      <c r="C205" s="4" t="inlineStr">
        <is>
          <t>Fahrkorb und Nutzung</t>
        </is>
      </c>
      <c r="D205" s="4" t="inlineStr">
        <is>
          <t>MF-K10-R4</t>
        </is>
      </c>
      <c r="E205" s="4" t="n">
        <v>1</v>
      </c>
      <c r="F205" s="4" t="inlineStr">
        <is>
          <t>8.22 Anlage nach DIN EN 81-70 barrierefrei ausgeführt? beantwortet</t>
        </is>
      </c>
      <c r="G205" s="4" t="inlineStr">
        <is>
          <t>Kein Risiko</t>
        </is>
      </c>
      <c r="H205" s="4" t="inlineStr">
        <is>
          <t>HIGH_CONFIDENCE</t>
        </is>
      </c>
      <c r="I205" s="4" t="inlineStr"/>
      <c r="J205" s="4" t="inlineStr">
        <is>
          <t>Zustand erhalten; bei der wiederkehrenden Prüfung und der Betreiberkontrolle erneut prüfen</t>
        </is>
      </c>
      <c r="K205" s="4" t="inlineStr"/>
      <c r="L205" s="4" t="inlineStr">
        <is>
          <t>Kein Risiko: keine Mangelregel trifft zu, alle Pflichtfragen beantwortet. Freigegeben 2026-09-20.</t>
        </is>
      </c>
      <c r="M205" s="3" t="n"/>
      <c r="N205" s="3" t="n"/>
    </row>
    <row r="206">
      <c r="A206" s="2" t="inlineStr">
        <is>
          <t>MF-K11</t>
        </is>
      </c>
      <c r="B206" s="2" t="inlineStr">
        <is>
          <t>Beschädigte Fahrkorbausstattung / Vandalismus</t>
        </is>
      </c>
      <c r="C206" s="2" t="inlineStr">
        <is>
          <t>Fahrkorb und Nutzung</t>
        </is>
      </c>
      <c r="D206" s="2" t="inlineStr">
        <is>
          <t>MF-K11-R1</t>
        </is>
      </c>
      <c r="E206" s="2" t="n">
        <v>100</v>
      </c>
      <c r="F206" s="2" t="inlineStr">
        <is>
          <t>8.25 Zustand der Fahrkorbausstattung = „Beschädigt mit unmittelbarer Gefährdung (freiliegende Elektrik, gebrochenes Glas, defekter Notruf)"</t>
        </is>
      </c>
      <c r="G206" s="2" t="inlineStr">
        <is>
          <t>Hoch</t>
        </is>
      </c>
      <c r="H206" s="2" t="inlineStr">
        <is>
          <t>HIGH_CONFIDENCE</t>
        </is>
      </c>
      <c r="I206" s="2" t="inlineStr"/>
      <c r="J206" s="2" t="inlineStr">
        <is>
          <t>Aufzug stilllegen</t>
        </is>
      </c>
      <c r="K206" s="2" t="inlineStr">
        <is>
          <t>Instandsetzung veranlassen und Anlage vor Wiederinbetriebnahme prüfen</t>
        </is>
      </c>
      <c r="L206" s="2" t="inlineStr">
        <is>
          <t>Freigegeben 2026-09-20.</t>
        </is>
      </c>
      <c r="M206" s="3" t="n"/>
      <c r="N206" s="3" t="n"/>
    </row>
    <row r="207">
      <c r="A207" s="4" t="inlineStr">
        <is>
          <t>MF-K11</t>
        </is>
      </c>
      <c r="B207" s="4" t="inlineStr">
        <is>
          <t>Beschädigte Fahrkorbausstattung / Vandalismus</t>
        </is>
      </c>
      <c r="C207" s="4" t="inlineStr">
        <is>
          <t>Fahrkorb und Nutzung</t>
        </is>
      </c>
      <c r="D207" s="4" t="inlineStr">
        <is>
          <t>MF-K11-R2</t>
        </is>
      </c>
      <c r="E207" s="4" t="n">
        <v>100</v>
      </c>
      <c r="F207" s="4" t="inlineStr">
        <is>
          <t>8.25 Zustand der Fahrkorbausstattung = „Beschädigt ohne unmittelbare Gefährdung (Tableau, Spiegel, Verkleidung)"</t>
        </is>
      </c>
      <c r="G207" s="4" t="inlineStr">
        <is>
          <t>Mittel</t>
        </is>
      </c>
      <c r="H207" s="4" t="inlineStr">
        <is>
          <t>HIGH_CONFIDENCE</t>
        </is>
      </c>
      <c r="I207" s="4" t="inlineStr"/>
      <c r="J207" s="4" t="inlineStr">
        <is>
          <t>Scharfe Kanten und lose Teile sichern</t>
        </is>
      </c>
      <c r="K207" s="4" t="inlineStr">
        <is>
          <t>Beschädigte Bauteile instand setzen oder ersetzen</t>
        </is>
      </c>
      <c r="L207" s="4" t="inlineStr">
        <is>
          <t>Freigegeben 2026-09-20.</t>
        </is>
      </c>
      <c r="M207" s="3" t="n"/>
      <c r="N207" s="3" t="n"/>
    </row>
    <row r="208">
      <c r="A208" s="2" t="inlineStr">
        <is>
          <t>MF-K11</t>
        </is>
      </c>
      <c r="B208" s="2" t="inlineStr">
        <is>
          <t>Beschädigte Fahrkorbausstattung / Vandalismus</t>
        </is>
      </c>
      <c r="C208" s="2" t="inlineStr">
        <is>
          <t>Fahrkorb und Nutzung</t>
        </is>
      </c>
      <c r="D208" s="2" t="inlineStr">
        <is>
          <t>MF-K11-R3</t>
        </is>
      </c>
      <c r="E208" s="2" t="n">
        <v>100</v>
      </c>
      <c r="F208" s="2" t="inlineStr">
        <is>
          <t>(8.26 Wiederholte Vandalismusschäden? = Ja UND 8.26a Vandalismussichere Ausführung nach DIN EN 81-71? = Nein)</t>
        </is>
      </c>
      <c r="G208" s="2" t="inlineStr">
        <is>
          <t>Mittel</t>
        </is>
      </c>
      <c r="H208" s="2" t="inlineStr">
        <is>
          <t>HIGH_CONFIDENCE</t>
        </is>
      </c>
      <c r="I208" s="2" t="inlineStr"/>
      <c r="J208" s="2" t="inlineStr">
        <is>
          <t>Schäden zeitnah beseitigen und dokumentieren</t>
        </is>
      </c>
      <c r="K208" s="2" t="inlineStr">
        <is>
          <t>Vandalismusgeschützte Ausstattung nach DIN EN 81-71 nachrüsten; weitere Maßnahmen (z. B. Zugangsregelung) erst nach Ursachenanalyse und Verhältnismäßigkeitsprüfung</t>
        </is>
      </c>
      <c r="L208" s="2" t="inlineStr">
        <is>
          <t>[Prüfbericht: H16 – Videoüberwachung nicht mehr als pauschale Abhilfe] Freigegeben 2026-09-20.</t>
        </is>
      </c>
      <c r="M208" s="3" t="n"/>
      <c r="N208" s="3" t="n"/>
    </row>
    <row r="209">
      <c r="A209" s="4" t="inlineStr">
        <is>
          <t>MF-K11</t>
        </is>
      </c>
      <c r="B209" s="4" t="inlineStr">
        <is>
          <t>Beschädigte Fahrkorbausstattung / Vandalismus</t>
        </is>
      </c>
      <c r="C209" s="4" t="inlineStr">
        <is>
          <t>Fahrkorb und Nutzung</t>
        </is>
      </c>
      <c r="D209" s="4" t="inlineStr">
        <is>
          <t>MF-K11-R4</t>
        </is>
      </c>
      <c r="E209" s="4" t="n">
        <v>1</v>
      </c>
      <c r="F209" s="4" t="inlineStr">
        <is>
          <t>8.25 Zustand der Fahrkorbausstattung beantwortet</t>
        </is>
      </c>
      <c r="G209" s="4" t="inlineStr">
        <is>
          <t>Kein Risiko</t>
        </is>
      </c>
      <c r="H209" s="4" t="inlineStr">
        <is>
          <t>HIGH_CONFIDENCE</t>
        </is>
      </c>
      <c r="I209" s="4" t="inlineStr"/>
      <c r="J209" s="4" t="inlineStr">
        <is>
          <t>Zustand erhalten; bei der wiederkehrenden Prüfung und der Betreiberkontrolle erneut prüfen</t>
        </is>
      </c>
      <c r="K209" s="4" t="inlineStr"/>
      <c r="L209" s="4" t="inlineStr">
        <is>
          <t>Kein Risiko: keine Mangelregel trifft zu, alle Pflichtfragen beantwortet. Freigegeben 2026-09-20.</t>
        </is>
      </c>
      <c r="M209" s="3" t="n"/>
      <c r="N209" s="3" t="n"/>
    </row>
    <row r="210">
      <c r="A210" s="2" t="inlineStr">
        <is>
          <t>MF-K12</t>
        </is>
      </c>
      <c r="B210" s="2" t="inlineStr">
        <is>
          <t>Fehlender Schutz gegen unbeabsichtigte Fahrkorbbewegung bei offenen Türen (UCM)</t>
        </is>
      </c>
      <c r="C210" s="2" t="inlineStr">
        <is>
          <t>Sicherheitskomponenten</t>
        </is>
      </c>
      <c r="D210" s="2" t="inlineStr">
        <is>
          <t>MF-K12-R1</t>
        </is>
      </c>
      <c r="E210" s="2" t="n">
        <v>300</v>
      </c>
      <c r="F210" s="2" t="inlineStr">
        <is>
          <t>(4.5 UCM-Schutz (unbeabsichtigte Fahrkorbbewegung, A3 / EN 81-20 5.6.7) vorhanden? = Nein UND (8.27 Türüberbrückung (SR-Modul) für Nachregulieren / Voraböffnen mit offener Tür vorhanden? = Ja ODER 3.1 Aufzugsart in [„Hydraulikaufzug", „Seil-Hydraulikaufzug (indirekt)"]))</t>
        </is>
      </c>
      <c r="G210" s="2" t="inlineStr">
        <is>
          <t>Hoch</t>
        </is>
      </c>
      <c r="H210" s="2" t="inlineStr">
        <is>
          <t>HIGH_CONFIDENCE</t>
        </is>
      </c>
      <c r="I210" s="2" t="inlineStr"/>
      <c r="J210" s="2" t="inlineStr">
        <is>
          <t>Voraböffnen und Nachregulieren mit offener Tür prüfen; Beauftragte Person und Nutzer auf Stolper- und Schergefahr an der Schwelle hinweisen</t>
        </is>
      </c>
      <c r="K210" s="2" t="inlineStr">
        <is>
          <t>UCM-Schutz nach DIN EN 81-20 5.6.7 nachrüsten; Ausbau der Türüberbrückung nur nach anlagenspezifischer Prüfung (Haltegenauigkeit, Nachregulierung)</t>
        </is>
      </c>
      <c r="L210" s="2" t="inlineStr">
        <is>
          <t>Entscheidung 02.09.2026: Hydraulikaufzug hat immer eine Türüberbrückung (Nachregulieren bei Druckverlust) – ohne UCM daher Hoch wie bei Seilaufzügen mit SR-Modul. [Prüfbericht: H11 – Sofortmaßnahme ergänzt; Prüfbericht 16.09.2026 – Ausbau der Türüberbrückung keine Standardalternative] Frühere Klärung (vor der Änderung entschieden): K-K12 Freigegeben 2026-09-20.</t>
        </is>
      </c>
      <c r="M210" s="3" t="n"/>
      <c r="N210" s="3" t="n"/>
    </row>
    <row r="211">
      <c r="A211" s="4" t="inlineStr">
        <is>
          <t>MF-K12</t>
        </is>
      </c>
      <c r="B211" s="4" t="inlineStr">
        <is>
          <t>Fehlender Schutz gegen unbeabsichtigte Fahrkorbbewegung bei offenen Türen (UCM)</t>
        </is>
      </c>
      <c r="C211" s="4" t="inlineStr">
        <is>
          <t>Sicherheitskomponenten</t>
        </is>
      </c>
      <c r="D211" s="4" t="inlineStr">
        <is>
          <t>MF-K12-R2</t>
        </is>
      </c>
      <c r="E211" s="4" t="n">
        <v>250</v>
      </c>
      <c r="F211" s="4" t="inlineStr">
        <is>
          <t>(4.5 UCM-Schutz (unbeabsichtigte Fahrkorbbewegung, A3 / EN 81-20 5.6.7) vorhanden? = Nein UND 8.27 Türüberbrückung (SR-Modul) für Nachregulieren / Voraböffnen mit offener Tür vorhanden? = Nein UND 6.2 Zweikreisbremse (redundante Betriebsbremse) vorhanden? = Ja UND 6.2a Bremse elektrisch überwacht (Bremskontrollschalter)? = Ja UND 4.6 Antriebswelle statisch bestimmt gelagert (keine 3-Punkt-Lagerung)? = Ja)</t>
        </is>
      </c>
      <c r="G211" s="4" t="inlineStr">
        <is>
          <t>Niedrig</t>
        </is>
      </c>
      <c r="H211" s="4" t="inlineStr">
        <is>
          <t>HIGH_CONFIDENCE</t>
        </is>
      </c>
      <c r="I211" s="4" t="inlineStr"/>
      <c r="J211" s="4" t="inlineStr">
        <is>
          <t>Bremsüberwachung und Bremsprüfung im Wartungsumfang halten</t>
        </is>
      </c>
      <c r="K211" s="4" t="inlineStr">
        <is>
          <t>Bei Steuerungs- oder Antriebsmodernisierung UCM-Schutz nach EN 81-20 5.6.7 vorsehen</t>
        </is>
      </c>
      <c r="L211" s="4" t="inlineStr">
        <is>
          <t>Entschieden 2026-09-02: K-K08.</t>
        </is>
      </c>
      <c r="M211" s="3" t="n"/>
      <c r="N211" s="3" t="n"/>
    </row>
    <row r="212">
      <c r="A212" s="2" t="inlineStr">
        <is>
          <t>MF-K12</t>
        </is>
      </c>
      <c r="B212" s="2" t="inlineStr">
        <is>
          <t>Fehlender Schutz gegen unbeabsichtigte Fahrkorbbewegung bei offenen Türen (UCM)</t>
        </is>
      </c>
      <c r="C212" s="2" t="inlineStr">
        <is>
          <t>Sicherheitskomponenten</t>
        </is>
      </c>
      <c r="D212" s="2" t="inlineStr">
        <is>
          <t>MF-K12-R3</t>
        </is>
      </c>
      <c r="E212" s="2" t="n">
        <v>245</v>
      </c>
      <c r="F212" s="2" t="inlineStr">
        <is>
          <t>(4.5 UCM-Schutz (unbeabsichtigte Fahrkorbbewegung, A3 / EN 81-20 5.6.7) vorhanden? = Nein UND 8.27 Türüberbrückung (SR-Modul) für Nachregulieren / Voraböffnen mit offener Tür vorhanden? = Nein UND 6.2 Zweikreisbremse (redundante Betriebsbremse) vorhanden? = Ja UND 4.6 Antriebswelle statisch bestimmt gelagert (keine 3-Punkt-Lagerung)? = Ja)</t>
        </is>
      </c>
      <c r="G212" s="2" t="inlineStr">
        <is>
          <t>Mittel</t>
        </is>
      </c>
      <c r="H212" s="2" t="inlineStr">
        <is>
          <t>HIGH_CONFIDENCE</t>
        </is>
      </c>
      <c r="I212" s="2" t="inlineStr"/>
      <c r="J212" s="2" t="inlineStr">
        <is>
          <t>Bremse bei jeder Wartung auf Wirksamkeit beider Bremskreise prüfen</t>
        </is>
      </c>
      <c r="K212" s="2" t="inlineStr">
        <is>
          <t>Bremskontrollschalter nachrüsten</t>
        </is>
      </c>
      <c r="L212" s="2" t="inlineStr">
        <is>
          <t>TRBS 3121 Anh. 1 Nr. 16: statisch bestimmte Lagerung und Zweikreisbremse (ohne Überwachung) ausdrücklich mittleres Risiko. [Prüfbericht: H11 – Sofortmaßnahme ergänzt] Frühere Klärung (vor der Änderung entschieden): K-K11 Freigegeben 2026-09-20.</t>
        </is>
      </c>
      <c r="M212" s="3" t="n"/>
      <c r="N212" s="3" t="n"/>
    </row>
    <row r="213">
      <c r="A213" s="4" t="inlineStr">
        <is>
          <t>MF-K12</t>
        </is>
      </c>
      <c r="B213" s="4" t="inlineStr">
        <is>
          <t>Fehlender Schutz gegen unbeabsichtigte Fahrkorbbewegung bei offenen Türen (UCM)</t>
        </is>
      </c>
      <c r="C213" s="4" t="inlineStr">
        <is>
          <t>Sicherheitskomponenten</t>
        </is>
      </c>
      <c r="D213" s="4" t="inlineStr">
        <is>
          <t>MF-K12-R4</t>
        </is>
      </c>
      <c r="E213" s="4" t="n">
        <v>100</v>
      </c>
      <c r="F213" s="4" t="inlineStr">
        <is>
          <t>4.5 UCM-Schutz (unbeabsichtigte Fahrkorbbewegung, A3 / EN 81-20 5.6.7) vorhanden? = Nein</t>
        </is>
      </c>
      <c r="G213" s="4" t="inlineStr">
        <is>
          <t>Hoch</t>
        </is>
      </c>
      <c r="H213" s="4" t="inlineStr">
        <is>
          <t>HIGH_CONFIDENCE</t>
        </is>
      </c>
      <c r="I213" s="4" t="inlineStr"/>
      <c r="J213" s="4" t="inlineStr">
        <is>
          <t>Regelmäßige Kontrolle durch beauftragte Person</t>
        </is>
      </c>
      <c r="K213" s="4" t="inlineStr">
        <is>
          <t>UCM-Schutz nach DIN EN 81-20 5.6.7 nachrüsten (baumustergeprüft, zur Anlage passend); eine überwachte Zweikreisbremse allein senkt das Risiko, ersetzt den UCM-Schutz aber nicht</t>
        </is>
      </c>
      <c r="L213" s="4" t="inlineStr">
        <is>
          <t>[Prüfbericht: H05 – Maßnahme präzisiert] Freigegeben 2026-09-20.</t>
        </is>
      </c>
      <c r="M213" s="3" t="n"/>
      <c r="N213" s="3" t="n"/>
    </row>
    <row r="214">
      <c r="A214" s="2" t="inlineStr">
        <is>
          <t>MF-K12</t>
        </is>
      </c>
      <c r="B214" s="2" t="inlineStr">
        <is>
          <t>Fehlender Schutz gegen unbeabsichtigte Fahrkorbbewegung bei offenen Türen (UCM)</t>
        </is>
      </c>
      <c r="C214" s="2" t="inlineStr">
        <is>
          <t>Sicherheitskomponenten</t>
        </is>
      </c>
      <c r="D214" s="2" t="inlineStr">
        <is>
          <t>MF-K12-R5</t>
        </is>
      </c>
      <c r="E214" s="2" t="n">
        <v>1</v>
      </c>
      <c r="F214" s="2" t="inlineStr">
        <is>
          <t>4.5 UCM-Schutz (unbeabsichtigte Fahrkorbbewegung, A3 / EN 81-20 5.6.7) vorhanden? beantwortet</t>
        </is>
      </c>
      <c r="G214" s="2" t="inlineStr">
        <is>
          <t>Kein Risiko</t>
        </is>
      </c>
      <c r="H214" s="2" t="inlineStr">
        <is>
          <t>HIGH_CONFIDENCE</t>
        </is>
      </c>
      <c r="I214" s="2" t="inlineStr"/>
      <c r="J214" s="2" t="inlineStr">
        <is>
          <t>Zustand erhalten; bei der wiederkehrenden Prüfung und der Betreiberkontrolle erneut prüfen</t>
        </is>
      </c>
      <c r="K214" s="2" t="inlineStr"/>
      <c r="L214" s="2" t="inlineStr">
        <is>
          <t>Kein Risiko: keine Mangelregel trifft zu, alle Pflichtfragen beantwortet. Freigegeben 2026-09-20.</t>
        </is>
      </c>
      <c r="M214" s="3" t="n"/>
      <c r="N214" s="3" t="n"/>
    </row>
    <row r="215">
      <c r="A215" s="4" t="inlineStr">
        <is>
          <t>MF-K13</t>
        </is>
      </c>
      <c r="B215" s="4" t="inlineStr">
        <is>
          <t>Fehlender Schutz gegen Übergeschwindigkeit aufwärts / Sturz nach oben</t>
        </is>
      </c>
      <c r="C215" s="4" t="inlineStr">
        <is>
          <t>Sicherheitskomponenten</t>
        </is>
      </c>
      <c r="D215" s="4" t="inlineStr">
        <is>
          <t>MF-K13-R1</t>
        </is>
      </c>
      <c r="E215" s="4" t="n">
        <v>100</v>
      </c>
      <c r="F215" s="4" t="inlineStr">
        <is>
          <t>8.28 Schutz gegen Übergeschwindigkeit aufwärts / Sturz nach oben = „Nicht verhindert"</t>
        </is>
      </c>
      <c r="G215" s="4" t="inlineStr">
        <is>
          <t>Hoch</t>
        </is>
      </c>
      <c r="H215" s="4" t="inlineStr">
        <is>
          <t>HIGH_CONFIDENCE</t>
        </is>
      </c>
      <c r="I215" s="4" t="inlineStr"/>
      <c r="J215" s="4" t="inlineStr">
        <is>
          <t>Bremse, Treibfähigkeit und Tragmittel bei jeder Wartung prüfen; Arbeiten im Schachtkopf nur bei gegen Bewegung gesichertem Fahrkorb</t>
        </is>
      </c>
      <c r="K215" s="4" t="inlineStr">
        <is>
          <t>Schutzeinrichtung gegen Übergeschwindigkeit aufwärts nachrüsten (z. B. Fangvorrichtung am Gegengewicht, Seil- oder Treibscheibenbremse), baumustergeprüft und zur Anlage passend</t>
        </is>
      </c>
      <c r="L215" s="4" t="inlineStr">
        <is>
          <t>[Prüfbericht: H05 – sachfremde Sofortmaßnahme (Ultraschall) ersetzt] Freigegeben 2026-09-20.</t>
        </is>
      </c>
      <c r="M215" s="3" t="n"/>
      <c r="N215" s="3" t="n"/>
    </row>
    <row r="216">
      <c r="A216" s="2" t="inlineStr">
        <is>
          <t>MF-K13</t>
        </is>
      </c>
      <c r="B216" s="2" t="inlineStr">
        <is>
          <t>Fehlender Schutz gegen Übergeschwindigkeit aufwärts / Sturz nach oben</t>
        </is>
      </c>
      <c r="C216" s="2" t="inlineStr">
        <is>
          <t>Sicherheitskomponenten</t>
        </is>
      </c>
      <c r="D216" s="2" t="inlineStr">
        <is>
          <t>MF-K13-R2</t>
        </is>
      </c>
      <c r="E216" s="2" t="n">
        <v>1</v>
      </c>
      <c r="F216" s="2" t="inlineStr">
        <is>
          <t>8.28 Schutz gegen Übergeschwindigkeit aufwärts / Sturz nach oben beantwortet</t>
        </is>
      </c>
      <c r="G216" s="2" t="inlineStr">
        <is>
          <t>Kein Risiko</t>
        </is>
      </c>
      <c r="H216" s="2" t="inlineStr">
        <is>
          <t>HIGH_CONFIDENCE</t>
        </is>
      </c>
      <c r="I216" s="2" t="inlineStr"/>
      <c r="J216" s="2" t="inlineStr">
        <is>
          <t>Zustand erhalten; bei der wiederkehrenden Prüfung und der Betreiberkontrolle erneut prüfen</t>
        </is>
      </c>
      <c r="K216" s="2" t="inlineStr"/>
      <c r="L216" s="2" t="inlineStr">
        <is>
          <t>Kein Risiko: keine Mangelregel trifft zu, alle Pflichtfragen beantwortet. Freigegeben 2026-09-20.</t>
        </is>
      </c>
      <c r="M216" s="3" t="n"/>
      <c r="N216" s="3" t="n"/>
    </row>
    <row r="217">
      <c r="A217" s="4" t="inlineStr">
        <is>
          <t>MF-K14</t>
        </is>
      </c>
      <c r="B217" s="4" t="inlineStr">
        <is>
          <t>Statisch unbestimmt gelagerte Antriebswelle (3-Punkt-Lagerung)</t>
        </is>
      </c>
      <c r="C217" s="4" t="inlineStr">
        <is>
          <t>Antrieb, Bremse und Hydraulik</t>
        </is>
      </c>
      <c r="D217" s="4" t="inlineStr">
        <is>
          <t>MF-K14-R1</t>
        </is>
      </c>
      <c r="E217" s="4" t="n">
        <v>200</v>
      </c>
      <c r="F217" s="4" t="inlineStr">
        <is>
          <t>(4.6 Antriebswelle statisch bestimmt gelagert (keine 3-Punkt-Lagerung)? = Nein UND 8.28 Schutz gegen Übergeschwindigkeit aufwärts / Sturz nach oben = „Aktive Maßnahme (Notbremssystem / SAFÜ auf Seil oder Treibscheibe)")</t>
        </is>
      </c>
      <c r="G217" s="4" t="inlineStr">
        <is>
          <t>Niedrig</t>
        </is>
      </c>
      <c r="H217" s="4" t="inlineStr">
        <is>
          <t>INFERRED</t>
        </is>
      </c>
      <c r="I217" s="4" t="inlineStr"/>
      <c r="J217" s="4" t="inlineStr">
        <is>
          <t>Schutzmaßnahmen (SAFÜ/Notbremse) weiterhin aufrechterhalten und prüfen</t>
        </is>
      </c>
      <c r="K217" s="4" t="inlineStr">
        <is>
          <t>Bei Modernisierung des Antriebs statisch bestimmte Lagerung vorsehen</t>
        </is>
      </c>
      <c r="L217" s="4" t="inlineStr">
        <is>
          <t>Blaupause Schindler M004: 3-Punkt-Lagerung mit SAFÜ = Niedrig (DIRECT belegt). Freigegeben 2026-09-20.</t>
        </is>
      </c>
      <c r="M217" s="3" t="n"/>
      <c r="N217" s="3" t="n"/>
    </row>
    <row r="218">
      <c r="A218" s="2" t="inlineStr">
        <is>
          <t>MF-K14</t>
        </is>
      </c>
      <c r="B218" s="2" t="inlineStr">
        <is>
          <t>Statisch unbestimmt gelagerte Antriebswelle (3-Punkt-Lagerung)</t>
        </is>
      </c>
      <c r="C218" s="2" t="inlineStr">
        <is>
          <t>Antrieb, Bremse und Hydraulik</t>
        </is>
      </c>
      <c r="D218" s="2" t="inlineStr">
        <is>
          <t>MF-K14-R2</t>
        </is>
      </c>
      <c r="E218" s="2" t="n">
        <v>100</v>
      </c>
      <c r="F218" s="2" t="inlineStr">
        <is>
          <t>4.6 Antriebswelle statisch bestimmt gelagert (keine 3-Punkt-Lagerung)? = Nein</t>
        </is>
      </c>
      <c r="G218" s="2" t="inlineStr">
        <is>
          <t>Hoch</t>
        </is>
      </c>
      <c r="H218" s="2" t="inlineStr">
        <is>
          <t>HIGH_CONFIDENCE</t>
        </is>
      </c>
      <c r="I218" s="2" t="inlineStr"/>
      <c r="J218" s="2" t="inlineStr">
        <is>
          <t>Betreiber unverzüglich unterrichten; Lagerung, Welle und Maschinenrahmen sichtprüfen (Risse, Lagerspiel, Ölaustritt, ungewöhnliche Geräusche); bei Auffälligkeiten Anlage stilllegen</t>
        </is>
      </c>
      <c r="K218" s="2" t="inlineStr">
        <is>
          <t>Antrieb mit statisch bestimmter Lagerung einbauen oder Maschinenrahmen umbauen; bis dahin Schutz gegen Übergeschwindigkeit aufwärts / Sturz nach oben nachrüsten und den Zustand der Lagerung wiederkehrend prüfen lassen (z. B. Ultraschall)</t>
        </is>
      </c>
      <c r="L218" s="2" t="inlineStr">
        <is>
          <t>Regelprüfung 20.09.2026: „Regelmäßige Materialprüfung (Ultraschall)" braucht Fachfirma, Termin und Zugänglichkeit und wirkt frühestens in Wochen – sie steht jetzt in der mittelfristigen Maßnahme. [Prüfbericht: H05 – UCM ist keine Abhilfe gegen Wellenbruch] Freigegeben 2026-09-20.</t>
        </is>
      </c>
      <c r="M218" s="3" t="n"/>
      <c r="N218" s="3" t="n"/>
    </row>
    <row r="219">
      <c r="A219" s="4" t="inlineStr">
        <is>
          <t>MF-K14</t>
        </is>
      </c>
      <c r="B219" s="4" t="inlineStr">
        <is>
          <t>Statisch unbestimmt gelagerte Antriebswelle (3-Punkt-Lagerung)</t>
        </is>
      </c>
      <c r="C219" s="4" t="inlineStr">
        <is>
          <t>Antrieb, Bremse und Hydraulik</t>
        </is>
      </c>
      <c r="D219" s="4" t="inlineStr">
        <is>
          <t>MF-K14-R3</t>
        </is>
      </c>
      <c r="E219" s="4" t="n">
        <v>1</v>
      </c>
      <c r="F219" s="4" t="inlineStr">
        <is>
          <t>4.6 Antriebswelle statisch bestimmt gelagert (keine 3-Punkt-Lagerung)? beantwortet</t>
        </is>
      </c>
      <c r="G219" s="4" t="inlineStr">
        <is>
          <t>Kein Risiko</t>
        </is>
      </c>
      <c r="H219" s="4" t="inlineStr">
        <is>
          <t>HIGH_CONFIDENCE</t>
        </is>
      </c>
      <c r="I219" s="4" t="inlineStr"/>
      <c r="J219" s="4" t="inlineStr">
        <is>
          <t>Zustand erhalten; bei der wiederkehrenden Prüfung und der Betreiberkontrolle erneut prüfen</t>
        </is>
      </c>
      <c r="K219" s="4" t="inlineStr"/>
      <c r="L219" s="4" t="inlineStr">
        <is>
          <t>Kein Risiko: keine Mangelregel trifft zu, alle Pflichtfragen beantwortet. Freigegeben 2026-09-20.</t>
        </is>
      </c>
      <c r="M219" s="3" t="n"/>
      <c r="N219" s="3" t="n"/>
    </row>
    <row r="220">
      <c r="A220" s="2" t="inlineStr">
        <is>
          <t>MF-K15</t>
        </is>
      </c>
      <c r="B220" s="2" t="inlineStr">
        <is>
          <t>Unzureichende Beleuchtung im Fahrkorb (Normalbetrieb)</t>
        </is>
      </c>
      <c r="C220" s="2" t="inlineStr">
        <is>
          <t>Beleuchtung</t>
        </is>
      </c>
      <c r="D220" s="2" t="inlineStr">
        <is>
          <t>MF-K15-R1</t>
        </is>
      </c>
      <c r="E220" s="2" t="n">
        <v>300</v>
      </c>
      <c r="F220" s="2" t="inlineStr">
        <is>
          <t>8.29 Beleuchtung im Fahrkorb (Normalbetrieb) = „Keine funktionsfähige Beleuchtung im Fahrkorb"</t>
        </is>
      </c>
      <c r="G220" s="2" t="inlineStr">
        <is>
          <t>Mittel</t>
        </is>
      </c>
      <c r="H220" s="2" t="inlineStr">
        <is>
          <t>HIGH_CONFIDENCE</t>
        </is>
      </c>
      <c r="I220" s="2" t="inlineStr"/>
      <c r="J220" s="2" t="inlineStr">
        <is>
          <t>Beleuchtung instand setzen; bis dahin Notbeleuchtung und Notruf prüfen</t>
        </is>
      </c>
      <c r="K220" s="2" t="inlineStr">
        <is>
          <t>Fest installierte Fahrkorbbeleuchtung nach EN 81-20 5.4.10.1 herstellen (mind. 100 Lux)</t>
        </is>
      </c>
      <c r="L220" s="2" t="inlineStr">
        <is>
          <t>Freigegeben 2026-09-04.</t>
        </is>
      </c>
      <c r="M220" s="3" t="n"/>
      <c r="N220" s="3" t="n"/>
    </row>
    <row r="221">
      <c r="A221" s="4" t="inlineStr">
        <is>
          <t>MF-K15</t>
        </is>
      </c>
      <c r="B221" s="4" t="inlineStr">
        <is>
          <t>Unzureichende Beleuchtung im Fahrkorb (Normalbetrieb)</t>
        </is>
      </c>
      <c r="C221" s="4" t="inlineStr">
        <is>
          <t>Beleuchtung</t>
        </is>
      </c>
      <c r="D221" s="4" t="inlineStr">
        <is>
          <t>MF-K15-R2</t>
        </is>
      </c>
      <c r="E221" s="4" t="n">
        <v>200</v>
      </c>
      <c r="F221" s="4" t="inlineStr">
        <is>
          <t>8.29 Beleuchtung im Fahrkorb (Normalbetrieb) = „Beleuchtung vorhanden, aber unter 100 Lux, einzelne Lampen defekt oder stark vergilbte Abdeckung"</t>
        </is>
      </c>
      <c r="G221" s="4" t="inlineStr">
        <is>
          <t>Niedrig</t>
        </is>
      </c>
      <c r="H221" s="4" t="inlineStr">
        <is>
          <t>HIGH_CONFIDENCE</t>
        </is>
      </c>
      <c r="I221" s="4" t="inlineStr"/>
      <c r="J221" s="4" t="inlineStr">
        <is>
          <t>Defekte Lampen tauschen, Abdeckungen reinigen oder erneuern</t>
        </is>
      </c>
      <c r="K221" s="4" t="inlineStr">
        <is>
          <t>Beleuchtungsstärke auf mindestens 100 Lux anheben (Messung an den Befehlsgebern und 1 m über dem Boden)</t>
        </is>
      </c>
      <c r="L221" s="4" t="inlineStr">
        <is>
          <t>Freigegeben 2026-09-04.</t>
        </is>
      </c>
      <c r="M221" s="3" t="n"/>
      <c r="N221" s="3" t="n"/>
    </row>
    <row r="222">
      <c r="A222" s="2" t="inlineStr">
        <is>
          <t>MF-K15</t>
        </is>
      </c>
      <c r="B222" s="2" t="inlineStr">
        <is>
          <t>Unzureichende Beleuchtung im Fahrkorb (Normalbetrieb)</t>
        </is>
      </c>
      <c r="C222" s="2" t="inlineStr">
        <is>
          <t>Beleuchtung</t>
        </is>
      </c>
      <c r="D222" s="2" t="inlineStr">
        <is>
          <t>MF-K15-R3</t>
        </is>
      </c>
      <c r="E222" s="2" t="n">
        <v>150</v>
      </c>
      <c r="F222" s="2" t="inlineStr">
        <is>
          <t>8.29a Mindestens zwei parallel geschaltete Lampen im Fahrkorb? = Nein</t>
        </is>
      </c>
      <c r="G222" s="2" t="inlineStr">
        <is>
          <t>Niedrig</t>
        </is>
      </c>
      <c r="H222" s="2" t="inlineStr">
        <is>
          <t>HIGH_CONFIDENCE</t>
        </is>
      </c>
      <c r="I222" s="2" t="inlineStr"/>
      <c r="J222" s="2" t="inlineStr">
        <is>
          <t>Ausfall der Beleuchtung in die Betriebsanweisung aufnehmen (Verhalten bei Dunkelheit im Fahrkorb)</t>
        </is>
      </c>
      <c r="K222" s="2" t="inlineStr">
        <is>
          <t>Mindestens zwei parallel geschaltete Lampen einbauen (EN 81-20 5.4.10.2)</t>
        </is>
      </c>
      <c r="L222" s="2" t="inlineStr">
        <is>
          <t>Freigegeben 2026-09-04.</t>
        </is>
      </c>
      <c r="M222" s="3" t="n"/>
      <c r="N222" s="3" t="n"/>
    </row>
    <row r="223">
      <c r="A223" s="4" t="inlineStr">
        <is>
          <t>MF-K15</t>
        </is>
      </c>
      <c r="B223" s="4" t="inlineStr">
        <is>
          <t>Unzureichende Beleuchtung im Fahrkorb (Normalbetrieb)</t>
        </is>
      </c>
      <c r="C223" s="4" t="inlineStr">
        <is>
          <t>Beleuchtung</t>
        </is>
      </c>
      <c r="D223" s="4" t="inlineStr">
        <is>
          <t>MF-K15-R4</t>
        </is>
      </c>
      <c r="E223" s="4" t="n">
        <v>140</v>
      </c>
      <c r="F223" s="4" t="inlineStr">
        <is>
          <t>8.29b Fahrkorb ständig beleuchtet (Ausnahme: Parken mit geschlossenen Türen)? = Nein</t>
        </is>
      </c>
      <c r="G223" s="4" t="inlineStr">
        <is>
          <t>Niedrig</t>
        </is>
      </c>
      <c r="H223" s="4" t="inlineStr">
        <is>
          <t>HIGH_CONFIDENCE</t>
        </is>
      </c>
      <c r="I223" s="4" t="inlineStr"/>
      <c r="J223" s="4" t="inlineStr">
        <is>
          <t>Abschaltung der Fahrkorbbeleuchtung im Betrieb unterbinden</t>
        </is>
      </c>
      <c r="K223" s="4" t="inlineStr">
        <is>
          <t>Beleuchtung so schalten, dass der Fahrkorb außer beim Parken mit geschlossenen Türen ständig beleuchtet ist (EN 81-20 5.4.10.3)</t>
        </is>
      </c>
      <c r="L223" s="4" t="inlineStr">
        <is>
          <t>Freigegeben 2026-09-04.</t>
        </is>
      </c>
      <c r="M223" s="3" t="n"/>
      <c r="N223" s="3" t="n"/>
    </row>
    <row r="224">
      <c r="A224" s="2" t="inlineStr">
        <is>
          <t>MF-K15</t>
        </is>
      </c>
      <c r="B224" s="2" t="inlineStr">
        <is>
          <t>Unzureichende Beleuchtung im Fahrkorb (Normalbetrieb)</t>
        </is>
      </c>
      <c r="C224" s="2" t="inlineStr">
        <is>
          <t>Beleuchtung</t>
        </is>
      </c>
      <c r="D224" s="2" t="inlineStr">
        <is>
          <t>MF-K15-R5</t>
        </is>
      </c>
      <c r="E224" s="2" t="n">
        <v>1</v>
      </c>
      <c r="F224" s="2" t="inlineStr">
        <is>
          <t>8.29 Beleuchtung im Fahrkorb (Normalbetrieb) beantwortet</t>
        </is>
      </c>
      <c r="G224" s="2" t="inlineStr">
        <is>
          <t>Kein Risiko</t>
        </is>
      </c>
      <c r="H224" s="2" t="inlineStr">
        <is>
          <t>HIGH_CONFIDENCE</t>
        </is>
      </c>
      <c r="I224" s="2" t="inlineStr"/>
      <c r="J224" s="2" t="inlineStr">
        <is>
          <t>Zustand erhalten; bei der wiederkehrenden Prüfung und der Betreiberkontrolle erneut prüfen</t>
        </is>
      </c>
      <c r="K224" s="2" t="inlineStr"/>
      <c r="L224" s="2" t="inlineStr">
        <is>
          <t>Kein Risiko: keine Mangelregel trifft zu, alle Pflichtfragen beantwortet. Freigegeben 2026-09-04.</t>
        </is>
      </c>
      <c r="M224" s="3" t="n"/>
      <c r="N224" s="3" t="n"/>
    </row>
    <row r="225">
      <c r="A225" s="4" t="inlineStr">
        <is>
          <t>MF-F01</t>
        </is>
      </c>
      <c r="B225" s="4" t="inlineStr">
        <is>
          <t>Fehlende oder unzureichende Absturzsicherung auf dem Fahrkorbdach</t>
        </is>
      </c>
      <c r="C225" s="4" t="inlineStr">
        <is>
          <t>Fahrkorbdach und Schachtkopf</t>
        </is>
      </c>
      <c r="D225" s="4" t="inlineStr">
        <is>
          <t>MF-F01-R1</t>
        </is>
      </c>
      <c r="E225" s="4" t="n">
        <v>100</v>
      </c>
      <c r="F225" s="4" t="inlineStr">
        <is>
          <t>(9.1 Größter horizontaler Abstand Fahrkorbdachkante – Schachtwand in [„301–500 mm", „501–850 mm", „über 850 mm"] UND 9.2 Geländer auf dem Fahrkorbdach vorhanden? = Nein)</t>
        </is>
      </c>
      <c r="G225" s="4" t="inlineStr">
        <is>
          <t>Hoch</t>
        </is>
      </c>
      <c r="H225" s="4" t="inlineStr">
        <is>
          <t>HIGH_CONFIDENCE</t>
        </is>
      </c>
      <c r="I225" s="4" t="inlineStr"/>
      <c r="J225" s="4" t="inlineStr">
        <is>
          <t>Rückhalte- oder Absturzsicherungssystem verwenden</t>
        </is>
      </c>
      <c r="K225" s="4" t="inlineStr">
        <is>
          <t>Geländer nachrüsten bzw. erhöhen</t>
        </is>
      </c>
      <c r="L225" s="4" t="inlineStr">
        <is>
          <t>Entschieden 2026-09-02: K-F02.</t>
        </is>
      </c>
      <c r="M225" s="3" t="n"/>
      <c r="N225" s="3" t="n"/>
    </row>
    <row r="226">
      <c r="A226" s="2" t="inlineStr">
        <is>
          <t>MF-F01</t>
        </is>
      </c>
      <c r="B226" s="2" t="inlineStr">
        <is>
          <t>Fehlende oder unzureichende Absturzsicherung auf dem Fahrkorbdach</t>
        </is>
      </c>
      <c r="C226" s="2" t="inlineStr">
        <is>
          <t>Fahrkorbdach und Schachtkopf</t>
        </is>
      </c>
      <c r="D226" s="2" t="inlineStr">
        <is>
          <t>MF-F01-R2</t>
        </is>
      </c>
      <c r="E226" s="2" t="n">
        <v>100</v>
      </c>
      <c r="F226" s="2" t="inlineStr">
        <is>
          <t>(9.1 Größter horizontaler Abstand Fahrkorbdachkante – Schachtwand in [„301–500 mm", „501–850 mm", „über 850 mm"] UND 9.2 Geländer auf dem Fahrkorbdach vorhanden? = Ja UND 9.3 Geländerhöhe auf dem Fahrkorbdach in [„unter 700 mm"])</t>
        </is>
      </c>
      <c r="G226" s="2" t="inlineStr">
        <is>
          <t>Hoch</t>
        </is>
      </c>
      <c r="H226" s="2" t="inlineStr">
        <is>
          <t>HIGH_CONFIDENCE</t>
        </is>
      </c>
      <c r="I226" s="2" t="inlineStr"/>
      <c r="J226" s="2" t="inlineStr">
        <is>
          <t>Rückhalte- oder Absturzsicherungssystem verwenden</t>
        </is>
      </c>
      <c r="K226" s="2" t="inlineStr">
        <is>
          <t>Geländer nachrüsten bzw. erhöhen</t>
        </is>
      </c>
      <c r="L226" s="2" t="inlineStr">
        <is>
          <t>Freigegeben 2026-09-20.</t>
        </is>
      </c>
      <c r="M226" s="3" t="n"/>
      <c r="N226" s="3" t="n"/>
    </row>
    <row r="227">
      <c r="A227" s="4" t="inlineStr">
        <is>
          <t>MF-F01</t>
        </is>
      </c>
      <c r="B227" s="4" t="inlineStr">
        <is>
          <t>Fehlende oder unzureichende Absturzsicherung auf dem Fahrkorbdach</t>
        </is>
      </c>
      <c r="C227" s="4" t="inlineStr">
        <is>
          <t>Fahrkorbdach und Schachtkopf</t>
        </is>
      </c>
      <c r="D227" s="4" t="inlineStr">
        <is>
          <t>MF-F01-R3</t>
        </is>
      </c>
      <c r="E227" s="4" t="n">
        <v>100</v>
      </c>
      <c r="F227" s="4" t="inlineStr">
        <is>
          <t>(9.1 Größter horizontaler Abstand Fahrkorbdachkante – Schachtwand in [„über 850 mm"] UND 9.2 Geländer auf dem Fahrkorbdach vorhanden? = Ja UND 9.3 Geländerhöhe auf dem Fahrkorbdach in [„700–1 099 mm", „unter 700 mm"])</t>
        </is>
      </c>
      <c r="G227" s="4" t="inlineStr">
        <is>
          <t>Hoch</t>
        </is>
      </c>
      <c r="H227" s="4" t="inlineStr">
        <is>
          <t>INFERRED</t>
        </is>
      </c>
      <c r="I227" s="4" t="inlineStr"/>
      <c r="J227" s="4" t="inlineStr">
        <is>
          <t>Rückhalte- oder Absturzsicherungssystem verwenden</t>
        </is>
      </c>
      <c r="K227" s="4" t="inlineStr">
        <is>
          <t>Geländer nachrüsten bzw. erhöhen</t>
        </is>
      </c>
      <c r="L227" s="4" t="inlineStr">
        <is>
          <t>Entschieden 2026-09-02: K-F01.</t>
        </is>
      </c>
      <c r="M227" s="3" t="n"/>
      <c r="N227" s="3" t="n"/>
    </row>
    <row r="228">
      <c r="A228" s="2" t="inlineStr">
        <is>
          <t>MF-F01</t>
        </is>
      </c>
      <c r="B228" s="2" t="inlineStr">
        <is>
          <t>Fehlende oder unzureichende Absturzsicherung auf dem Fahrkorbdach</t>
        </is>
      </c>
      <c r="C228" s="2" t="inlineStr">
        <is>
          <t>Fahrkorbdach und Schachtkopf</t>
        </is>
      </c>
      <c r="D228" s="2" t="inlineStr">
        <is>
          <t>MF-F01-R7</t>
        </is>
      </c>
      <c r="E228" s="2" t="n">
        <v>100</v>
      </c>
      <c r="F228" s="2" t="inlineStr">
        <is>
          <t>(9.1 Größter horizontaler Abstand Fahrkorbdachkante – Schachtwand in [„501–850 mm", „über 850 mm"] UND 9.1 Größter horizontaler Abstand Fahrkorbdachkante – Schachtwand in [„≤ 300 mm", „301–500 mm", „501–850 mm"] UND 9.2 Geländer auf dem Fahrkorbdach vorhanden? = Ja UND 9.3 Geländerhöhe auf dem Fahrkorbdach in [„700–1 099 mm", „unter 700 mm"])</t>
        </is>
      </c>
      <c r="G228" s="2" t="inlineStr">
        <is>
          <t>Mittel</t>
        </is>
      </c>
      <c r="H228" s="2" t="inlineStr">
        <is>
          <t>HIGH_CONFIDENCE</t>
        </is>
      </c>
      <c r="I228" s="2" t="inlineStr"/>
      <c r="J228" s="2" t="inlineStr">
        <is>
          <t>Rückhalte- oder Absturzsicherungssystem verwenden</t>
        </is>
      </c>
      <c r="K228" s="2" t="inlineStr">
        <is>
          <t>Geländer auf 110 cm erhöhen bzw. erneuern</t>
        </is>
      </c>
      <c r="L228" s="2" t="inlineStr">
        <is>
          <t>Prüfbericht 20.09.2026: auf 501–850 mm begrenzt; darüber gilt MF-F01-R3 (Hoch), beide Regeln trafen bisher gemeinsam zu. Freigegeben 2026-09-20.</t>
        </is>
      </c>
      <c r="M228" s="3" t="n"/>
      <c r="N228" s="3" t="n"/>
    </row>
    <row r="229">
      <c r="A229" s="4" t="inlineStr">
        <is>
          <t>MF-F01</t>
        </is>
      </c>
      <c r="B229" s="4" t="inlineStr">
        <is>
          <t>Fehlende oder unzureichende Absturzsicherung auf dem Fahrkorbdach</t>
        </is>
      </c>
      <c r="C229" s="4" t="inlineStr">
        <is>
          <t>Fahrkorbdach und Schachtkopf</t>
        </is>
      </c>
      <c r="D229" s="4" t="inlineStr">
        <is>
          <t>MF-F01-R8</t>
        </is>
      </c>
      <c r="E229" s="4" t="n">
        <v>100</v>
      </c>
      <c r="F229" s="4" t="inlineStr">
        <is>
          <t>(9.4 Fußleiste (mind. 100 mm) am Rand des Fahrkorbdachs vorhanden? = Nein UND 9.1 Größter horizontaler Abstand Fahrkorbdachkante – Schachtwand in [„301–500 mm", „501–850 mm", „über 850 mm"])</t>
        </is>
      </c>
      <c r="G229" s="4" t="inlineStr">
        <is>
          <t>Mittel</t>
        </is>
      </c>
      <c r="H229" s="4" t="inlineStr">
        <is>
          <t>HIGH_CONFIDENCE</t>
        </is>
      </c>
      <c r="I229" s="4" t="inlineStr"/>
      <c r="J229" s="4" t="inlineStr">
        <is>
          <t>Dachrand kennzeichnen, keine losen Teile und Werkzeuge im Randbereich ablegen; auf dem Dach nur innerhalb der Umwehrung arbeiten; Betreiber unterrichten</t>
        </is>
      </c>
      <c r="K229" s="4" t="inlineStr">
        <is>
          <t>Fußleiste nachrüsten</t>
        </is>
      </c>
      <c r="L229" s="4" t="inlineStr">
        <is>
          <t>Regelprüfung 20.09.2026: Die Frage 9.4 wird immer gestellt, die Regel griff dadurch auch bei einem Spalt bis 300 mm, wo weder EN 81-20 noch EN 81-1 eine Umwehrung und damit auch keine Fußleiste fordern. Bedingung an denselben Spalt gebunden wie die Umwehrung selbst. Sofortmaßnahme: „Mit dem Fuß nicht über den Rand treten" war eine Ermahnung, keine Maßnahme. Freigegeben 2026-09-20.</t>
        </is>
      </c>
      <c r="M229" s="3" t="n"/>
      <c r="N229" s="3" t="n"/>
    </row>
    <row r="230">
      <c r="A230" s="2" t="inlineStr">
        <is>
          <t>MF-F01</t>
        </is>
      </c>
      <c r="B230" s="2" t="inlineStr">
        <is>
          <t>Fehlende oder unzureichende Absturzsicherung auf dem Fahrkorbdach</t>
        </is>
      </c>
      <c r="C230" s="2" t="inlineStr">
        <is>
          <t>Fahrkorbdach und Schachtkopf</t>
        </is>
      </c>
      <c r="D230" s="2" t="inlineStr">
        <is>
          <t>MF-F01-R6</t>
        </is>
      </c>
      <c r="E230" s="2" t="n">
        <v>1</v>
      </c>
      <c r="F230" s="2" t="inlineStr">
        <is>
          <t>9.1 Größter horizontaler Abstand Fahrkorbdachkante – Schachtwand beantwortet</t>
        </is>
      </c>
      <c r="G230" s="2" t="inlineStr">
        <is>
          <t>Kein Risiko</t>
        </is>
      </c>
      <c r="H230" s="2" t="inlineStr">
        <is>
          <t>HIGH_CONFIDENCE</t>
        </is>
      </c>
      <c r="I230" s="2" t="inlineStr"/>
      <c r="J230" s="2" t="inlineStr">
        <is>
          <t>Zustand erhalten; bei der wiederkehrenden Prüfung und der Betreiberkontrolle erneut prüfen</t>
        </is>
      </c>
      <c r="K230" s="2" t="inlineStr"/>
      <c r="L230" s="2" t="inlineStr">
        <is>
          <t>Kein Risiko: keine Mangelregel trifft zu, alle Pflichtfragen beantwortet. Freigegeben 2026-09-20.</t>
        </is>
      </c>
      <c r="M230" s="3" t="n"/>
      <c r="N230" s="3" t="n"/>
    </row>
    <row r="231">
      <c r="A231" s="4" t="inlineStr">
        <is>
          <t>MF-F02</t>
        </is>
      </c>
      <c r="B231" s="4" t="inlineStr">
        <is>
          <t>Einzugsgefahr an Rollen im Schachtkopf / auf dem Fahrkorbdach</t>
        </is>
      </c>
      <c r="C231" s="4" t="inlineStr">
        <is>
          <t>Fahrkorbdach und Schachtkopf</t>
        </is>
      </c>
      <c r="D231" s="4" t="inlineStr">
        <is>
          <t>MF-F02-R1</t>
        </is>
      </c>
      <c r="E231" s="4" t="n">
        <v>100</v>
      </c>
      <c r="F231" s="4" t="inlineStr">
        <is>
          <t>9.5a Abdeckung der Einzugstellen = „Einzugstellen offen"</t>
        </is>
      </c>
      <c r="G231" s="4" t="inlineStr">
        <is>
          <t>Hoch</t>
        </is>
      </c>
      <c r="H231" s="4" t="inlineStr">
        <is>
          <t>HIGH_CONFIDENCE</t>
        </is>
      </c>
      <c r="I231" s="4" t="inlineStr"/>
      <c r="J231" s="4" t="inlineStr">
        <is>
          <t>Arbeiten im Bereich der Einzugstellen nur bei stillgesetzter und gegen Wiederanlauf gesicherter Anlage; keine Fahrt mit Personen auf dem Fahrkorbdach</t>
        </is>
      </c>
      <c r="K231" s="4" t="inlineStr">
        <is>
          <t>Komplettabdeckungen nachrüsten</t>
        </is>
      </c>
      <c r="L231" s="4" t="inlineStr">
        <is>
          <t>[Prüfbericht: B11 – Sofortmaßnahme wirksam gemacht] Freigegeben 2026-09-20.</t>
        </is>
      </c>
      <c r="M231" s="3" t="n"/>
      <c r="N231" s="3" t="n"/>
    </row>
    <row r="232">
      <c r="A232" s="2" t="inlineStr">
        <is>
          <t>MF-F02</t>
        </is>
      </c>
      <c r="B232" s="2" t="inlineStr">
        <is>
          <t>Einzugsgefahr an Rollen im Schachtkopf / auf dem Fahrkorbdach</t>
        </is>
      </c>
      <c r="C232" s="2" t="inlineStr">
        <is>
          <t>Fahrkorbdach und Schachtkopf</t>
        </is>
      </c>
      <c r="D232" s="2" t="inlineStr">
        <is>
          <t>MF-F02-R2</t>
        </is>
      </c>
      <c r="E232" s="2" t="n">
        <v>100</v>
      </c>
      <c r="F232" s="2" t="inlineStr">
        <is>
          <t>9.5a Abdeckung der Einzugstellen = „Teilweise abgedeckt"</t>
        </is>
      </c>
      <c r="G232" s="2" t="inlineStr">
        <is>
          <t>Mittel</t>
        </is>
      </c>
      <c r="H232" s="2" t="inlineStr">
        <is>
          <t>HIGH_CONFIDENCE</t>
        </is>
      </c>
      <c r="I232" s="2" t="inlineStr"/>
      <c r="J232" s="2" t="inlineStr">
        <is>
          <t>Offene Einzugstellen vor Arbeiten ermitteln; dort nur bei stillgesetzter Anlage arbeiten</t>
        </is>
      </c>
      <c r="K232" s="2" t="inlineStr">
        <is>
          <t>Komplettabdeckungen nachrüsten</t>
        </is>
      </c>
      <c r="L232" s="2" t="inlineStr">
        <is>
          <t>[Prüfbericht: B11 – Sofortmaßnahme wirksam gemacht] Freigegeben 2026-09-20.</t>
        </is>
      </c>
      <c r="M232" s="3" t="n"/>
      <c r="N232" s="3" t="n"/>
    </row>
    <row r="233">
      <c r="A233" s="4" t="inlineStr">
        <is>
          <t>MF-F02</t>
        </is>
      </c>
      <c r="B233" s="4" t="inlineStr">
        <is>
          <t>Einzugsgefahr an Rollen im Schachtkopf / auf dem Fahrkorbdach</t>
        </is>
      </c>
      <c r="C233" s="4" t="inlineStr">
        <is>
          <t>Fahrkorbdach und Schachtkopf</t>
        </is>
      </c>
      <c r="D233" s="4" t="inlineStr">
        <is>
          <t>MF-F02-R3</t>
        </is>
      </c>
      <c r="E233" s="4" t="n">
        <v>1</v>
      </c>
      <c r="F233" s="4" t="inlineStr">
        <is>
          <t>9.5 Einzugstellen im Schachtkopf / auf dem Fahrkorbdach vorhanden (Umlenkrollen, Heberrolle, Seilrollen)? beantwortet</t>
        </is>
      </c>
      <c r="G233" s="4" t="inlineStr">
        <is>
          <t>Kein Risiko</t>
        </is>
      </c>
      <c r="H233" s="4" t="inlineStr">
        <is>
          <t>HIGH_CONFIDENCE</t>
        </is>
      </c>
      <c r="I233" s="4" t="inlineStr"/>
      <c r="J233" s="4" t="inlineStr">
        <is>
          <t>Zustand erhalten; bei der wiederkehrenden Prüfung und der Betreiberkontrolle erneut prüfen</t>
        </is>
      </c>
      <c r="K233" s="4" t="inlineStr"/>
      <c r="L233" s="4" t="inlineStr">
        <is>
          <t>Kein Risiko: keine Mangelregel trifft zu, alle Pflichtfragen beantwortet. Freigegeben 2026-09-20.</t>
        </is>
      </c>
      <c r="M233" s="3" t="n"/>
      <c r="N233" s="3" t="n"/>
    </row>
    <row r="234">
      <c r="A234" s="2" t="inlineStr">
        <is>
          <t>MF-F03</t>
        </is>
      </c>
      <c r="B234" s="2" t="inlineStr">
        <is>
          <t>Gefährdung durch Nachbaraufzug oder dessen Gegengewicht (Fahrkorbdach)</t>
        </is>
      </c>
      <c r="C234" s="2" t="inlineStr">
        <is>
          <t>Fahrkorbdach und Schachtkopf</t>
        </is>
      </c>
      <c r="D234" s="2" t="inlineStr">
        <is>
          <t>MF-F03-R7</t>
        </is>
      </c>
      <c r="E234" s="2" t="n">
        <v>212</v>
      </c>
      <c r="F234" s="2" t="inlineStr">
        <is>
          <t>(9.6 Abtrennung zum Nachbaraufzug / Nachbar-Gegengewicht im Bereich des Fahrkorbdachs = „Keine Abdeckung / kein Trenngitter" UND 9.6a Einrichtung zum automatischen Abschalten des Nachbaraufzugs bei Arbeiten im Fahrschacht vorhanden? = Ja UND 9.6b Automatische Abschaltung in der Funktion geprüft, alle Nachbaranlagen erfasst und Wirkung bei Inspektionsbetrieb bestätigt? = Nein)</t>
        </is>
      </c>
      <c r="G234" s="2" t="inlineStr">
        <is>
          <t>Hoch</t>
        </is>
      </c>
      <c r="H234" s="2" t="inlineStr">
        <is>
          <t>INFERRED</t>
        </is>
      </c>
      <c r="I234" s="2" t="inlineStr"/>
      <c r="J234" s="2" t="inlineStr">
        <is>
          <t>Nachbaraufzug zusätzlich von Hand abschalten und gegen Wiedereinschalten sichern</t>
        </is>
      </c>
      <c r="K234" s="2" t="inlineStr">
        <is>
          <t>Trenngitter über die volle Schachthöhe nachrüsten oder Abstand über 0,5 m zu beweglichen Teilen des Nachbaraufzugs herstellen; alternativ Funktion der automatischen Abschaltung für alle Nachbaranlagen nachweisen und dokumentieren</t>
        </is>
      </c>
      <c r="L234" s="2" t="inlineStr">
        <is>
          <t>Prüfbericht 20.09.2026: fail-closed – ohne Funktionsnachweis senkt die automatische Abschaltung die Stufe nicht (vorher Mittel trotz fehlender Abtrennung). Regelprüfung 20.09.2026: Die Regel verdrängt mit P212 die Grundregel R4 und damit deren technische Maßnahme; die Ursache – gar keine Abtrennung – muss in der Maßnahme stehen bleiben (TOP-Prinzip). [Prüfbericht: Prüfbericht 16.09.2026 – Abschaltung ohne Funktionsnachweis] Freigegeben 2026-09-20.</t>
        </is>
      </c>
      <c r="M234" s="3" t="n"/>
      <c r="N234" s="3" t="n"/>
    </row>
    <row r="235">
      <c r="A235" s="4" t="inlineStr">
        <is>
          <t>MF-F03</t>
        </is>
      </c>
      <c r="B235" s="4" t="inlineStr">
        <is>
          <t>Gefährdung durch Nachbaraufzug oder dessen Gegengewicht (Fahrkorbdach)</t>
        </is>
      </c>
      <c r="C235" s="4" t="inlineStr">
        <is>
          <t>Fahrkorbdach und Schachtkopf</t>
        </is>
      </c>
      <c r="D235" s="4" t="inlineStr">
        <is>
          <t>MF-F03-R8</t>
        </is>
      </c>
      <c r="E235" s="4" t="n">
        <v>210</v>
      </c>
      <c r="F235" s="4" t="inlineStr">
        <is>
          <t>(9.6 Abtrennung zum Nachbaraufzug / Nachbar-Gegengewicht im Bereich des Fahrkorbdachs in [„Teilweise Abdeckungen", „Grobmaschiges Trenngitter oder Spanndrähte"] UND 9.6a Einrichtung zum automatischen Abschalten des Nachbaraufzugs bei Arbeiten im Fahrschacht vorhanden? = Ja UND 9.6b Automatische Abschaltung in der Funktion geprüft, alle Nachbaranlagen erfasst und Wirkung bei Inspektionsbetrieb bestätigt? = Nein)</t>
        </is>
      </c>
      <c r="G235" s="4" t="inlineStr">
        <is>
          <t>Mittel</t>
        </is>
      </c>
      <c r="H235" s="4" t="inlineStr">
        <is>
          <t>INFERRED</t>
        </is>
      </c>
      <c r="I235" s="4" t="inlineStr"/>
      <c r="J235" s="4" t="inlineStr">
        <is>
          <t>Nachbaraufzug zusätzlich von Hand abschalten und gegen Wiedereinschalten sichern</t>
        </is>
      </c>
      <c r="K235" s="4" t="inlineStr">
        <is>
          <t>Abdeckung vervollständigen bzw. engmaschiges Trenngitter nachrüsten; alternativ Funktion der automatischen Abschaltung für alle Nachbaranlagen nachweisen und dokumentieren</t>
        </is>
      </c>
      <c r="L235" s="4" t="inlineStr">
        <is>
          <t>Teilabdeckung bzw. grobmaschiges Gitter: die Grundstufe bleibt Mittel, der fehlende Funktionsnachweis senkt sie aber nicht. Regelprüfung 20.09.2026: Die Regel verdrängt mit P210 die Grundregeln R5/R6 und damit deren technische Maßnahme – die unzureichende Abtrennung muss benannt bleiben (TOP-Prinzip). [Prüfbericht: Prüfbericht 16.09.2026 – Abschaltung ohne Funktionsnachweis] Freigegeben 2026-09-20.</t>
        </is>
      </c>
      <c r="M235" s="3" t="n"/>
      <c r="N235" s="3" t="n"/>
    </row>
    <row r="236">
      <c r="A236" s="2" t="inlineStr">
        <is>
          <t>MF-F03</t>
        </is>
      </c>
      <c r="B236" s="2" t="inlineStr">
        <is>
          <t>Gefährdung durch Nachbaraufzug oder dessen Gegengewicht (Fahrkorbdach)</t>
        </is>
      </c>
      <c r="C236" s="2" t="inlineStr">
        <is>
          <t>Fahrkorbdach und Schachtkopf</t>
        </is>
      </c>
      <c r="D236" s="2" t="inlineStr">
        <is>
          <t>MF-F03-R6</t>
        </is>
      </c>
      <c r="E236" s="2" t="n">
        <v>200</v>
      </c>
      <c r="F236" s="2" t="inlineStr">
        <is>
          <t>(9.6 Abtrennung zum Nachbaraufzug / Nachbar-Gegengewicht im Bereich des Fahrkorbdachs in [„Keine Abdeckung / kein Trenngitter", „Teilweise Abdeckungen", „Grobmaschiges Trenngitter oder Spanndrähte"] UND 9.6a Einrichtung zum automatischen Abschalten des Nachbaraufzugs bei Arbeiten im Fahrschacht vorhanden? = Ja UND 9.6b Automatische Abschaltung in der Funktion geprüft, alle Nachbaranlagen erfasst und Wirkung bei Inspektionsbetrieb bestätigt? = Ja)</t>
        </is>
      </c>
      <c r="G236" s="2" t="inlineStr">
        <is>
          <t>Kein Risiko</t>
        </is>
      </c>
      <c r="H236" s="2" t="inlineStr">
        <is>
          <t>HIGH_CONFIDENCE</t>
        </is>
      </c>
      <c r="I236" s="2" t="inlineStr"/>
      <c r="J236" s="2" t="inlineStr"/>
      <c r="K236" s="2" t="inlineStr"/>
      <c r="L236" s="2" t="inlineStr">
        <is>
          <t>TRBS 3121 Anh. 1 Nr. 4 c): automatische Abschaltung des Nachbaraufzugs ist gleichwertige Alternative. [Prüfbericht: H03 – neu: Alternative automatische Abschaltung] Freigegeben 2026-09-20.</t>
        </is>
      </c>
      <c r="M236" s="3" t="n"/>
      <c r="N236" s="3" t="n"/>
    </row>
    <row r="237">
      <c r="A237" s="4" t="inlineStr">
        <is>
          <t>MF-F03</t>
        </is>
      </c>
      <c r="B237" s="4" t="inlineStr">
        <is>
          <t>Gefährdung durch Nachbaraufzug oder dessen Gegengewicht (Fahrkorbdach)</t>
        </is>
      </c>
      <c r="C237" s="4" t="inlineStr">
        <is>
          <t>Fahrkorbdach und Schachtkopf</t>
        </is>
      </c>
      <c r="D237" s="4" t="inlineStr">
        <is>
          <t>MF-F03-R1</t>
        </is>
      </c>
      <c r="E237" s="4" t="n">
        <v>100</v>
      </c>
      <c r="F237" s="4" t="inlineStr">
        <is>
          <t>9.6 Abtrennung zum Nachbaraufzug / Nachbar-Gegengewicht im Bereich des Fahrkorbdachs = „Keine Abdeckung / kein Trenngitter"</t>
        </is>
      </c>
      <c r="G237" s="4" t="inlineStr">
        <is>
          <t>Hoch</t>
        </is>
      </c>
      <c r="H237" s="4" t="inlineStr">
        <is>
          <t>HIGH_CONFIDENCE</t>
        </is>
      </c>
      <c r="I237" s="4" t="inlineStr"/>
      <c r="J237" s="4" t="inlineStr">
        <is>
          <t>Vor Arbeiten auf dem Fahrkorbdach den Nachbaraufzug abschalten und gegen Wiedereinschalten sichern</t>
        </is>
      </c>
      <c r="K237" s="4" t="inlineStr">
        <is>
          <t>Trenngitter über die volle Schachthöhe nachrüsten, Umwehrung mit mehr als 0,5 m Abstand zu beweglichen Teilen herstellen oder automatische Abschaltung des Nachbaraufzugs vorsehen</t>
        </is>
      </c>
      <c r="L237" s="4" t="inlineStr">
        <is>
          <t>[Prüfbericht: H03 – Maßnahme benennt den Nachbaraufzug und die Alternativen] Freigegeben 2026-09-20.</t>
        </is>
      </c>
      <c r="M237" s="3" t="n"/>
      <c r="N237" s="3" t="n"/>
    </row>
    <row r="238">
      <c r="A238" s="2" t="inlineStr">
        <is>
          <t>MF-F03</t>
        </is>
      </c>
      <c r="B238" s="2" t="inlineStr">
        <is>
          <t>Gefährdung durch Nachbaraufzug oder dessen Gegengewicht (Fahrkorbdach)</t>
        </is>
      </c>
      <c r="C238" s="2" t="inlineStr">
        <is>
          <t>Fahrkorbdach und Schachtkopf</t>
        </is>
      </c>
      <c r="D238" s="2" t="inlineStr">
        <is>
          <t>MF-F03-R2</t>
        </is>
      </c>
      <c r="E238" s="2" t="n">
        <v>100</v>
      </c>
      <c r="F238" s="2" t="inlineStr">
        <is>
          <t>9.6 Abtrennung zum Nachbaraufzug / Nachbar-Gegengewicht im Bereich des Fahrkorbdachs = „Teilweise Abdeckungen"</t>
        </is>
      </c>
      <c r="G238" s="2" t="inlineStr">
        <is>
          <t>Mittel</t>
        </is>
      </c>
      <c r="H238" s="2" t="inlineStr">
        <is>
          <t>HIGH_CONFIDENCE</t>
        </is>
      </c>
      <c r="I238" s="2" t="inlineStr"/>
      <c r="J238" s="2" t="inlineStr">
        <is>
          <t>Vor Arbeiten im Bereich der offenen Stellen den Nachbaraufzug abschalten und sichern</t>
        </is>
      </c>
      <c r="K238" s="2" t="inlineStr">
        <is>
          <t>Abdeckung nachrüsten</t>
        </is>
      </c>
      <c r="L238" s="2" t="inlineStr">
        <is>
          <t>[Prüfbericht: H03 – Sofortmaßnahme benennt den Nachbaraufzug] Freigegeben 2026-09-20.</t>
        </is>
      </c>
      <c r="M238" s="3" t="n"/>
      <c r="N238" s="3" t="n"/>
    </row>
    <row r="239">
      <c r="A239" s="4" t="inlineStr">
        <is>
          <t>MF-F03</t>
        </is>
      </c>
      <c r="B239" s="4" t="inlineStr">
        <is>
          <t>Gefährdung durch Nachbaraufzug oder dessen Gegengewicht (Fahrkorbdach)</t>
        </is>
      </c>
      <c r="C239" s="4" t="inlineStr">
        <is>
          <t>Fahrkorbdach und Schachtkopf</t>
        </is>
      </c>
      <c r="D239" s="4" t="inlineStr">
        <is>
          <t>MF-F03-R3</t>
        </is>
      </c>
      <c r="E239" s="4" t="n">
        <v>100</v>
      </c>
      <c r="F239" s="4" t="inlineStr">
        <is>
          <t>9.6 Abtrennung zum Nachbaraufzug / Nachbar-Gegengewicht im Bereich des Fahrkorbdachs = „Grobmaschiges Trenngitter oder Spanndrähte"</t>
        </is>
      </c>
      <c r="G239" s="4" t="inlineStr">
        <is>
          <t>Mittel</t>
        </is>
      </c>
      <c r="H239" s="4" t="inlineStr">
        <is>
          <t>HIGH_CONFIDENCE</t>
        </is>
      </c>
      <c r="I239" s="4" t="inlineStr"/>
      <c r="J239" s="4" t="inlineStr">
        <is>
          <t>Vor Arbeiten im Bereich des Trenngitters den Nachbaraufzug abschalten und sichern</t>
        </is>
      </c>
      <c r="K239" s="4" t="inlineStr">
        <is>
          <t>Engmaschiges Trenngitter nachrüsten</t>
        </is>
      </c>
      <c r="L239" s="4" t="inlineStr">
        <is>
          <t>[Prüfbericht: H03 – Sofortmaßnahme benennt den Nachbaraufzug] Freigegeben 2026-09-20.</t>
        </is>
      </c>
      <c r="M239" s="3" t="n"/>
      <c r="N239" s="3" t="n"/>
    </row>
    <row r="240">
      <c r="A240" s="2" t="inlineStr">
        <is>
          <t>MF-F03</t>
        </is>
      </c>
      <c r="B240" s="2" t="inlineStr">
        <is>
          <t>Gefährdung durch Nachbaraufzug oder dessen Gegengewicht (Fahrkorbdach)</t>
        </is>
      </c>
      <c r="C240" s="2" t="inlineStr">
        <is>
          <t>Fahrkorbdach und Schachtkopf</t>
        </is>
      </c>
      <c r="D240" s="2" t="inlineStr">
        <is>
          <t>MF-F03-R4</t>
        </is>
      </c>
      <c r="E240" s="2" t="n">
        <v>1</v>
      </c>
      <c r="F240" s="2" t="inlineStr">
        <is>
          <t>9.6 Abtrennung zum Nachbaraufzug / Nachbar-Gegengewicht im Bereich des Fahrkorbdachs beantwortet</t>
        </is>
      </c>
      <c r="G240" s="2" t="inlineStr">
        <is>
          <t>Kein Risiko</t>
        </is>
      </c>
      <c r="H240" s="2" t="inlineStr">
        <is>
          <t>HIGH_CONFIDENCE</t>
        </is>
      </c>
      <c r="I240" s="2" t="inlineStr"/>
      <c r="J240" s="2" t="inlineStr">
        <is>
          <t>Zustand erhalten; bei der wiederkehrenden Prüfung und der Betreiberkontrolle erneut prüfen</t>
        </is>
      </c>
      <c r="K240" s="2" t="inlineStr"/>
      <c r="L240" s="2" t="inlineStr">
        <is>
          <t>Kein Risiko: keine Mangelregel trifft zu, alle Pflichtfragen beantwortet. Freigegeben 2026-09-20.</t>
        </is>
      </c>
      <c r="M240" s="3" t="n"/>
      <c r="N240" s="3" t="n"/>
    </row>
    <row r="241">
      <c r="A241" s="4" t="inlineStr">
        <is>
          <t>MF-F04</t>
        </is>
      </c>
      <c r="B241" s="4" t="inlineStr">
        <is>
          <t>Unzureichender Schutzraum / Kopffreiheit im Schachtkopf</t>
        </is>
      </c>
      <c r="C241" s="4" t="inlineStr">
        <is>
          <t>Fahrkorbdach und Schachtkopf</t>
        </is>
      </c>
      <c r="D241" s="4" t="inlineStr">
        <is>
          <t>MF-F04-R1</t>
        </is>
      </c>
      <c r="E241" s="4" t="n">
        <v>100</v>
      </c>
      <c r="F241" s="4" t="inlineStr">
        <is>
          <t>9.7 Schutzraum im Schachtkopf = „Schutzraum nicht gegeben (z. B. nachträgliche Einbauten)"</t>
        </is>
      </c>
      <c r="G241" s="4" t="inlineStr">
        <is>
          <t>Hoch</t>
        </is>
      </c>
      <c r="H241" s="4" t="inlineStr">
        <is>
          <t>HIGH_CONFIDENCE</t>
        </is>
      </c>
      <c r="I241" s="4" t="inlineStr"/>
      <c r="J241" s="4" t="inlineStr">
        <is>
          <t>Fahrkorbdach nicht betreten, Einbauten entfernen</t>
        </is>
      </c>
      <c r="K241" s="4" t="inlineStr">
        <is>
          <t>Fahrbegrenzung nachrüsten oder Schutzraum wiederherstellen</t>
        </is>
      </c>
      <c r="L241" s="4" t="inlineStr">
        <is>
          <t>Freigegeben 2026-09-20.</t>
        </is>
      </c>
      <c r="M241" s="3" t="n"/>
      <c r="N241" s="3" t="n"/>
    </row>
    <row r="242">
      <c r="A242" s="2" t="inlineStr">
        <is>
          <t>MF-F04</t>
        </is>
      </c>
      <c r="B242" s="2" t="inlineStr">
        <is>
          <t>Unzureichender Schutzraum / Kopffreiheit im Schachtkopf</t>
        </is>
      </c>
      <c r="C242" s="2" t="inlineStr">
        <is>
          <t>Fahrkorbdach und Schachtkopf</t>
        </is>
      </c>
      <c r="D242" s="2" t="inlineStr">
        <is>
          <t>MF-F04-R2</t>
        </is>
      </c>
      <c r="E242" s="2" t="n">
        <v>100</v>
      </c>
      <c r="F242" s="2" t="inlineStr">
        <is>
          <t>(9.7 Schutzraum im Schachtkopf = „Reduzierter Schachtkopf mit wirksamer Zusatzeinrichtung und Betriebsanweisung" UND 9.7a Warnkennzeichnung zur reduzierten Kopffreiheit vorhanden? = Nein)</t>
        </is>
      </c>
      <c r="G242" s="2" t="inlineStr">
        <is>
          <t>Mittel</t>
        </is>
      </c>
      <c r="H242" s="2" t="inlineStr">
        <is>
          <t>HIGH_CONFIDENCE</t>
        </is>
      </c>
      <c r="I242" s="2" t="inlineStr"/>
      <c r="J242" s="2" t="inlineStr">
        <is>
          <t>Kopfschutz verwenden, Anstoßstellen kennzeichnen</t>
        </is>
      </c>
      <c r="K242" s="2" t="inlineStr">
        <is>
          <t>Schutzraumkennzeichnung nach DIN EN 81-20 anbringen</t>
        </is>
      </c>
      <c r="L242" s="2" t="inlineStr">
        <is>
          <t>[Prüfbericht: H15 – Hoch auf Mittel: Schutzeinrichtung wirkt, es fehlt die Kennzeichnung] Freigegeben 2026-09-20.</t>
        </is>
      </c>
      <c r="M242" s="3" t="n"/>
      <c r="N242" s="3" t="n"/>
    </row>
    <row r="243">
      <c r="A243" s="4" t="inlineStr">
        <is>
          <t>MF-F04</t>
        </is>
      </c>
      <c r="B243" s="4" t="inlineStr">
        <is>
          <t>Unzureichender Schutzraum / Kopffreiheit im Schachtkopf</t>
        </is>
      </c>
      <c r="C243" s="4" t="inlineStr">
        <is>
          <t>Fahrkorbdach und Schachtkopf</t>
        </is>
      </c>
      <c r="D243" s="4" t="inlineStr">
        <is>
          <t>MF-F04-R3</t>
        </is>
      </c>
      <c r="E243" s="4" t="n">
        <v>100</v>
      </c>
      <c r="F243" s="4" t="inlineStr">
        <is>
          <t>9.7 Schutzraum im Schachtkopf = „Schutzraum nach TRA 200 / EN 81-1/-2 (kleiner als EN 81-20)"</t>
        </is>
      </c>
      <c r="G243" s="4" t="inlineStr">
        <is>
          <t>Niedrig</t>
        </is>
      </c>
      <c r="H243" s="4" t="inlineStr">
        <is>
          <t>INFERRED</t>
        </is>
      </c>
      <c r="I243" s="4" t="inlineStr"/>
      <c r="J243" s="4" t="inlineStr">
        <is>
          <t>Zustand dokumentieren, Beschäftigte über den reduzierten Schutzraum unterweisen</t>
        </is>
      </c>
      <c r="K243" s="4" t="inlineStr">
        <is>
          <t>Bei Modernisierung Schutzräume nach EN 81-20 herstellen oder Schutzeinrichtung für temporären Schutzraum vorsehen</t>
        </is>
      </c>
      <c r="L243" s="4" t="inlineStr">
        <is>
          <t>TRBS 3121 Anh. 1 Nr. 5: Risiko niedrig bei Schutzräumen nach TRA 200 oder EN 81-1/-2. Entschieden 2026-09-02: K-F05.</t>
        </is>
      </c>
      <c r="M243" s="3" t="n"/>
      <c r="N243" s="3" t="n"/>
    </row>
    <row r="244">
      <c r="A244" s="2" t="inlineStr">
        <is>
          <t>MF-F04</t>
        </is>
      </c>
      <c r="B244" s="2" t="inlineStr">
        <is>
          <t>Unzureichender Schutzraum / Kopffreiheit im Schachtkopf</t>
        </is>
      </c>
      <c r="C244" s="2" t="inlineStr">
        <is>
          <t>Fahrkorbdach und Schachtkopf</t>
        </is>
      </c>
      <c r="D244" s="2" t="inlineStr">
        <is>
          <t>MF-F04-R4</t>
        </is>
      </c>
      <c r="E244" s="2" t="n">
        <v>100</v>
      </c>
      <c r="F244" s="2" t="inlineStr">
        <is>
          <t>9.7 Schutzraum im Schachtkopf = „Reduzierter Schachtkopf mit wirksamer Zusatzeinrichtung und Betriebsanweisung"</t>
        </is>
      </c>
      <c r="G244" s="2" t="inlineStr">
        <is>
          <t>Kein Risiko</t>
        </is>
      </c>
      <c r="H244" s="2" t="inlineStr">
        <is>
          <t>HIGH_CONFIDENCE</t>
        </is>
      </c>
      <c r="I244" s="2" t="inlineStr"/>
      <c r="J244" s="2" t="inlineStr"/>
      <c r="K244" s="2" t="inlineStr"/>
      <c r="L244" s="2" t="inlineStr">
        <is>
          <t>Entscheidung 02.09.2026: reduzierter Schachtkopf mit wirksamer Zusatzeinrichtung = kein Risiko (App F5). Entschieden 2026-09-02: K-F03.</t>
        </is>
      </c>
      <c r="M244" s="3" t="n"/>
      <c r="N244" s="3" t="n"/>
    </row>
    <row r="245">
      <c r="A245" s="4" t="inlineStr">
        <is>
          <t>MF-F04</t>
        </is>
      </c>
      <c r="B245" s="4" t="inlineStr">
        <is>
          <t>Unzureichender Schutzraum / Kopffreiheit im Schachtkopf</t>
        </is>
      </c>
      <c r="C245" s="4" t="inlineStr">
        <is>
          <t>Fahrkorbdach und Schachtkopf</t>
        </is>
      </c>
      <c r="D245" s="4" t="inlineStr">
        <is>
          <t>MF-F04-R5</t>
        </is>
      </c>
      <c r="E245" s="4" t="n">
        <v>1</v>
      </c>
      <c r="F245" s="4" t="inlineStr">
        <is>
          <t>9.7 Schutzraum im Schachtkopf beantwortet</t>
        </is>
      </c>
      <c r="G245" s="4" t="inlineStr">
        <is>
          <t>Kein Risiko</t>
        </is>
      </c>
      <c r="H245" s="4" t="inlineStr">
        <is>
          <t>HIGH_CONFIDENCE</t>
        </is>
      </c>
      <c r="I245" s="4" t="inlineStr"/>
      <c r="J245" s="4" t="inlineStr">
        <is>
          <t>Zustand erhalten; bei der wiederkehrenden Prüfung und der Betreiberkontrolle erneut prüfen</t>
        </is>
      </c>
      <c r="K245" s="4" t="inlineStr"/>
      <c r="L245" s="4" t="inlineStr">
        <is>
          <t>Kein Risiko: keine Mangelregel trifft zu, alle Pflichtfragen beantwortet. Freigegeben 2026-09-20.</t>
        </is>
      </c>
      <c r="M245" s="3" t="n"/>
      <c r="N245" s="3" t="n"/>
    </row>
    <row r="246">
      <c r="A246" s="2" t="inlineStr">
        <is>
          <t>MF-F05</t>
        </is>
      </c>
      <c r="B246" s="2" t="inlineStr">
        <is>
          <t>Fehlende oder unzulängliche Inspektionssteuerung auf dem Fahrkorbdach</t>
        </is>
      </c>
      <c r="C246" s="2" t="inlineStr">
        <is>
          <t>Sicherheitskomponenten</t>
        </is>
      </c>
      <c r="D246" s="2" t="inlineStr">
        <is>
          <t>MF-F05-R1</t>
        </is>
      </c>
      <c r="E246" s="2" t="n">
        <v>100</v>
      </c>
      <c r="F246" s="2" t="inlineStr">
        <is>
          <t>9.8 Inspektionssteuerung auf dem Fahrkorbdach vorhanden? = Nein</t>
        </is>
      </c>
      <c r="G246" s="2" t="inlineStr">
        <is>
          <t>Hoch</t>
        </is>
      </c>
      <c r="H246" s="2" t="inlineStr">
        <is>
          <t>HIGH_CONFIDENCE</t>
        </is>
      </c>
      <c r="I246" s="2" t="inlineStr"/>
      <c r="J246" s="2" t="inlineStr">
        <is>
          <t>Fahrkorbdach nur nach Freischalten der Anlage und Sichern gegen Wiedereinschalten betreten; keine Fahrt mit Personen auf dem Fahrkorbdach; Betreiber unterrichten; keine Alleinarbeit (DGUV Information 209-053)</t>
        </is>
      </c>
      <c r="K246" s="2" t="inlineStr">
        <is>
          <t>Inspektionssteuerung nach DIN EN 81-20, 5.12.1.5 nachrüsten</t>
        </is>
      </c>
      <c r="L246" s="2" t="inlineStr">
        <is>
          <t>Regelprüfung 20.09.2026: Ohne Inspektionssteuerung fährt der Aufzug im Normalbetrieb mit Nenngeschwindigkeit, während Personen auf dem Dach stehen. Das Verbot der Alleinarbeit und ein Literaturhinweis verhindern diese Fahrt nicht – die Sofortmaßnahme setzt jetzt am Freischalten an. Freigegeben 2026-09-20.</t>
        </is>
      </c>
      <c r="M246" s="3" t="n"/>
      <c r="N246" s="3" t="n"/>
    </row>
    <row r="247">
      <c r="A247" s="4" t="inlineStr">
        <is>
          <t>MF-F05</t>
        </is>
      </c>
      <c r="B247" s="4" t="inlineStr">
        <is>
          <t>Fehlende oder unzulängliche Inspektionssteuerung auf dem Fahrkorbdach</t>
        </is>
      </c>
      <c r="C247" s="4" t="inlineStr">
        <is>
          <t>Sicherheitskomponenten</t>
        </is>
      </c>
      <c r="D247" s="4" t="inlineStr">
        <is>
          <t>MF-F05-R2</t>
        </is>
      </c>
      <c r="E247" s="4" t="n">
        <v>100</v>
      </c>
      <c r="F247" s="4" t="inlineStr">
        <is>
          <t>9.8c Inspektionsgeschwindigkeit max. 0,63 m/s? = Nein</t>
        </is>
      </c>
      <c r="G247" s="4" t="inlineStr">
        <is>
          <t>Hoch</t>
        </is>
      </c>
      <c r="H247" s="4" t="inlineStr">
        <is>
          <t>HIGH_CONFIDENCE</t>
        </is>
      </c>
      <c r="I247" s="4" t="inlineStr"/>
      <c r="J247" s="4" t="inlineStr">
        <is>
          <t>Keine Inspektionsfahrten mit Personen auf dem Fahrkorbdach bis zur Begrenzung der Geschwindigkeit; Arbeiten nur bei stillgesetzter Anlage</t>
        </is>
      </c>
      <c r="K247" s="4" t="inlineStr">
        <is>
          <t>Inspektionsgeschwindigkeit &lt; 0,63 m/s nachrüsten</t>
        </is>
      </c>
      <c r="L247" s="4" t="inlineStr">
        <is>
          <t>[Prüfbericht: B11 – „nur abwärts" ist keine wirksame Maßnahme] Freigegeben 2026-09-20.</t>
        </is>
      </c>
      <c r="M247" s="3" t="n"/>
      <c r="N247" s="3" t="n"/>
    </row>
    <row r="248">
      <c r="A248" s="2" t="inlineStr">
        <is>
          <t>MF-F05</t>
        </is>
      </c>
      <c r="B248" s="2" t="inlineStr">
        <is>
          <t>Fehlende oder unzulängliche Inspektionssteuerung auf dem Fahrkorbdach</t>
        </is>
      </c>
      <c r="C248" s="2" t="inlineStr">
        <is>
          <t>Sicherheitskomponenten</t>
        </is>
      </c>
      <c r="D248" s="2" t="inlineStr">
        <is>
          <t>MF-F05-R3</t>
        </is>
      </c>
      <c r="E248" s="2" t="n">
        <v>100</v>
      </c>
      <c r="F248" s="2" t="inlineStr">
        <is>
          <t>9.8a Inspektionssteuerung gegen unbeabsichtigtes Betätigen geschützt? = Nein</t>
        </is>
      </c>
      <c r="G248" s="2" t="inlineStr">
        <is>
          <t>Mittel</t>
        </is>
      </c>
      <c r="H248" s="2" t="inlineStr">
        <is>
          <t>HIGH_CONFIDENCE</t>
        </is>
      </c>
      <c r="I248" s="2" t="inlineStr"/>
      <c r="J248" s="2" t="inlineStr">
        <is>
          <t>Vor Arbeiten Not-Halt betätigen und Befehlsgeber auf unbeabsichtigte Betätigung prüfen</t>
        </is>
      </c>
      <c r="K248" s="2" t="inlineStr">
        <is>
          <t>Schutzkragen oder gleichwertigen Schutz nachrüsten</t>
        </is>
      </c>
      <c r="L248" s="2" t="inlineStr">
        <is>
          <t>[Prüfbericht 16.09.2026: konkrete Sofortmaßnahme statt „Vorsicht“] Freigegeben 2026-09-20.</t>
        </is>
      </c>
      <c r="M248" s="3" t="n"/>
      <c r="N248" s="3" t="n"/>
    </row>
    <row r="249">
      <c r="A249" s="4" t="inlineStr">
        <is>
          <t>MF-F05</t>
        </is>
      </c>
      <c r="B249" s="4" t="inlineStr">
        <is>
          <t>Fehlende oder unzulängliche Inspektionssteuerung auf dem Fahrkorbdach</t>
        </is>
      </c>
      <c r="C249" s="4" t="inlineStr">
        <is>
          <t>Sicherheitskomponenten</t>
        </is>
      </c>
      <c r="D249" s="4" t="inlineStr">
        <is>
          <t>MF-F05-R4</t>
        </is>
      </c>
      <c r="E249" s="4" t="n">
        <v>100</v>
      </c>
      <c r="F249" s="4" t="inlineStr">
        <is>
          <t>9.8b Inspektionssteuerung vom Zugang aus gut erreichbar? = Nein</t>
        </is>
      </c>
      <c r="G249" s="4" t="inlineStr">
        <is>
          <t>Mittel</t>
        </is>
      </c>
      <c r="H249" s="4" t="inlineStr">
        <is>
          <t>HIGH_CONFIDENCE</t>
        </is>
      </c>
      <c r="I249" s="4" t="inlineStr"/>
      <c r="J249" s="4" t="inlineStr">
        <is>
          <t>Inspektionssteuerung erst nach sicherem Betreten und Betätigen des Not-Halts einschalten; nicht allein arbeiten</t>
        </is>
      </c>
      <c r="K249" s="4" t="inlineStr">
        <is>
          <t>Bedieneinrichtung versetzen oder ändern</t>
        </is>
      </c>
      <c r="L249" s="4" t="inlineStr">
        <is>
          <t>[Prüfbericht 16.09.2026: konkrete Sofortmaßnahme statt „Vorsicht“] Freigegeben 2026-09-20.</t>
        </is>
      </c>
      <c r="M249" s="3" t="n"/>
      <c r="N249" s="3" t="n"/>
    </row>
    <row r="250">
      <c r="A250" s="2" t="inlineStr">
        <is>
          <t>MF-F05</t>
        </is>
      </c>
      <c r="B250" s="2" t="inlineStr">
        <is>
          <t>Fehlende oder unzulängliche Inspektionssteuerung auf dem Fahrkorbdach</t>
        </is>
      </c>
      <c r="C250" s="2" t="inlineStr">
        <is>
          <t>Sicherheitskomponenten</t>
        </is>
      </c>
      <c r="D250" s="2" t="inlineStr">
        <is>
          <t>MF-F05-R5</t>
        </is>
      </c>
      <c r="E250" s="2" t="n">
        <v>1</v>
      </c>
      <c r="F250" s="2" t="inlineStr">
        <is>
          <t>9.8 Inspektionssteuerung auf dem Fahrkorbdach vorhanden? beantwortet</t>
        </is>
      </c>
      <c r="G250" s="2" t="inlineStr">
        <is>
          <t>Kein Risiko</t>
        </is>
      </c>
      <c r="H250" s="2" t="inlineStr">
        <is>
          <t>HIGH_CONFIDENCE</t>
        </is>
      </c>
      <c r="I250" s="2" t="inlineStr"/>
      <c r="J250" s="2" t="inlineStr">
        <is>
          <t>Zustand erhalten; bei der wiederkehrenden Prüfung und der Betreiberkontrolle erneut prüfen</t>
        </is>
      </c>
      <c r="K250" s="2" t="inlineStr"/>
      <c r="L250" s="2" t="inlineStr">
        <is>
          <t>Kein Risiko: keine Mangelregel trifft zu, alle Pflichtfragen beantwortet. Freigegeben 2026-09-20.</t>
        </is>
      </c>
      <c r="M250" s="3" t="n"/>
      <c r="N250" s="3" t="n"/>
    </row>
    <row r="251">
      <c r="A251" s="4" t="inlineStr">
        <is>
          <t>MF-F06</t>
        </is>
      </c>
      <c r="B251" s="4" t="inlineStr">
        <is>
          <t>Fehlender oder unwirksamer Not-Halt auf dem Fahrkorbdach</t>
        </is>
      </c>
      <c r="C251" s="4" t="inlineStr">
        <is>
          <t>Sicherheitskomponenten</t>
        </is>
      </c>
      <c r="D251" s="4" t="inlineStr">
        <is>
          <t>MF-F06-R1</t>
        </is>
      </c>
      <c r="E251" s="4" t="n">
        <v>100</v>
      </c>
      <c r="F251" s="4" t="inlineStr">
        <is>
          <t>9.9 Notbremsschalter (Not-Halt) auf dem Fahrkorbdach vorhanden? = Nein</t>
        </is>
      </c>
      <c r="G251" s="4" t="inlineStr">
        <is>
          <t>Hoch</t>
        </is>
      </c>
      <c r="H251" s="4" t="inlineStr">
        <is>
          <t>HIGH_CONFIDENCE</t>
        </is>
      </c>
      <c r="I251" s="4" t="inlineStr"/>
      <c r="J251" s="4" t="inlineStr">
        <is>
          <t>Fahrkorbdach nur nach Freischalten der Anlage betreten</t>
        </is>
      </c>
      <c r="K251" s="4" t="inlineStr">
        <is>
          <t>Notbremsschalter nach DIN EN 81-20, 5.4.8 nachrüsten</t>
        </is>
      </c>
      <c r="L251" s="4" t="inlineStr">
        <is>
          <t>Freigegeben 2026-09-20.</t>
        </is>
      </c>
      <c r="M251" s="3" t="n"/>
      <c r="N251" s="3" t="n"/>
    </row>
    <row r="252">
      <c r="A252" s="2" t="inlineStr">
        <is>
          <t>MF-F06</t>
        </is>
      </c>
      <c r="B252" s="2" t="inlineStr">
        <is>
          <t>Fehlender oder unwirksamer Not-Halt auf dem Fahrkorbdach</t>
        </is>
      </c>
      <c r="C252" s="2" t="inlineStr">
        <is>
          <t>Sicherheitskomponenten</t>
        </is>
      </c>
      <c r="D252" s="2" t="inlineStr">
        <is>
          <t>MF-F06-R2</t>
        </is>
      </c>
      <c r="E252" s="2" t="n">
        <v>100</v>
      </c>
      <c r="F252" s="2" t="inlineStr">
        <is>
          <t>9.9b Not-Halt wirksam (Funktion geprüft)? = Nein</t>
        </is>
      </c>
      <c r="G252" s="2" t="inlineStr">
        <is>
          <t>Hoch</t>
        </is>
      </c>
      <c r="H252" s="2" t="inlineStr">
        <is>
          <t>HIGH_CONFIDENCE</t>
        </is>
      </c>
      <c r="I252" s="2" t="inlineStr"/>
      <c r="J252" s="2" t="inlineStr">
        <is>
          <t>Anlage stilllegen</t>
        </is>
      </c>
      <c r="K252" s="2" t="inlineStr">
        <is>
          <t>Sicherheitskreis instand setzen und Wirkung prüfen</t>
        </is>
      </c>
      <c r="L252" s="2" t="inlineStr">
        <is>
          <t>Freigegeben 2026-09-20.</t>
        </is>
      </c>
      <c r="M252" s="3" t="n"/>
      <c r="N252" s="3" t="n"/>
    </row>
    <row r="253">
      <c r="A253" s="4" t="inlineStr">
        <is>
          <t>MF-F06</t>
        </is>
      </c>
      <c r="B253" s="4" t="inlineStr">
        <is>
          <t>Fehlender oder unwirksamer Not-Halt auf dem Fahrkorbdach</t>
        </is>
      </c>
      <c r="C253" s="4" t="inlineStr">
        <is>
          <t>Sicherheitskomponenten</t>
        </is>
      </c>
      <c r="D253" s="4" t="inlineStr">
        <is>
          <t>MF-F06-R3</t>
        </is>
      </c>
      <c r="E253" s="4" t="n">
        <v>100</v>
      </c>
      <c r="F253" s="4" t="inlineStr">
        <is>
          <t>9.9a Not-Halt vom Zugang aus erreichbar? = Nein</t>
        </is>
      </c>
      <c r="G253" s="4" t="inlineStr">
        <is>
          <t>Mittel</t>
        </is>
      </c>
      <c r="H253" s="4" t="inlineStr">
        <is>
          <t>HIGH_CONFIDENCE</t>
        </is>
      </c>
      <c r="I253" s="4" t="inlineStr"/>
      <c r="J253" s="4" t="inlineStr">
        <is>
          <t>Fahrkorbdach erst betreten, nachdem die Anlage stillgesetzt und gegen Wiedereinschalten gesichert ist; Lage des Not-Halt vor dem Betreten feststellen und den Beschäftigten bekannt machen; Betreiber unterrichten</t>
        </is>
      </c>
      <c r="K253" s="4" t="inlineStr">
        <is>
          <t>Schalter erreichbar versetzen</t>
        </is>
      </c>
      <c r="L253" s="4" t="inlineStr">
        <is>
          <t>Regelprüfung 20.09.2026: „Position vor dem Betreten prüfen" benennt keine Handlung, die die Gefährdung begrenzt. Freigegeben 2026-09-20.</t>
        </is>
      </c>
      <c r="M253" s="3" t="n"/>
      <c r="N253" s="3" t="n"/>
    </row>
    <row r="254">
      <c r="A254" s="2" t="inlineStr">
        <is>
          <t>MF-F06</t>
        </is>
      </c>
      <c r="B254" s="2" t="inlineStr">
        <is>
          <t>Fehlender oder unwirksamer Not-Halt auf dem Fahrkorbdach</t>
        </is>
      </c>
      <c r="C254" s="2" t="inlineStr">
        <is>
          <t>Sicherheitskomponenten</t>
        </is>
      </c>
      <c r="D254" s="2" t="inlineStr">
        <is>
          <t>MF-F06-R4</t>
        </is>
      </c>
      <c r="E254" s="2" t="n">
        <v>1</v>
      </c>
      <c r="F254" s="2" t="inlineStr">
        <is>
          <t>9.9 Notbremsschalter (Not-Halt) auf dem Fahrkorbdach vorhanden? beantwortet</t>
        </is>
      </c>
      <c r="G254" s="2" t="inlineStr">
        <is>
          <t>Kein Risiko</t>
        </is>
      </c>
      <c r="H254" s="2" t="inlineStr">
        <is>
          <t>HIGH_CONFIDENCE</t>
        </is>
      </c>
      <c r="I254" s="2" t="inlineStr"/>
      <c r="J254" s="2" t="inlineStr">
        <is>
          <t>Zustand erhalten; bei der wiederkehrenden Prüfung und der Betreiberkontrolle erneut prüfen</t>
        </is>
      </c>
      <c r="K254" s="2" t="inlineStr"/>
      <c r="L254" s="2" t="inlineStr">
        <is>
          <t>Kein Risiko: keine Mangelregel trifft zu, alle Pflichtfragen beantwortet. Freigegeben 2026-09-20.</t>
        </is>
      </c>
      <c r="M254" s="3" t="n"/>
      <c r="N254" s="3" t="n"/>
    </row>
    <row r="255">
      <c r="A255" s="4" t="inlineStr">
        <is>
          <t>MF-F07</t>
        </is>
      </c>
      <c r="B255" s="4" t="inlineStr">
        <is>
          <t>Nicht tragfähiges Fahrkorbdach oder unüberwachte Dachklappe</t>
        </is>
      </c>
      <c r="C255" s="4" t="inlineStr">
        <is>
          <t>Fahrkorbdach und Schachtkopf</t>
        </is>
      </c>
      <c r="D255" s="4" t="inlineStr">
        <is>
          <t>MF-F07-R1</t>
        </is>
      </c>
      <c r="E255" s="4" t="n">
        <v>100</v>
      </c>
      <c r="F255" s="4" t="inlineStr">
        <is>
          <t>9.10 Fahrkorbdach tragfähig (200 kg auf 0,30 m × 0,30 m)? = Nein</t>
        </is>
      </c>
      <c r="G255" s="4" t="inlineStr">
        <is>
          <t>Hoch</t>
        </is>
      </c>
      <c r="H255" s="4" t="inlineStr">
        <is>
          <t>HIGH_CONFIDENCE</t>
        </is>
      </c>
      <c r="I255" s="4" t="inlineStr"/>
      <c r="J255" s="4" t="inlineStr">
        <is>
          <t>Fahrkorbdach nicht betreten, bis die Tragfähigkeit hergestellt oder nachgewiesen ist; Warnhinweis am Zugang anbringen</t>
        </is>
      </c>
      <c r="K255" s="4" t="inlineStr">
        <is>
          <t>Tragfähiges Fahrkorbdach herstellen (200 kg auf 0,30 m × 0,30 m, DIN EN 81-20 5.4.7.1) und nachweisen</t>
        </is>
      </c>
      <c r="L255" s="4" t="inlineStr">
        <is>
          <t>[Prüfbericht: B11 – widersprüchliche Sofortmaßnahme bereinigt] Freigegeben 2026-09-20.</t>
        </is>
      </c>
      <c r="M255" s="3" t="n"/>
      <c r="N255" s="3" t="n"/>
    </row>
    <row r="256">
      <c r="A256" s="2" t="inlineStr">
        <is>
          <t>MF-F07</t>
        </is>
      </c>
      <c r="B256" s="2" t="inlineStr">
        <is>
          <t>Nicht tragfähiges Fahrkorbdach oder unüberwachte Dachklappe</t>
        </is>
      </c>
      <c r="C256" s="2" t="inlineStr">
        <is>
          <t>Fahrkorbdach und Schachtkopf</t>
        </is>
      </c>
      <c r="D256" s="2" t="inlineStr">
        <is>
          <t>MF-F07-R2</t>
        </is>
      </c>
      <c r="E256" s="2" t="n">
        <v>100</v>
      </c>
      <c r="F256" s="2" t="inlineStr">
        <is>
          <t>9.11a Klappe elektrisch überwacht (Sicherheitskreis)? = Nein</t>
        </is>
      </c>
      <c r="G256" s="2" t="inlineStr">
        <is>
          <t>Mittel</t>
        </is>
      </c>
      <c r="H256" s="2" t="inlineStr">
        <is>
          <t>HIGH_CONFIDENCE</t>
        </is>
      </c>
      <c r="I256" s="2" t="inlineStr"/>
      <c r="J256" s="2" t="inlineStr">
        <is>
          <t>Klappe vor Fahrbetrieb sichern</t>
        </is>
      </c>
      <c r="K256" s="2" t="inlineStr">
        <is>
          <t>Elektrische Überwachung der Klappe nachrüsten</t>
        </is>
      </c>
      <c r="L256" s="2" t="inlineStr">
        <is>
          <t>Freigegeben 2026-09-20.</t>
        </is>
      </c>
      <c r="M256" s="3" t="n"/>
      <c r="N256" s="3" t="n"/>
    </row>
    <row r="257">
      <c r="A257" s="4" t="inlineStr">
        <is>
          <t>MF-F07</t>
        </is>
      </c>
      <c r="B257" s="4" t="inlineStr">
        <is>
          <t>Nicht tragfähiges Fahrkorbdach oder unüberwachte Dachklappe</t>
        </is>
      </c>
      <c r="C257" s="4" t="inlineStr">
        <is>
          <t>Fahrkorbdach und Schachtkopf</t>
        </is>
      </c>
      <c r="D257" s="4" t="inlineStr">
        <is>
          <t>MF-F07-R3</t>
        </is>
      </c>
      <c r="E257" s="4" t="n">
        <v>1</v>
      </c>
      <c r="F257" s="4" t="inlineStr">
        <is>
          <t>9.10 Fahrkorbdach tragfähig (200 kg auf 0,30 m × 0,30 m)? beantwortet</t>
        </is>
      </c>
      <c r="G257" s="4" t="inlineStr">
        <is>
          <t>Kein Risiko</t>
        </is>
      </c>
      <c r="H257" s="4" t="inlineStr">
        <is>
          <t>HIGH_CONFIDENCE</t>
        </is>
      </c>
      <c r="I257" s="4" t="inlineStr"/>
      <c r="J257" s="4" t="inlineStr">
        <is>
          <t>Zustand erhalten; bei der wiederkehrenden Prüfung und der Betreiberkontrolle erneut prüfen</t>
        </is>
      </c>
      <c r="K257" s="4" t="inlineStr"/>
      <c r="L257" s="4" t="inlineStr">
        <is>
          <t>Kein Risiko: keine Mangelregel trifft zu, alle Pflichtfragen beantwortet. Freigegeben 2026-09-20.</t>
        </is>
      </c>
      <c r="M257" s="3" t="n"/>
      <c r="N257" s="3" t="n"/>
    </row>
    <row r="258">
      <c r="A258" s="2" t="inlineStr">
        <is>
          <t>MF-F08</t>
        </is>
      </c>
      <c r="B258" s="2" t="inlineStr">
        <is>
          <t>Fehlende Notbeleuchtung auf dem Fahrkorbdach</t>
        </is>
      </c>
      <c r="C258" s="2" t="inlineStr">
        <is>
          <t>Beleuchtung</t>
        </is>
      </c>
      <c r="D258" s="2" t="inlineStr">
        <is>
          <t>MF-F08-R1</t>
        </is>
      </c>
      <c r="E258" s="2" t="n">
        <v>100</v>
      </c>
      <c r="F258" s="2" t="inlineStr">
        <is>
          <t>9.12 Notbeleuchtung auf dem Fahrkorbdach (mind. 5 Lux, 1 h) vorhanden? = Nein</t>
        </is>
      </c>
      <c r="G258" s="2" t="inlineStr">
        <is>
          <t>Hoch</t>
        </is>
      </c>
      <c r="H258" s="2" t="inlineStr">
        <is>
          <t>INFERRED</t>
        </is>
      </c>
      <c r="I258" s="2" t="inlineStr"/>
      <c r="J258" s="2" t="inlineStr">
        <is>
          <t>Handleuchte für Arbeiten auf dem Fahrkorbdach mitführen</t>
        </is>
      </c>
      <c r="K258" s="2" t="inlineStr">
        <is>
          <t>Notbeleuchtung (mind. 5 Lux, 1 h) auf dem Fahrkorbdach nachrüsten</t>
        </is>
      </c>
      <c r="L258" s="2" t="inlineStr">
        <is>
          <t>Entschieden 2026-09-02: K-F04.</t>
        </is>
      </c>
      <c r="M258" s="3" t="n"/>
      <c r="N258" s="3" t="n"/>
    </row>
    <row r="259">
      <c r="A259" s="4" t="inlineStr">
        <is>
          <t>MF-F08</t>
        </is>
      </c>
      <c r="B259" s="4" t="inlineStr">
        <is>
          <t>Fehlende Notbeleuchtung auf dem Fahrkorbdach</t>
        </is>
      </c>
      <c r="C259" s="4" t="inlineStr">
        <is>
          <t>Beleuchtung</t>
        </is>
      </c>
      <c r="D259" s="4" t="inlineStr">
        <is>
          <t>MF-F08-R2</t>
        </is>
      </c>
      <c r="E259" s="4" t="n">
        <v>1</v>
      </c>
      <c r="F259" s="4" t="inlineStr">
        <is>
          <t>9.12 Notbeleuchtung auf dem Fahrkorbdach (mind. 5 Lux, 1 h) vorhanden? beantwortet</t>
        </is>
      </c>
      <c r="G259" s="4" t="inlineStr">
        <is>
          <t>Kein Risiko</t>
        </is>
      </c>
      <c r="H259" s="4" t="inlineStr">
        <is>
          <t>HIGH_CONFIDENCE</t>
        </is>
      </c>
      <c r="I259" s="4" t="inlineStr"/>
      <c r="J259" s="4" t="inlineStr">
        <is>
          <t>Zustand erhalten; bei der wiederkehrenden Prüfung und der Betreiberkontrolle erneut prüfen</t>
        </is>
      </c>
      <c r="K259" s="4" t="inlineStr"/>
      <c r="L259" s="4" t="inlineStr">
        <is>
          <t>Kein Risiko: keine Mangelregel trifft zu, alle Pflichtfragen beantwortet. Freigegeben 2026-09-20.</t>
        </is>
      </c>
      <c r="M259" s="3" t="n"/>
      <c r="N259" s="3" t="n"/>
    </row>
    <row r="260">
      <c r="A260" s="2" t="inlineStr">
        <is>
          <t>MF-F09</t>
        </is>
      </c>
      <c r="B260" s="2" t="inlineStr">
        <is>
          <t>Fehlender Notruf auf dem Fahrkorbdach</t>
        </is>
      </c>
      <c r="C260" s="2" t="inlineStr">
        <is>
          <t>Notruf und Personenbefreiung</t>
        </is>
      </c>
      <c r="D260" s="2" t="inlineStr">
        <is>
          <t>MF-F09-R1</t>
        </is>
      </c>
      <c r="E260" s="2" t="n">
        <v>100</v>
      </c>
      <c r="F260" s="2" t="inlineStr">
        <is>
          <t>9.13 Eindeutig erkennbarer Auslöser für den (Fern-)Notruf auf dem Fahrkorbdach vorhanden? = Nein</t>
        </is>
      </c>
      <c r="G260" s="2" t="inlineStr">
        <is>
          <t>Mittel</t>
        </is>
      </c>
      <c r="H260" s="2" t="inlineStr">
        <is>
          <t>HIGH_CONFIDENCE</t>
        </is>
      </c>
      <c r="I260" s="2" t="inlineStr"/>
      <c r="J260" s="2" t="inlineStr">
        <is>
          <t>Schachteinschluss verhindern durch alternative Maßnahme (z.B. Mobilfunk, Funk, 2. Person)</t>
        </is>
      </c>
      <c r="K260" s="2" t="inlineStr">
        <is>
          <t>Notrufsystem FK-Dach und Schachtgrube nachrüsten</t>
        </is>
      </c>
      <c r="L260" s="2" t="inlineStr">
        <is>
          <t>Freigegeben 2026-09-20.</t>
        </is>
      </c>
      <c r="M260" s="3" t="n"/>
      <c r="N260" s="3" t="n"/>
    </row>
    <row r="261">
      <c r="A261" s="4" t="inlineStr">
        <is>
          <t>MF-F09</t>
        </is>
      </c>
      <c r="B261" s="4" t="inlineStr">
        <is>
          <t>Fehlender Notruf auf dem Fahrkorbdach</t>
        </is>
      </c>
      <c r="C261" s="4" t="inlineStr">
        <is>
          <t>Notruf und Personenbefreiung</t>
        </is>
      </c>
      <c r="D261" s="4" t="inlineStr">
        <is>
          <t>MF-F09-R2</t>
        </is>
      </c>
      <c r="E261" s="4" t="n">
        <v>1</v>
      </c>
      <c r="F261" s="4" t="inlineStr">
        <is>
          <t>9.13 Eindeutig erkennbarer Auslöser für den (Fern-)Notruf auf dem Fahrkorbdach vorhanden? beantwortet</t>
        </is>
      </c>
      <c r="G261" s="4" t="inlineStr">
        <is>
          <t>Kein Risiko</t>
        </is>
      </c>
      <c r="H261" s="4" t="inlineStr">
        <is>
          <t>HIGH_CONFIDENCE</t>
        </is>
      </c>
      <c r="I261" s="4" t="inlineStr"/>
      <c r="J261" s="4" t="inlineStr">
        <is>
          <t>Zustand erhalten; bei der wiederkehrenden Prüfung und der Betreiberkontrolle erneut prüfen</t>
        </is>
      </c>
      <c r="K261" s="4" t="inlineStr"/>
      <c r="L261" s="4" t="inlineStr">
        <is>
          <t>Kein Risiko: keine Mangelregel trifft zu, alle Pflichtfragen beantwortet. Freigegeben 2026-09-20.</t>
        </is>
      </c>
      <c r="M261" s="3" t="n"/>
      <c r="N261" s="3" t="n"/>
    </row>
    <row r="262">
      <c r="A262" s="2" t="inlineStr">
        <is>
          <t>MF-S01</t>
        </is>
      </c>
      <c r="B262" s="2" t="inlineStr">
        <is>
          <t>Unzureichende Schachtbeleuchtung</t>
        </is>
      </c>
      <c r="C262" s="2" t="inlineStr">
        <is>
          <t>Beleuchtung</t>
        </is>
      </c>
      <c r="D262" s="2" t="inlineStr">
        <is>
          <t>MF-S01-R1</t>
        </is>
      </c>
      <c r="E262" s="2" t="n">
        <v>100</v>
      </c>
      <c r="F262" s="2" t="inlineStr">
        <is>
          <t>10.1 Schachtbeleuchtung vorhanden? = Nein</t>
        </is>
      </c>
      <c r="G262" s="2" t="inlineStr">
        <is>
          <t>Hoch</t>
        </is>
      </c>
      <c r="H262" s="2" t="inlineStr">
        <is>
          <t>HIGH_CONFIDENCE</t>
        </is>
      </c>
      <c r="I262" s="2" t="inlineStr"/>
      <c r="J262" s="2" t="inlineStr">
        <is>
          <t>Handlampe benutzen</t>
        </is>
      </c>
      <c r="K262" s="2" t="inlineStr">
        <is>
          <t>Geeignete Leuchten nachrüsten</t>
        </is>
      </c>
      <c r="L262" s="2" t="inlineStr">
        <is>
          <t>Freigegeben 2026-09-20.</t>
        </is>
      </c>
      <c r="M262" s="3" t="n"/>
      <c r="N262" s="3" t="n"/>
    </row>
    <row r="263">
      <c r="A263" s="4" t="inlineStr">
        <is>
          <t>MF-S01</t>
        </is>
      </c>
      <c r="B263" s="4" t="inlineStr">
        <is>
          <t>Unzureichende Schachtbeleuchtung</t>
        </is>
      </c>
      <c r="C263" s="4" t="inlineStr">
        <is>
          <t>Beleuchtung</t>
        </is>
      </c>
      <c r="D263" s="4" t="inlineStr">
        <is>
          <t>MF-S01-R5</t>
        </is>
      </c>
      <c r="E263" s="4" t="n">
        <v>100</v>
      </c>
      <c r="F263" s="4" t="inlineStr">
        <is>
          <t>(10.1a Schachtbeleuchtung ausreichend (mind. 50 Lux 1 m über dem Fahrkorbdach, mind. 20 Lux im übrigen Schacht)? = Nein UND 10.1c Falls nicht ausreichend: erfüllt die Schachtbeleuchtung die Anforderungen des Errichtungs-Regelwerks (TRA 200 bzw. DIN EN 81-1/-2)? = Nein)</t>
        </is>
      </c>
      <c r="G263" s="4" t="inlineStr">
        <is>
          <t>Mittel</t>
        </is>
      </c>
      <c r="H263" s="4" t="inlineStr">
        <is>
          <t>HIGH_CONFIDENCE</t>
        </is>
      </c>
      <c r="I263" s="4" t="inlineStr"/>
      <c r="J263" s="4" t="inlineStr">
        <is>
          <t>Handlampe benutzen</t>
        </is>
      </c>
      <c r="K263" s="4" t="inlineStr">
        <is>
          <t>Geeignete Leuchten nachrüsten</t>
        </is>
      </c>
      <c r="L263" s="4" t="inlineStr">
        <is>
          <t>[Prüfbericht: B05 – Maßstab 50 lx auf dem Fahrkorbdach; Altnorm-Fall getrennt] Freigegeben 2026-09-20.</t>
        </is>
      </c>
      <c r="M263" s="3" t="n"/>
      <c r="N263" s="3" t="n"/>
    </row>
    <row r="264">
      <c r="A264" s="2" t="inlineStr">
        <is>
          <t>MF-S01</t>
        </is>
      </c>
      <c r="B264" s="2" t="inlineStr">
        <is>
          <t>Unzureichende Schachtbeleuchtung</t>
        </is>
      </c>
      <c r="C264" s="2" t="inlineStr">
        <is>
          <t>Beleuchtung</t>
        </is>
      </c>
      <c r="D264" s="2" t="inlineStr">
        <is>
          <t>MF-S01-R6</t>
        </is>
      </c>
      <c r="E264" s="2" t="n">
        <v>100</v>
      </c>
      <c r="F264" s="2" t="inlineStr">
        <is>
          <t>(10.1a Schachtbeleuchtung ausreichend (mind. 50 Lux 1 m über dem Fahrkorbdach, mind. 20 Lux im übrigen Schacht)? = Nein UND 10.1c Falls nicht ausreichend: erfüllt die Schachtbeleuchtung die Anforderungen des Errichtungs-Regelwerks (TRA 200 bzw. DIN EN 81-1/-2)? = Ja)</t>
        </is>
      </c>
      <c r="G264" s="2" t="inlineStr">
        <is>
          <t>Niedrig</t>
        </is>
      </c>
      <c r="H264" s="2" t="inlineStr">
        <is>
          <t>HIGH_CONFIDENCE</t>
        </is>
      </c>
      <c r="I264" s="2" t="inlineStr"/>
      <c r="J264" s="2" t="inlineStr">
        <is>
          <t>Handlampe benutzen</t>
        </is>
      </c>
      <c r="K264" s="2" t="inlineStr">
        <is>
          <t>Geeignete Leuchten nachrüsten</t>
        </is>
      </c>
      <c r="L264" s="2" t="inlineStr">
        <is>
          <t>TRBS 3121 Anh. 1 Nr. 8: Risiko niedrig, wenn die Schachtbeleuchtung TRA 200 bzw. EN 81-1/-2 entspricht. [Prüfbericht: B05 – neu] Freigegeben 2026-09-20.</t>
        </is>
      </c>
      <c r="M264" s="3" t="n"/>
      <c r="N264" s="3" t="n"/>
    </row>
    <row r="265">
      <c r="A265" s="4" t="inlineStr">
        <is>
          <t>MF-S01</t>
        </is>
      </c>
      <c r="B265" s="4" t="inlineStr">
        <is>
          <t>Unzureichende Schachtbeleuchtung</t>
        </is>
      </c>
      <c r="C265" s="4" t="inlineStr">
        <is>
          <t>Beleuchtung</t>
        </is>
      </c>
      <c r="D265" s="4" t="inlineStr">
        <is>
          <t>MF-S01-R3</t>
        </is>
      </c>
      <c r="E265" s="4" t="n">
        <v>100</v>
      </c>
      <c r="F265" s="4" t="inlineStr">
        <is>
          <t>10.1b Leuchten im Schacht mit Splitterschutz und an geeigneter Stelle? = Nein</t>
        </is>
      </c>
      <c r="G265" s="4" t="inlineStr">
        <is>
          <t>Mittel</t>
        </is>
      </c>
      <c r="H265" s="4" t="inlineStr">
        <is>
          <t>HIGH_CONFIDENCE</t>
        </is>
      </c>
      <c r="I265" s="4" t="inlineStr"/>
      <c r="J265" s="4" t="inlineStr">
        <is>
          <t>Ungeschützte oder bruchgefährdete Leuchten spannungsfrei schalten bzw. außer Betrieb nehmen und gegen herabfallende Splitter sichern; Betreiber unterrichten</t>
        </is>
      </c>
      <c r="K265" s="4" t="inlineStr">
        <is>
          <t>Leuchten mit Splitterschutz ausstatten und außerhalb des Fahrbereichs sowie der Arbeitsbereiche auf Fahrkorbdach und in der Grube anordnen</t>
        </is>
      </c>
      <c r="L265" s="4" t="inlineStr">
        <is>
          <t>Regelprüfung 20.09.2026: Die Sofortmaßnahme traf einen anderen Sachverhalt als die Bedingung (beschädigte Leuchte statt fehlender Splitterschutz) und war für Prüfer und Betreiber nicht sofort ausführbar. [Prüfbericht: H11 – Sofortmaßnahme ergänzt] Freigegeben 2026-09-20.</t>
        </is>
      </c>
      <c r="M265" s="3" t="n"/>
      <c r="N265" s="3" t="n"/>
    </row>
    <row r="266">
      <c r="A266" s="2" t="inlineStr">
        <is>
          <t>MF-S01</t>
        </is>
      </c>
      <c r="B266" s="2" t="inlineStr">
        <is>
          <t>Unzureichende Schachtbeleuchtung</t>
        </is>
      </c>
      <c r="C266" s="2" t="inlineStr">
        <is>
          <t>Beleuchtung</t>
        </is>
      </c>
      <c r="D266" s="2" t="inlineStr">
        <is>
          <t>MF-S01-R4</t>
        </is>
      </c>
      <c r="E266" s="2" t="n">
        <v>1</v>
      </c>
      <c r="F266" s="2" t="inlineStr">
        <is>
          <t>10.1 Schachtbeleuchtung vorhanden? beantwortet</t>
        </is>
      </c>
      <c r="G266" s="2" t="inlineStr">
        <is>
          <t>Kein Risiko</t>
        </is>
      </c>
      <c r="H266" s="2" t="inlineStr">
        <is>
          <t>HIGH_CONFIDENCE</t>
        </is>
      </c>
      <c r="I266" s="2" t="inlineStr"/>
      <c r="J266" s="2" t="inlineStr">
        <is>
          <t>Zustand erhalten; bei der wiederkehrenden Prüfung und der Betreiberkontrolle erneut prüfen</t>
        </is>
      </c>
      <c r="K266" s="2" t="inlineStr"/>
      <c r="L266" s="2" t="inlineStr">
        <is>
          <t>Kein Risiko: keine Mangelregel trifft zu, alle Pflichtfragen beantwortet. Freigegeben 2026-09-20.</t>
        </is>
      </c>
      <c r="M266" s="3" t="n"/>
      <c r="N266" s="3" t="n"/>
    </row>
    <row r="267">
      <c r="A267" s="4" t="inlineStr">
        <is>
          <t>MF-S02</t>
        </is>
      </c>
      <c r="B267" s="4" t="inlineStr">
        <is>
          <t>Unzureichende Beleuchtung an den Schachtzugängen</t>
        </is>
      </c>
      <c r="C267" s="4" t="inlineStr">
        <is>
          <t>Beleuchtung</t>
        </is>
      </c>
      <c r="D267" s="4" t="inlineStr">
        <is>
          <t>MF-S02-R1</t>
        </is>
      </c>
      <c r="E267" s="4" t="n">
        <v>100</v>
      </c>
      <c r="F267" s="4" t="inlineStr">
        <is>
          <t>10.2 Beleuchtung an den Schachtzugängen (Haltestellen) mind. 50 lx? = Nein</t>
        </is>
      </c>
      <c r="G267" s="4" t="inlineStr">
        <is>
          <t>Mittel</t>
        </is>
      </c>
      <c r="H267" s="4" t="inlineStr">
        <is>
          <t>INFERRED</t>
        </is>
      </c>
      <c r="I267" s="4" t="inlineStr"/>
      <c r="J267" s="4" t="inlineStr">
        <is>
          <t>Betreiber auf die Beleuchtung der Haltestellen hinweisen</t>
        </is>
      </c>
      <c r="K267" s="4" t="inlineStr">
        <is>
          <t>Beleuchtung an den Schachtzugängen auf mind. 50 lx (Boden) herstellen</t>
        </is>
      </c>
      <c r="L267" s="4" t="inlineStr">
        <is>
          <t>Freigegeben 2026-09-20.</t>
        </is>
      </c>
      <c r="M267" s="3" t="n"/>
      <c r="N267" s="3" t="n"/>
    </row>
    <row r="268">
      <c r="A268" s="2" t="inlineStr">
        <is>
          <t>MF-S02</t>
        </is>
      </c>
      <c r="B268" s="2" t="inlineStr">
        <is>
          <t>Unzureichende Beleuchtung an den Schachtzugängen</t>
        </is>
      </c>
      <c r="C268" s="2" t="inlineStr">
        <is>
          <t>Beleuchtung</t>
        </is>
      </c>
      <c r="D268" s="2" t="inlineStr">
        <is>
          <t>MF-S02-R2</t>
        </is>
      </c>
      <c r="E268" s="2" t="n">
        <v>1</v>
      </c>
      <c r="F268" s="2" t="inlineStr">
        <is>
          <t>10.2 Beleuchtung an den Schachtzugängen (Haltestellen) mind. 50 lx? beantwortet</t>
        </is>
      </c>
      <c r="G268" s="2" t="inlineStr">
        <is>
          <t>Kein Risiko</t>
        </is>
      </c>
      <c r="H268" s="2" t="inlineStr">
        <is>
          <t>HIGH_CONFIDENCE</t>
        </is>
      </c>
      <c r="I268" s="2" t="inlineStr"/>
      <c r="J268" s="2" t="inlineStr">
        <is>
          <t>Zustand erhalten; bei der wiederkehrenden Prüfung und der Betreiberkontrolle erneut prüfen</t>
        </is>
      </c>
      <c r="K268" s="2" t="inlineStr"/>
      <c r="L268" s="2" t="inlineStr">
        <is>
          <t>Kein Risiko: keine Mangelregel trifft zu, alle Pflichtfragen beantwortet. Freigegeben 2026-09-20.</t>
        </is>
      </c>
      <c r="M268" s="3" t="n"/>
      <c r="N268" s="3" t="n"/>
    </row>
    <row r="269">
      <c r="A269" s="4" t="inlineStr">
        <is>
          <t>MF-S03</t>
        </is>
      </c>
      <c r="B269" s="4" t="inlineStr">
        <is>
          <t>Unzureichende Schachtumwehrung oder Schachtwände</t>
        </is>
      </c>
      <c r="C269" s="4" t="inlineStr">
        <is>
          <t>Schacht und Gegengewicht</t>
        </is>
      </c>
      <c r="D269" s="4" t="inlineStr">
        <is>
          <t>MF-S03-R1</t>
        </is>
      </c>
      <c r="E269" s="4" t="n">
        <v>100</v>
      </c>
      <c r="F269" s="4" t="inlineStr">
        <is>
          <t>10.4 Schachtwände ausreichend fest (100 kg auf 0,30 m × 0,30 m, keine Durchbrüche)? = Nein</t>
        </is>
      </c>
      <c r="G269" s="4" t="inlineStr">
        <is>
          <t>Hoch</t>
        </is>
      </c>
      <c r="H269" s="4" t="inlineStr">
        <is>
          <t>HIGH_CONFIDENCE</t>
        </is>
      </c>
      <c r="I269" s="4" t="inlineStr"/>
      <c r="J269" s="4" t="inlineStr">
        <is>
          <t>Gefahrbereich absperren</t>
        </is>
      </c>
      <c r="K269" s="4" t="inlineStr">
        <is>
          <t>Schachtwände nach DIN EN 81-20, 5.2.5 ertüchtigen</t>
        </is>
      </c>
      <c r="L269" s="4" t="inlineStr">
        <is>
          <t>Freigegeben 2026-09-20.</t>
        </is>
      </c>
      <c r="M269" s="3" t="n"/>
      <c r="N269" s="3" t="n"/>
    </row>
    <row r="270">
      <c r="A270" s="2" t="inlineStr">
        <is>
          <t>MF-S03</t>
        </is>
      </c>
      <c r="B270" s="2" t="inlineStr">
        <is>
          <t>Unzureichende Schachtumwehrung oder Schachtwände</t>
        </is>
      </c>
      <c r="C270" s="2" t="inlineStr">
        <is>
          <t>Schacht und Gegengewicht</t>
        </is>
      </c>
      <c r="D270" s="2" t="inlineStr">
        <is>
          <t>MF-S03-R2</t>
        </is>
      </c>
      <c r="E270" s="2" t="n">
        <v>100</v>
      </c>
      <c r="F270" s="2" t="inlineStr">
        <is>
          <t>(10.3 Schacht vollständig umwehrt (Wände, Decke, Boden)? = Nein UND 10.3a Teilumwehrung nach EN 81-20 5.2.5.2.3 zulässig ausgeführt (Höhen, Abstände)? = Nein)</t>
        </is>
      </c>
      <c r="G270" s="2" t="inlineStr">
        <is>
          <t>Hoch</t>
        </is>
      </c>
      <c r="H270" s="2" t="inlineStr">
        <is>
          <t>INFERRED</t>
        </is>
      </c>
      <c r="I270" s="2" t="inlineStr"/>
      <c r="J270" s="2" t="inlineStr">
        <is>
          <t>Gefahrbereich absperren</t>
        </is>
      </c>
      <c r="K270" s="2" t="inlineStr">
        <is>
          <t>Schachtwände nach DIN EN 81-20, 5.2.5 ertüchtigen</t>
        </is>
      </c>
      <c r="L270" s="2" t="inlineStr">
        <is>
          <t>Freigegeben 2026-09-20.</t>
        </is>
      </c>
      <c r="M270" s="3" t="n"/>
      <c r="N270" s="3" t="n"/>
    </row>
    <row r="271">
      <c r="A271" s="4" t="inlineStr">
        <is>
          <t>MF-S03</t>
        </is>
      </c>
      <c r="B271" s="4" t="inlineStr">
        <is>
          <t>Unzureichende Schachtumwehrung oder Schachtwände</t>
        </is>
      </c>
      <c r="C271" s="4" t="inlineStr">
        <is>
          <t>Schacht und Gegengewicht</t>
        </is>
      </c>
      <c r="D271" s="4" t="inlineStr">
        <is>
          <t>MF-S03-R3</t>
        </is>
      </c>
      <c r="E271" s="4" t="n">
        <v>100</v>
      </c>
      <c r="F271" s="4" t="inlineStr">
        <is>
          <t>(10.3 Schacht vollständig umwehrt (Wände, Decke, Boden)? = Nein UND 10.3a Teilumwehrung nach EN 81-20 5.2.5.2.3 zulässig ausgeführt (Höhen, Abstände)? = Ja)</t>
        </is>
      </c>
      <c r="G271" s="4" t="inlineStr">
        <is>
          <t>Kein Risiko</t>
        </is>
      </c>
      <c r="H271" s="4" t="inlineStr">
        <is>
          <t>HIGH_CONFIDENCE</t>
        </is>
      </c>
      <c r="I271" s="4" t="inlineStr"/>
      <c r="J271" s="4" t="inlineStr"/>
      <c r="K271" s="4" t="inlineStr"/>
      <c r="L271" s="4" t="inlineStr">
        <is>
          <t>Entscheidung 02.09.2026: zulässig ausgeführte Teilumwehrung = kein Risiko. Entschieden 2026-09-02: K-S05.</t>
        </is>
      </c>
      <c r="M271" s="3" t="n"/>
      <c r="N271" s="3" t="n"/>
    </row>
    <row r="272">
      <c r="A272" s="2" t="inlineStr">
        <is>
          <t>MF-S03</t>
        </is>
      </c>
      <c r="B272" s="2" t="inlineStr">
        <is>
          <t>Unzureichende Schachtumwehrung oder Schachtwände</t>
        </is>
      </c>
      <c r="C272" s="2" t="inlineStr">
        <is>
          <t>Schacht und Gegengewicht</t>
        </is>
      </c>
      <c r="D272" s="2" t="inlineStr">
        <is>
          <t>MF-S03-R4</t>
        </is>
      </c>
      <c r="E272" s="2" t="n">
        <v>100</v>
      </c>
      <c r="F272" s="2" t="inlineStr">
        <is>
          <t>10.5 Nachweis Verbundsicherheitsglas für die Schachtverglasung vorhanden? = Nein</t>
        </is>
      </c>
      <c r="G272" s="2" t="inlineStr">
        <is>
          <t>Mittel</t>
        </is>
      </c>
      <c r="H272" s="2" t="inlineStr">
        <is>
          <t>HIGH_CONFIDENCE</t>
        </is>
      </c>
      <c r="I272" s="2" t="inlineStr"/>
      <c r="J272" s="2" t="inlineStr">
        <is>
          <t>Nachweis beim Betreiber anfordern</t>
        </is>
      </c>
      <c r="K272" s="2" t="inlineStr">
        <is>
          <t>Nachweis des Verbundsicherheitsglases (Scheibenkennzeichnung, Hersteller- bzw. Übereinstimmungsbescheinigung) beibringen; andernfalls Verglasung durch Verbundsicherheitsglas nach DIN EN 81-20 5.2.5 ersetzen</t>
        </is>
      </c>
      <c r="L272" s="2" t="inlineStr">
        <is>
          <t>Regelprüfung 20.09.2026: Gefordert ist der Werkstoffnachweis der Scheibe, nicht ein statischer Nachweis – „Statischen Nachweis erbringen" führte zur falschen Abhilfe. Freigegeben 2026-09-20.</t>
        </is>
      </c>
      <c r="M272" s="3" t="n"/>
      <c r="N272" s="3" t="n"/>
    </row>
    <row r="273">
      <c r="A273" s="4" t="inlineStr">
        <is>
          <t>MF-S03</t>
        </is>
      </c>
      <c r="B273" s="4" t="inlineStr">
        <is>
          <t>Unzureichende Schachtumwehrung oder Schachtwände</t>
        </is>
      </c>
      <c r="C273" s="4" t="inlineStr">
        <is>
          <t>Schacht und Gegengewicht</t>
        </is>
      </c>
      <c r="D273" s="4" t="inlineStr">
        <is>
          <t>MF-S03-R5</t>
        </is>
      </c>
      <c r="E273" s="4" t="n">
        <v>1</v>
      </c>
      <c r="F273" s="4" t="inlineStr">
        <is>
          <t>10.3 Schacht vollständig umwehrt (Wände, Decke, Boden)? beantwortet</t>
        </is>
      </c>
      <c r="G273" s="4" t="inlineStr">
        <is>
          <t>Kein Risiko</t>
        </is>
      </c>
      <c r="H273" s="4" t="inlineStr">
        <is>
          <t>HIGH_CONFIDENCE</t>
        </is>
      </c>
      <c r="I273" s="4" t="inlineStr"/>
      <c r="J273" s="4" t="inlineStr">
        <is>
          <t>Zustand erhalten; bei der wiederkehrenden Prüfung und der Betreiberkontrolle erneut prüfen</t>
        </is>
      </c>
      <c r="K273" s="4" t="inlineStr"/>
      <c r="L273" s="4" t="inlineStr">
        <is>
          <t>Kein Risiko: keine Mangelregel trifft zu, alle Pflichtfragen beantwortet. Freigegeben 2026-09-20.</t>
        </is>
      </c>
      <c r="M273" s="3" t="n"/>
      <c r="N273" s="3" t="n"/>
    </row>
    <row r="274">
      <c r="A274" s="2" t="inlineStr">
        <is>
          <t>MF-S04</t>
        </is>
      </c>
      <c r="B274" s="2" t="inlineStr">
        <is>
          <t>Führungsschienen nicht aus Stahl</t>
        </is>
      </c>
      <c r="C274" s="2" t="inlineStr">
        <is>
          <t>Schacht und Gegengewicht</t>
        </is>
      </c>
      <c r="D274" s="2" t="inlineStr">
        <is>
          <t>MF-S04-R1</t>
        </is>
      </c>
      <c r="E274" s="2" t="n">
        <v>100</v>
      </c>
      <c r="F274" s="2" t="inlineStr">
        <is>
          <t>10.6 Führungsschienen für Fahrkorb und Gegengewicht aus Stahl? = Nein</t>
        </is>
      </c>
      <c r="G274" s="2" t="inlineStr">
        <is>
          <t>Mittel</t>
        </is>
      </c>
      <c r="H274" s="2" t="inlineStr">
        <is>
          <t>INFERRED</t>
        </is>
      </c>
      <c r="I274" s="2" t="inlineStr"/>
      <c r="J274" s="2" t="inlineStr">
        <is>
          <t>Führungsschienen, Verbindungen und Halterungen im Rahmen dieser Prüfung sichtprüfen; bei Verformung, Korrosion, Verschleiß oder erkennbar unzureichender Bremsfläche Anlage stilllegen; Betreiber unterrichten</t>
        </is>
      </c>
      <c r="K274" s="2" t="inlineStr">
        <is>
          <t>Zustand der Führungsschienen in die wiederkehrende Wartung aufnehmen; bei Modernisierung Führungsschienen aus Stahl nach EN 81-20 5.7 vorsehen</t>
        </is>
      </c>
      <c r="L274" s="2" t="inlineStr">
        <is>
          <t>Regelprüfung 20.09.2026: „Zustand bei jeder Wartung prüfen" ist eine Dauerauflage und wirkt im Prüfzeitpunkt nicht; sie steht jetzt in der mittelfristigen Maßnahme. Freigegeben 2026-09-20.</t>
        </is>
      </c>
      <c r="M274" s="3" t="n"/>
      <c r="N274" s="3" t="n"/>
    </row>
    <row r="275">
      <c r="A275" s="4" t="inlineStr">
        <is>
          <t>MF-S04</t>
        </is>
      </c>
      <c r="B275" s="4" t="inlineStr">
        <is>
          <t>Führungsschienen nicht aus Stahl</t>
        </is>
      </c>
      <c r="C275" s="4" t="inlineStr">
        <is>
          <t>Schacht und Gegengewicht</t>
        </is>
      </c>
      <c r="D275" s="4" t="inlineStr">
        <is>
          <t>MF-S04-R2</t>
        </is>
      </c>
      <c r="E275" s="4" t="n">
        <v>1</v>
      </c>
      <c r="F275" s="4" t="inlineStr">
        <is>
          <t>10.6 Führungsschienen für Fahrkorb und Gegengewicht aus Stahl? beantwortet</t>
        </is>
      </c>
      <c r="G275" s="4" t="inlineStr">
        <is>
          <t>Kein Risiko</t>
        </is>
      </c>
      <c r="H275" s="4" t="inlineStr">
        <is>
          <t>HIGH_CONFIDENCE</t>
        </is>
      </c>
      <c r="I275" s="4" t="inlineStr"/>
      <c r="J275" s="4" t="inlineStr">
        <is>
          <t>Zustand erhalten; bei der wiederkehrenden Prüfung und der Betreiberkontrolle erneut prüfen</t>
        </is>
      </c>
      <c r="K275" s="4" t="inlineStr"/>
      <c r="L275" s="4" t="inlineStr">
        <is>
          <t>Kein Risiko: keine Mangelregel trifft zu, alle Pflichtfragen beantwortet. Freigegeben 2026-09-20.</t>
        </is>
      </c>
      <c r="M275" s="3" t="n"/>
      <c r="N275" s="3" t="n"/>
    </row>
    <row r="276">
      <c r="A276" s="2" t="inlineStr">
        <is>
          <t>MF-S05</t>
        </is>
      </c>
      <c r="B276" s="2" t="inlineStr">
        <is>
          <t>Fehlende oder ungeprüfte Fangvorrichtung, Geschwindigkeitsbegrenzer oder Schlaffseilsicherung</t>
        </is>
      </c>
      <c r="C276" s="2" t="inlineStr">
        <is>
          <t>Sicherheitskomponenten</t>
        </is>
      </c>
      <c r="D276" s="2" t="inlineStr">
        <is>
          <t>MF-S05-R1</t>
        </is>
      </c>
      <c r="E276" s="2" t="n">
        <v>100</v>
      </c>
      <c r="F276" s="2" t="inlineStr">
        <is>
          <t>10.7 Fangvorrichtung am Fahrkorb vorhanden? = Nein</t>
        </is>
      </c>
      <c r="G276" s="2" t="inlineStr">
        <is>
          <t>Hoch</t>
        </is>
      </c>
      <c r="H276" s="2" t="inlineStr">
        <is>
          <t>HIGH_CONFIDENCE</t>
        </is>
      </c>
      <c r="I276" s="2" t="inlineStr"/>
      <c r="J276" s="2" t="inlineStr">
        <is>
          <t>Aufzug stilllegen</t>
        </is>
      </c>
      <c r="K276" s="2" t="inlineStr">
        <is>
          <t>Fangvorrichtung nach DIN EN 81-20, 5.6.2 nachrüsten</t>
        </is>
      </c>
      <c r="L276" s="2" t="inlineStr">
        <is>
          <t>Freigegeben 2026-09-20.</t>
        </is>
      </c>
      <c r="M276" s="3" t="n"/>
      <c r="N276" s="3" t="n"/>
    </row>
    <row r="277">
      <c r="A277" s="4" t="inlineStr">
        <is>
          <t>MF-S05</t>
        </is>
      </c>
      <c r="B277" s="4" t="inlineStr">
        <is>
          <t>Fehlende oder ungeprüfte Fangvorrichtung, Geschwindigkeitsbegrenzer oder Schlaffseilsicherung</t>
        </is>
      </c>
      <c r="C277" s="4" t="inlineStr">
        <is>
          <t>Sicherheitskomponenten</t>
        </is>
      </c>
      <c r="D277" s="4" t="inlineStr">
        <is>
          <t>MF-S05-R9</t>
        </is>
      </c>
      <c r="E277" s="4" t="n">
        <v>100</v>
      </c>
      <c r="F277" s="4" t="inlineStr">
        <is>
          <t>10.8 Geschwindigkeitsbegrenzer vorhanden? = Nein</t>
        </is>
      </c>
      <c r="G277" s="4" t="inlineStr">
        <is>
          <t>Hoch</t>
        </is>
      </c>
      <c r="H277" s="4" t="inlineStr">
        <is>
          <t>HIGH_CONFIDENCE</t>
        </is>
      </c>
      <c r="I277" s="4" t="inlineStr"/>
      <c r="J277" s="4" t="inlineStr">
        <is>
          <t>Aufzug stilllegen</t>
        </is>
      </c>
      <c r="K277" s="4" t="inlineStr">
        <is>
          <t>Geschwindigkeitsbegrenzer nachrüsten, der die Fangvorrichtung auslöst (DIN EN 81-20 5.6.2.2.1)</t>
        </is>
      </c>
      <c r="L277" s="4" t="inlineStr">
        <is>
          <t>Regelprüfung 20.09.2026: (vormals MF-S05-R2; die eingeschränkte Anwendbarkeit ist ein neuer Sachverhalt und bekommt nach der ID-Regel eine neue Regel-ID.) Frage 10.8 ist für alle drei Seil-Bauarten sichtbar, die Regel vergab aber ausnahmslos Hoch mit Stilllegung – beim indirekt angetriebenen Hydraulikaufzug auch dann, wenn die Anlage nach DIN EN 81-20 Tabelle 12 normgerecht mit Leitungsbruchventil oder Drossel plus Ersatzauslösung ausgeführt ist. Die Anwendbarkeit folgt jetzt Tabelle 11 (Treibscheibe und Trommel/Kette – dort ist der Begrenzer für den Fahrkorb zwingend); der Hydraulikfall steht in der folgenden Regel. Stufe, Bedingung und Maßnahmen bleiben. [Prüfbericht: B11 – Maßnahme zielte auf die Fangvorrichtung statt den Begrenzer] Freigegeben 2026-09-20.</t>
        </is>
      </c>
      <c r="M277" s="3" t="n"/>
      <c r="N277" s="3" t="n"/>
    </row>
    <row r="278">
      <c r="A278" s="2" t="inlineStr">
        <is>
          <t>MF-S05</t>
        </is>
      </c>
      <c r="B278" s="2" t="inlineStr">
        <is>
          <t>Fehlende oder ungeprüfte Fangvorrichtung, Geschwindigkeitsbegrenzer oder Schlaffseilsicherung</t>
        </is>
      </c>
      <c r="C278" s="2" t="inlineStr">
        <is>
          <t>Sicherheitskomponenten</t>
        </is>
      </c>
      <c r="D278" s="2" t="inlineStr">
        <is>
          <t>MF-S05-R10</t>
        </is>
      </c>
      <c r="E278" s="2" t="n">
        <v>100</v>
      </c>
      <c r="F278" s="2" t="inlineStr">
        <is>
          <t>(10.8 Geschwindigkeitsbegrenzer vorhanden? = Nein UND 10.8a Fangvorrichtung durch Bruch der Tragmittel oder durch ein Sicherheitsseil ausgelöst, in Verbindung mit Leitungsbruchventil oder Drossel? = Nein)</t>
        </is>
      </c>
      <c r="G278" s="2" t="inlineStr">
        <is>
          <t>Hoch</t>
        </is>
      </c>
      <c r="H278" s="2" t="inlineStr">
        <is>
          <t>HIGH_CONFIDENCE</t>
        </is>
      </c>
      <c r="I278" s="2" t="inlineStr"/>
      <c r="J278" s="2" t="inlineStr">
        <is>
          <t>Aufzug stilllegen</t>
        </is>
      </c>
      <c r="K278" s="2" t="inlineStr">
        <is>
          <t>Zulässige Kombination nach DIN EN 81-20 Tabelle 12 herstellen – Geschwindigkeitsbegrenzer nachrüsten, der die Fangvorrichtung auslöst, oder Leitungsbruchventil bzw. Drossel zusammen mit einer durch Bruch der Tragmittel oder Sicherheitsseil ausgelösten Fangvorrichtung</t>
        </is>
      </c>
      <c r="L278" s="2" t="inlineStr">
        <is>
          <t>Regelprüfung 20.09.2026: Neue Regel für den indirekt angetriebenen Hydraulikaufzug. Der fehlende Geschwindigkeitsbegrenzer ist dort erst dann ein Mangel, wenn auch die nach DIN EN 81-20 Tabelle 12 zulässige Ersatzkombination fehlt (10.8a = Nein). Ist sie vorhanden, entsteht kein Befund – die Anlage ist normgerecht. Fail-closed: bleibt 10.8a unbeantwortet, ist die Gefährdung unvollständig. Freigegeben 2026-09-20.</t>
        </is>
      </c>
      <c r="M278" s="3" t="n"/>
      <c r="N278" s="3" t="n"/>
    </row>
    <row r="279">
      <c r="A279" s="4" t="inlineStr">
        <is>
          <t>MF-S05</t>
        </is>
      </c>
      <c r="B279" s="4" t="inlineStr">
        <is>
          <t>Fehlende oder ungeprüfte Fangvorrichtung, Geschwindigkeitsbegrenzer oder Schlaffseilsicherung</t>
        </is>
      </c>
      <c r="C279" s="4" t="inlineStr">
        <is>
          <t>Sicherheitskomponenten</t>
        </is>
      </c>
      <c r="D279" s="4" t="inlineStr">
        <is>
          <t>MF-S05-R3</t>
        </is>
      </c>
      <c r="E279" s="4" t="n">
        <v>100</v>
      </c>
      <c r="F279" s="4" t="inlineStr">
        <is>
          <t>10.11 Schlaffseil-/Schlaffkettensicherung vorhanden? = Nein</t>
        </is>
      </c>
      <c r="G279" s="4" t="inlineStr">
        <is>
          <t>Hoch</t>
        </is>
      </c>
      <c r="H279" s="4" t="inlineStr">
        <is>
          <t>HIGH_CONFIDENCE</t>
        </is>
      </c>
      <c r="I279" s="4" t="inlineStr"/>
      <c r="J279" s="4" t="inlineStr">
        <is>
          <t>Aufzug stilllegen</t>
        </is>
      </c>
      <c r="K279" s="4" t="inlineStr">
        <is>
          <t>Schlaffseileinrichtung nachrüsten</t>
        </is>
      </c>
      <c r="L279" s="4" t="inlineStr">
        <is>
          <t>Regelprüfung 20.09.2026: Gilt jetzt auch für den Seil-Hydraulikaufzug (indirekt) – die Sichtbarkeit von 10.11 ist auf diese Bauart erweitert. DIN EN 81-20 5.5.5.3 b) verlangt die Schlaffseil-/Schlaffkettenüberwachung bei Ketten- und Trommelaufzügen sowie bei Hydraulikaufzügen, sobald eine Gefährdung durch Schlaffseil oder Schlaffkette besteht. Sie ist eine eigenständige elektrische Sicherheitseinrichtung und ausdrücklich KEIN Auslösemittel der Fangvorrichtung – ein früherer Entwurf dieser Regelprüfung hatte das verwechselt. Freigegeben 2026-09-20.</t>
        </is>
      </c>
      <c r="M279" s="3" t="n"/>
      <c r="N279" s="3" t="n"/>
    </row>
    <row r="280">
      <c r="A280" s="2" t="inlineStr">
        <is>
          <t>MF-S05</t>
        </is>
      </c>
      <c r="B280" s="2" t="inlineStr">
        <is>
          <t>Fehlende oder ungeprüfte Fangvorrichtung, Geschwindigkeitsbegrenzer oder Schlaffseilsicherung</t>
        </is>
      </c>
      <c r="C280" s="2" t="inlineStr">
        <is>
          <t>Sicherheitskomponenten</t>
        </is>
      </c>
      <c r="D280" s="2" t="inlineStr">
        <is>
          <t>MF-S05-R4</t>
        </is>
      </c>
      <c r="E280" s="2" t="n">
        <v>100</v>
      </c>
      <c r="F280" s="2" t="inlineStr">
        <is>
          <t>10.9 Prüfung von Fangvorrichtung und Begrenzer dokumentiert? = Nein</t>
        </is>
      </c>
      <c r="G280" s="2" t="inlineStr">
        <is>
          <t>Mittel</t>
        </is>
      </c>
      <c r="H280" s="2" t="inlineStr">
        <is>
          <t>HIGH_CONFIDENCE</t>
        </is>
      </c>
      <c r="I280" s="2" t="inlineStr"/>
      <c r="J280" s="2" t="inlineStr">
        <is>
          <t>Prüfnachweis anfordern</t>
        </is>
      </c>
      <c r="K280" s="2" t="inlineStr">
        <is>
          <t>Prüfung durchführen lassen und dokumentieren</t>
        </is>
      </c>
      <c r="L280" s="2" t="inlineStr">
        <is>
          <t>Freigegeben 2026-09-20.</t>
        </is>
      </c>
      <c r="M280" s="3" t="n"/>
      <c r="N280" s="3" t="n"/>
    </row>
    <row r="281">
      <c r="A281" s="4" t="inlineStr">
        <is>
          <t>MF-S05</t>
        </is>
      </c>
      <c r="B281" s="4" t="inlineStr">
        <is>
          <t>Fehlende oder ungeprüfte Fangvorrichtung, Geschwindigkeitsbegrenzer oder Schlaffseilsicherung</t>
        </is>
      </c>
      <c r="C281" s="4" t="inlineStr">
        <is>
          <t>Sicherheitskomponenten</t>
        </is>
      </c>
      <c r="D281" s="4" t="inlineStr">
        <is>
          <t>MF-S05-R5</t>
        </is>
      </c>
      <c r="E281" s="4" t="n">
        <v>100</v>
      </c>
      <c r="F281" s="4" t="inlineStr">
        <is>
          <t>10.10 Spanngewicht des Begrenzerseils mit Schlaffseilschalter? = Nein</t>
        </is>
      </c>
      <c r="G281" s="4" t="inlineStr">
        <is>
          <t>Mittel</t>
        </is>
      </c>
      <c r="H281" s="4" t="inlineStr">
        <is>
          <t>HIGH_CONFIDENCE</t>
        </is>
      </c>
      <c r="I281" s="4" t="inlineStr"/>
      <c r="J281" s="4" t="inlineStr">
        <is>
          <t>Begrenzerseil und Spanngewicht im Rahmen dieser Prüfung sichtprüfen; bei schlaffem, beschädigtem oder abgelaufenem Seil Anlage stilllegen; Betreiber unterrichten und Nachrüstung veranlassen</t>
        </is>
      </c>
      <c r="K281" s="4" t="inlineStr">
        <is>
          <t>Schlaffseilschalter nachrüsten</t>
        </is>
      </c>
      <c r="L281" s="4" t="inlineStr">
        <is>
          <t>Regelprüfung 20.09.2026: „Spanngewicht bei Wartung sichtprüfen" ist eine Dauerauflage, keine Sofortmaßnahme. Freigegeben 2026-09-20.</t>
        </is>
      </c>
      <c r="M281" s="3" t="n"/>
      <c r="N281" s="3" t="n"/>
    </row>
    <row r="282">
      <c r="A282" s="2" t="inlineStr">
        <is>
          <t>MF-S05</t>
        </is>
      </c>
      <c r="B282" s="2" t="inlineStr">
        <is>
          <t>Fehlende oder ungeprüfte Fangvorrichtung, Geschwindigkeitsbegrenzer oder Schlaffseilsicherung</t>
        </is>
      </c>
      <c r="C282" s="2" t="inlineStr">
        <is>
          <t>Sicherheitskomponenten</t>
        </is>
      </c>
      <c r="D282" s="2" t="inlineStr">
        <is>
          <t>MF-S05-R6</t>
        </is>
      </c>
      <c r="E282" s="2" t="n">
        <v>1</v>
      </c>
      <c r="F282" s="2" t="inlineStr">
        <is>
          <t>10.7 Fangvorrichtung am Fahrkorb vorhanden? beantwortet</t>
        </is>
      </c>
      <c r="G282" s="2" t="inlineStr">
        <is>
          <t>Kein Risiko</t>
        </is>
      </c>
      <c r="H282" s="2" t="inlineStr">
        <is>
          <t>HIGH_CONFIDENCE</t>
        </is>
      </c>
      <c r="I282" s="2" t="inlineStr"/>
      <c r="J282" s="2" t="inlineStr">
        <is>
          <t>Zustand erhalten; bei der wiederkehrenden Prüfung und der Betreiberkontrolle erneut prüfen</t>
        </is>
      </c>
      <c r="K282" s="2" t="inlineStr"/>
      <c r="L282" s="2" t="inlineStr">
        <is>
          <t>Kein Risiko: keine Mangelregel trifft zu, alle Pflichtfragen beantwortet. Freigegeben 2026-09-20.</t>
        </is>
      </c>
      <c r="M282" s="3" t="n"/>
      <c r="N282" s="3" t="n"/>
    </row>
    <row r="283">
      <c r="A283" s="4" t="inlineStr">
        <is>
          <t>MF-S06</t>
        </is>
      </c>
      <c r="B283" s="4" t="inlineStr">
        <is>
          <t>Aufzugsfremde Einrichtungen im Schacht</t>
        </is>
      </c>
      <c r="C283" s="4" t="inlineStr">
        <is>
          <t>Schacht und Gegengewicht</t>
        </is>
      </c>
      <c r="D283" s="4" t="inlineStr">
        <is>
          <t>MF-S06-R1</t>
        </is>
      </c>
      <c r="E283" s="4" t="n">
        <v>300</v>
      </c>
      <c r="F283" s="4" t="inlineStr">
        <is>
          <t>10.12b Behindern aufzugsfremde Einrichtungen Arbeiten oder Rettungswege im Schacht? = Ja</t>
        </is>
      </c>
      <c r="G283" s="4" t="inlineStr">
        <is>
          <t>Hoch</t>
        </is>
      </c>
      <c r="H283" s="4" t="inlineStr">
        <is>
          <t>HIGH_CONFIDENCE</t>
        </is>
      </c>
      <c r="I283" s="4" t="inlineStr"/>
      <c r="J283" s="4" t="inlineStr">
        <is>
          <t>Bereich absperren, Arbeiten nur nach gesonderter Festlegung</t>
        </is>
      </c>
      <c r="K283" s="4" t="inlineStr">
        <is>
          <t>Aufzugsfremde Einrichtungen nach DIN EN 81-20, 5.2.1.2 entfernen</t>
        </is>
      </c>
      <c r="L283" s="4" t="inlineStr">
        <is>
          <t>Freigegeben 2026-09-20.</t>
        </is>
      </c>
      <c r="M283" s="3" t="n"/>
      <c r="N283" s="3" t="n"/>
    </row>
    <row r="284">
      <c r="A284" s="2" t="inlineStr">
        <is>
          <t>MF-S06</t>
        </is>
      </c>
      <c r="B284" s="2" t="inlineStr">
        <is>
          <t>Aufzugsfremde Einrichtungen im Schacht</t>
        </is>
      </c>
      <c r="C284" s="2" t="inlineStr">
        <is>
          <t>Schacht und Gegengewicht</t>
        </is>
      </c>
      <c r="D284" s="2" t="inlineStr">
        <is>
          <t>MF-S06-R2</t>
        </is>
      </c>
      <c r="E284" s="2" t="n">
        <v>200</v>
      </c>
      <c r="F284" s="2" t="inlineStr">
        <is>
          <t>(10.12 Schacht frei von aufzugsfremden Einrichtungen? = Nein UND 10.12a Aufzugsfremde Leitungen fachgerecht verlegt und gekennzeichnet? = Nein)</t>
        </is>
      </c>
      <c r="G284" s="2" t="inlineStr">
        <is>
          <t>Hoch</t>
        </is>
      </c>
      <c r="H284" s="2" t="inlineStr">
        <is>
          <t>INFERRED</t>
        </is>
      </c>
      <c r="I284" s="2" t="inlineStr"/>
      <c r="J284" s="2" t="inlineStr">
        <is>
          <t>Bereich absperren, Arbeiten nur nach gesonderter Festlegung</t>
        </is>
      </c>
      <c r="K284" s="2" t="inlineStr">
        <is>
          <t>Aufzugsfremde Einrichtungen nach DIN EN 81-20, 5.2.1.2 entfernen</t>
        </is>
      </c>
      <c r="L284" s="2" t="inlineStr">
        <is>
          <t>Freigegeben 2026-09-20.</t>
        </is>
      </c>
      <c r="M284" s="3" t="n"/>
      <c r="N284" s="3" t="n"/>
    </row>
    <row r="285">
      <c r="A285" s="4" t="inlineStr">
        <is>
          <t>MF-S06</t>
        </is>
      </c>
      <c r="B285" s="4" t="inlineStr">
        <is>
          <t>Aufzugsfremde Einrichtungen im Schacht</t>
        </is>
      </c>
      <c r="C285" s="4" t="inlineStr">
        <is>
          <t>Schacht und Gegengewicht</t>
        </is>
      </c>
      <c r="D285" s="4" t="inlineStr">
        <is>
          <t>MF-S06-R3</t>
        </is>
      </c>
      <c r="E285" s="4" t="n">
        <v>100</v>
      </c>
      <c r="F285" s="4" t="inlineStr">
        <is>
          <t>10.12 Schacht frei von aufzugsfremden Einrichtungen? = Nein</t>
        </is>
      </c>
      <c r="G285" s="4" t="inlineStr">
        <is>
          <t>Mittel</t>
        </is>
      </c>
      <c r="H285" s="4" t="inlineStr">
        <is>
          <t>HIGH_CONFIDENCE</t>
        </is>
      </c>
      <c r="I285" s="4" t="inlineStr"/>
      <c r="J285" s="4" t="inlineStr">
        <is>
          <t>Leitungen bei Arbeiten beachten</t>
        </is>
      </c>
      <c r="K285" s="4" t="inlineStr">
        <is>
          <t>Rückbau bei der nächsten Modernisierung vorsehen</t>
        </is>
      </c>
      <c r="L285" s="4" t="inlineStr">
        <is>
          <t>Entschieden 2026-09-02: K-S03.</t>
        </is>
      </c>
      <c r="M285" s="3" t="n"/>
      <c r="N285" s="3" t="n"/>
    </row>
    <row r="286">
      <c r="A286" s="2" t="inlineStr">
        <is>
          <t>MF-S06</t>
        </is>
      </c>
      <c r="B286" s="2" t="inlineStr">
        <is>
          <t>Aufzugsfremde Einrichtungen im Schacht</t>
        </is>
      </c>
      <c r="C286" s="2" t="inlineStr">
        <is>
          <t>Schacht und Gegengewicht</t>
        </is>
      </c>
      <c r="D286" s="2" t="inlineStr">
        <is>
          <t>MF-S06-R4</t>
        </is>
      </c>
      <c r="E286" s="2" t="n">
        <v>1</v>
      </c>
      <c r="F286" s="2" t="inlineStr">
        <is>
          <t>10.12 Schacht frei von aufzugsfremden Einrichtungen? beantwortet</t>
        </is>
      </c>
      <c r="G286" s="2" t="inlineStr">
        <is>
          <t>Kein Risiko</t>
        </is>
      </c>
      <c r="H286" s="2" t="inlineStr">
        <is>
          <t>HIGH_CONFIDENCE</t>
        </is>
      </c>
      <c r="I286" s="2" t="inlineStr"/>
      <c r="J286" s="2" t="inlineStr">
        <is>
          <t>Zustand erhalten; bei der wiederkehrenden Prüfung und der Betreiberkontrolle erneut prüfen</t>
        </is>
      </c>
      <c r="K286" s="2" t="inlineStr"/>
      <c r="L286" s="2" t="inlineStr">
        <is>
          <t>Kein Risiko: keine Mangelregel trifft zu, alle Pflichtfragen beantwortet. Freigegeben 2026-09-20.</t>
        </is>
      </c>
      <c r="M286" s="3" t="n"/>
      <c r="N286" s="3" t="n"/>
    </row>
    <row r="287">
      <c r="A287" s="4" t="inlineStr">
        <is>
          <t>MF-S07</t>
        </is>
      </c>
      <c r="B287" s="4" t="inlineStr">
        <is>
          <t>Zugänge zum Schacht und zugehörige Schalteinrichtungen nicht frei und sicher begehbar</t>
        </is>
      </c>
      <c r="C287" s="4" t="inlineStr">
        <is>
          <t>Zugang und Verkehrswege</t>
        </is>
      </c>
      <c r="D287" s="4" t="inlineStr">
        <is>
          <t>MF-S07-R3</t>
        </is>
      </c>
      <c r="E287" s="4" t="n">
        <v>200</v>
      </c>
      <c r="F287" s="4" t="inlineStr">
        <is>
          <t>10.13a Elektrische Sicherheitseinrichtungen der Schacht- und Inspektionstüren vorhanden und wirksam (Türkontakt im Sicherheitskreis)? = Nein</t>
        </is>
      </c>
      <c r="G287" s="4" t="inlineStr">
        <is>
          <t>Hoch</t>
        </is>
      </c>
      <c r="H287" s="4" t="inlineStr">
        <is>
          <t>HIGH_CONFIDENCE</t>
        </is>
      </c>
      <c r="I287" s="4" t="inlineStr"/>
      <c r="J287" s="4" t="inlineStr">
        <is>
          <t>Anlage stilllegen, bis die Sicherheitseinrichtung der Schacht-/Inspektionstür wieder wirkt</t>
        </is>
      </c>
      <c r="K287" s="4" t="inlineStr">
        <is>
          <t>Türkontakt/Verriegelung im Sicherheitskreis instand setzen bzw. nachrüsten und Wirksamkeit prüfen (DIN EN 81-20 5.3.9.1)</t>
        </is>
      </c>
      <c r="L287" s="4" t="inlineStr">
        <is>
          <t>Prüfbericht 20.09.2026: aus 10.13 herausgelöst – unwirksamer Türkontakt ist ein technischer Mangel am Sicherheitskreis, nicht ein zugestellter Verkehrsweg. Regelprüfung 20.09.2026: Maßnahme als technische Maßnahme geführt (vorher organisatorisch, was die TOP-Bewertung der Regel verfälschte). Eine festgestellte Überbrückung ist vor Wiederinbetriebnahme zu entfernen und die Wirksamkeit durch Funktionsprüfung zu belegen. Freigegeben 2026-09-20.</t>
        </is>
      </c>
      <c r="M287" s="3" t="n"/>
      <c r="N287" s="3" t="n"/>
    </row>
    <row r="288">
      <c r="A288" s="2" t="inlineStr">
        <is>
          <t>MF-S07</t>
        </is>
      </c>
      <c r="B288" s="2" t="inlineStr">
        <is>
          <t>Zugänge zum Schacht und zugehörige Schalteinrichtungen nicht frei und sicher begehbar</t>
        </is>
      </c>
      <c r="C288" s="2" t="inlineStr">
        <is>
          <t>Zugang und Verkehrswege</t>
        </is>
      </c>
      <c r="D288" s="2" t="inlineStr">
        <is>
          <t>MF-S07-R1</t>
        </is>
      </c>
      <c r="E288" s="2" t="n">
        <v>100</v>
      </c>
      <c r="F288" s="2" t="inlineStr">
        <is>
          <t>10.13 Zugänge zum Schacht (Schachttüren, Inspektionstüren) frei und sicher erreichbar (nicht zugestellt, nicht verbaut)? = Nein</t>
        </is>
      </c>
      <c r="G288" s="2" t="inlineStr">
        <is>
          <t>Mittel</t>
        </is>
      </c>
      <c r="H288" s="2" t="inlineStr">
        <is>
          <t>INFERRED</t>
        </is>
      </c>
      <c r="I288" s="2" t="inlineStr"/>
      <c r="J288" s="2" t="inlineStr">
        <is>
          <t>Zugänge freiräumen, Hindernisse entfernen, Betreiber informieren</t>
        </is>
      </c>
      <c r="K288" s="2" t="inlineStr">
        <is>
          <t>Bauliche Verbauungen und ortsfeste Einbauten vor Schacht- und Inspektionstüren sowie vor den zugehörigen Schalteinrichtungen zurückbauen, Freihaltefläche dauerhaft kennzeichnen bzw. abgrenzen (ASR A1.7, ASR A1.3); Freihaltung zusätzlich in der Betriebsanweisung festlegen und bei Betreiberkontrollen prüfen</t>
        </is>
      </c>
      <c r="L288" s="2" t="inlineStr">
        <is>
          <t>Blaupause Schindler M107 (f021 = Nein -&gt; Hoch, DIRECT). Prüfbericht 20.09.2026: Hoch auf Mittel – ein zugestellter Zugang wird vor der Arbeit beseitigt; Hoch bleibt dem unwirksamen Sicherheitsschalter (10.13a) vorbehalten. Regelprüfung 20.09.2026: Frage 10.13 erfasst zwei Sachverhalte – „zugestellt" (Ordnungsmangel) und „verbaut" (bauliche Veränderung). Für den verbauten Zugang ist eine technische Maßnahme möglich und nach TOP vorrangig; die Mittelfristmaßnahme war rein organisatorisch und ließ die Ursache bestehen. Sie nennt jetzt beide Arten getrennt und ist als [TECH] geführt. Freigegeben 2026-09-20.</t>
        </is>
      </c>
      <c r="M288" s="3" t="n"/>
      <c r="N288" s="3" t="n"/>
    </row>
    <row r="289">
      <c r="A289" s="4" t="inlineStr">
        <is>
          <t>MF-S07</t>
        </is>
      </c>
      <c r="B289" s="4" t="inlineStr">
        <is>
          <t>Zugänge zum Schacht und zugehörige Schalteinrichtungen nicht frei und sicher begehbar</t>
        </is>
      </c>
      <c r="C289" s="4" t="inlineStr">
        <is>
          <t>Zugang und Verkehrswege</t>
        </is>
      </c>
      <c r="D289" s="4" t="inlineStr">
        <is>
          <t>MF-S07-R2</t>
        </is>
      </c>
      <c r="E289" s="4" t="n">
        <v>1</v>
      </c>
      <c r="F289" s="4" t="inlineStr">
        <is>
          <t>10.13 Zugänge zum Schacht (Schachttüren, Inspektionstüren) frei und sicher erreichbar (nicht zugestellt, nicht verbaut)? beantwortet</t>
        </is>
      </c>
      <c r="G289" s="4" t="inlineStr">
        <is>
          <t>Kein Risiko</t>
        </is>
      </c>
      <c r="H289" s="4" t="inlineStr">
        <is>
          <t>HIGH_CONFIDENCE</t>
        </is>
      </c>
      <c r="I289" s="4" t="inlineStr"/>
      <c r="J289" s="4" t="inlineStr">
        <is>
          <t>Zustand erhalten; bei der wiederkehrenden Prüfung und der Betreiberkontrolle erneut prüfen</t>
        </is>
      </c>
      <c r="K289" s="4" t="inlineStr"/>
      <c r="L289" s="4" t="inlineStr">
        <is>
          <t>Kein Risiko: keine Mangelregel trifft zu, alle Pflichtfragen beantwortet. Freigegeben 2026-09-20.</t>
        </is>
      </c>
      <c r="M289" s="3" t="n"/>
      <c r="N289" s="3" t="n"/>
    </row>
    <row r="290">
      <c r="A290" s="2" t="inlineStr">
        <is>
          <t>MF-G01</t>
        </is>
      </c>
      <c r="B290" s="2" t="inlineStr">
        <is>
          <t>Unzureichende Beleuchtung in der Schachtgrube</t>
        </is>
      </c>
      <c r="C290" s="2" t="inlineStr">
        <is>
          <t>Beleuchtung</t>
        </is>
      </c>
      <c r="D290" s="2" t="inlineStr">
        <is>
          <t>MF-G01-R1</t>
        </is>
      </c>
      <c r="E290" s="2" t="n">
        <v>100</v>
      </c>
      <c r="F290" s="2" t="inlineStr">
        <is>
          <t>11.2 Beleuchtung in der Schachtgrube vorhanden? = Nein</t>
        </is>
      </c>
      <c r="G290" s="2" t="inlineStr">
        <is>
          <t>Mittel</t>
        </is>
      </c>
      <c r="H290" s="2" t="inlineStr">
        <is>
          <t>HIGH_CONFIDENCE</t>
        </is>
      </c>
      <c r="I290" s="2" t="inlineStr"/>
      <c r="J290" s="2" t="inlineStr">
        <is>
          <t>Grube nur mit ausreichender, mitgeführter Handleuchte betreten; Not-Halt vor dem Abstieg betätigen; Betreiber unterrichten</t>
        </is>
      </c>
      <c r="K290" s="2" t="inlineStr">
        <is>
          <t>Geeignete Leuchten nachrüsten</t>
        </is>
      </c>
      <c r="L290" s="2" t="inlineStr">
        <is>
          <t>Regelprüfung 20.09.2026: Hoch auf Mittel. Die Gefahr entsteht erst beim Abstieg und wird von der eigenen Sofortmaßnahme (Handleuchte) vollständig beherrscht – alle übrigen Hoch-Regeln der Schachtgrube verlangen Stilllegen oder Nichtbetreten. Freigegeben 2026-09-20.</t>
        </is>
      </c>
      <c r="M290" s="3" t="n"/>
      <c r="N290" s="3" t="n"/>
    </row>
    <row r="291">
      <c r="A291" s="4" t="inlineStr">
        <is>
          <t>MF-G01</t>
        </is>
      </c>
      <c r="B291" s="4" t="inlineStr">
        <is>
          <t>Unzureichende Beleuchtung in der Schachtgrube</t>
        </is>
      </c>
      <c r="C291" s="4" t="inlineStr">
        <is>
          <t>Beleuchtung</t>
        </is>
      </c>
      <c r="D291" s="4" t="inlineStr">
        <is>
          <t>MF-G01-R2</t>
        </is>
      </c>
      <c r="E291" s="4" t="n">
        <v>100</v>
      </c>
      <c r="F291" s="4" t="inlineStr">
        <is>
          <t>11.2a Grubenbeleuchtung ausreichend (mind. 50 Lux), Leuchten geeignet angeordnet? = Nein</t>
        </is>
      </c>
      <c r="G291" s="4" t="inlineStr">
        <is>
          <t>Niedrig</t>
        </is>
      </c>
      <c r="H291" s="4" t="inlineStr">
        <is>
          <t>HIGH_CONFIDENCE</t>
        </is>
      </c>
      <c r="I291" s="4" t="inlineStr"/>
      <c r="J291" s="4" t="inlineStr">
        <is>
          <t>Handlampe benutzen</t>
        </is>
      </c>
      <c r="K291" s="4" t="inlineStr">
        <is>
          <t>Beleuchtung ergänzen, ersetzen oder neu anordnen, bis mindestens 50 lx 1 m über der Grubensohle erreicht werden; Leuchten gegen Beschädigung schützen</t>
        </is>
      </c>
      <c r="L291" s="4" t="inlineStr">
        <is>
          <t>Regelprüfung 20.09.2026: Mittel auf Niedrig – Beleuchtung ist vorhanden, nur unzureichend; mit Mittel lag die Regel gleichauf mit dem völligen Fehlen. Die Maßnahme „Leuchten versetzen" traf nur einen der beiden von 11.2a erfassten Fälle. Freigegeben 2026-09-20.</t>
        </is>
      </c>
      <c r="M291" s="3" t="n"/>
      <c r="N291" s="3" t="n"/>
    </row>
    <row r="292">
      <c r="A292" s="2" t="inlineStr">
        <is>
          <t>MF-G01</t>
        </is>
      </c>
      <c r="B292" s="2" t="inlineStr">
        <is>
          <t>Unzureichende Beleuchtung in der Schachtgrube</t>
        </is>
      </c>
      <c r="C292" s="2" t="inlineStr">
        <is>
          <t>Beleuchtung</t>
        </is>
      </c>
      <c r="D292" s="2" t="inlineStr">
        <is>
          <t>MF-G01-R3</t>
        </is>
      </c>
      <c r="E292" s="2" t="n">
        <v>1</v>
      </c>
      <c r="F292" s="2" t="inlineStr">
        <is>
          <t>11.2 Beleuchtung in der Schachtgrube vorhanden? beantwortet</t>
        </is>
      </c>
      <c r="G292" s="2" t="inlineStr">
        <is>
          <t>Kein Risiko</t>
        </is>
      </c>
      <c r="H292" s="2" t="inlineStr">
        <is>
          <t>HIGH_CONFIDENCE</t>
        </is>
      </c>
      <c r="I292" s="2" t="inlineStr"/>
      <c r="J292" s="2" t="inlineStr">
        <is>
          <t>Zustand erhalten; bei der wiederkehrenden Prüfung und der Betreiberkontrolle erneut prüfen</t>
        </is>
      </c>
      <c r="K292" s="2" t="inlineStr"/>
      <c r="L292" s="2" t="inlineStr">
        <is>
          <t>Kein Risiko: keine Mangelregel trifft zu, alle Pflichtfragen beantwortet. Freigegeben 2026-09-20.</t>
        </is>
      </c>
      <c r="M292" s="3" t="n"/>
      <c r="N292" s="3" t="n"/>
    </row>
    <row r="293">
      <c r="A293" s="4" t="inlineStr">
        <is>
          <t>MF-G02</t>
        </is>
      </c>
      <c r="B293" s="4" t="inlineStr">
        <is>
          <t>Unzureichender Schutzraum in der Schachtgrube</t>
        </is>
      </c>
      <c r="C293" s="4" t="inlineStr">
        <is>
          <t>Schachtgrube</t>
        </is>
      </c>
      <c r="D293" s="4" t="inlineStr">
        <is>
          <t>MF-G02-R1</t>
        </is>
      </c>
      <c r="E293" s="4" t="n">
        <v>100</v>
      </c>
      <c r="F293" s="4" t="inlineStr">
        <is>
          <t>11.3 Schutzraum in der Schachtgrube = „Schutzraum nicht gegeben"</t>
        </is>
      </c>
      <c r="G293" s="4" t="inlineStr">
        <is>
          <t>Hoch</t>
        </is>
      </c>
      <c r="H293" s="4" t="inlineStr">
        <is>
          <t>HIGH_CONFIDENCE</t>
        </is>
      </c>
      <c r="I293" s="4" t="inlineStr"/>
      <c r="J293" s="4" t="inlineStr">
        <is>
          <t>Schachtgrube nicht betreten, Anlage stilllegen</t>
        </is>
      </c>
      <c r="K293" s="4" t="inlineStr">
        <is>
          <t>Fahrbegrenzung nachrüsten oder Schutzraum herstellen</t>
        </is>
      </c>
      <c r="L293" s="4" t="inlineStr">
        <is>
          <t>Freigegeben 2026-09-20.</t>
        </is>
      </c>
      <c r="M293" s="3" t="n"/>
      <c r="N293" s="3" t="n"/>
    </row>
    <row r="294">
      <c r="A294" s="2" t="inlineStr">
        <is>
          <t>MF-G02</t>
        </is>
      </c>
      <c r="B294" s="2" t="inlineStr">
        <is>
          <t>Unzureichender Schutzraum in der Schachtgrube</t>
        </is>
      </c>
      <c r="C294" s="2" t="inlineStr">
        <is>
          <t>Schachtgrube</t>
        </is>
      </c>
      <c r="D294" s="2" t="inlineStr">
        <is>
          <t>MF-G02-R2</t>
        </is>
      </c>
      <c r="E294" s="2" t="n">
        <v>100</v>
      </c>
      <c r="F294" s="2" t="inlineStr">
        <is>
          <t>11.3 Schutzraum in der Schachtgrube = „Schutzraum nach TRA 200 / EN 81-1/-2 (kleiner als EN 81-20)"</t>
        </is>
      </c>
      <c r="G294" s="2" t="inlineStr">
        <is>
          <t>Niedrig</t>
        </is>
      </c>
      <c r="H294" s="2" t="inlineStr">
        <is>
          <t>INFERRED</t>
        </is>
      </c>
      <c r="I294" s="2" t="inlineStr"/>
      <c r="J294" s="2" t="inlineStr">
        <is>
          <t>Zustand dokumentieren, Beschäftigte über den reduzierten Schutzraum unterweisen</t>
        </is>
      </c>
      <c r="K294" s="2" t="inlineStr">
        <is>
          <t>Bei Modernisierung Schutzräume nach EN 81-20 herstellen oder Schutzeinrichtung für temporären Schutzraum vorsehen</t>
        </is>
      </c>
      <c r="L294" s="2" t="inlineStr">
        <is>
          <t>TRBS 3121 Anh. 1 Nr. 5: Risiko niedrig bei Schutzräumen nach TRA 200 oder EN 81-1/-2. Entschieden 2026-09-02: K-F05.</t>
        </is>
      </c>
      <c r="M294" s="3" t="n"/>
      <c r="N294" s="3" t="n"/>
    </row>
    <row r="295">
      <c r="A295" s="4" t="inlineStr">
        <is>
          <t>MF-G02</t>
        </is>
      </c>
      <c r="B295" s="4" t="inlineStr">
        <is>
          <t>Unzureichender Schutzraum in der Schachtgrube</t>
        </is>
      </c>
      <c r="C295" s="4" t="inlineStr">
        <is>
          <t>Schachtgrube</t>
        </is>
      </c>
      <c r="D295" s="4" t="inlineStr">
        <is>
          <t>MF-G02-R3</t>
        </is>
      </c>
      <c r="E295" s="4" t="n">
        <v>100</v>
      </c>
      <c r="F295" s="4" t="inlineStr">
        <is>
          <t>11.3 Schutzraum in der Schachtgrube = „Reduzierte Grube mit wirksamer Zusatzeinrichtung und Kennzeichnung"</t>
        </is>
      </c>
      <c r="G295" s="4" t="inlineStr">
        <is>
          <t>Kein Risiko</t>
        </is>
      </c>
      <c r="H295" s="4" t="inlineStr">
        <is>
          <t>HIGH_CONFIDENCE</t>
        </is>
      </c>
      <c r="I295" s="4" t="inlineStr"/>
      <c r="J295" s="4" t="inlineStr"/>
      <c r="K295" s="4" t="inlineStr"/>
      <c r="L295" s="4" t="inlineStr">
        <is>
          <t>Entscheidung 02.09.2026: reduzierte Grube mit wirksamer Zusatzeinrichtung = kein Risiko. Entschieden 2026-09-02: K-F03.</t>
        </is>
      </c>
      <c r="M295" s="3" t="n"/>
      <c r="N295" s="3" t="n"/>
    </row>
    <row r="296">
      <c r="A296" s="2" t="inlineStr">
        <is>
          <t>MF-G02</t>
        </is>
      </c>
      <c r="B296" s="2" t="inlineStr">
        <is>
          <t>Unzureichender Schutzraum in der Schachtgrube</t>
        </is>
      </c>
      <c r="C296" s="2" t="inlineStr">
        <is>
          <t>Schachtgrube</t>
        </is>
      </c>
      <c r="D296" s="2" t="inlineStr">
        <is>
          <t>MF-G02-R4</t>
        </is>
      </c>
      <c r="E296" s="2" t="n">
        <v>1</v>
      </c>
      <c r="F296" s="2" t="inlineStr">
        <is>
          <t>11.3 Schutzraum in der Schachtgrube beantwortet</t>
        </is>
      </c>
      <c r="G296" s="2" t="inlineStr">
        <is>
          <t>Kein Risiko</t>
        </is>
      </c>
      <c r="H296" s="2" t="inlineStr">
        <is>
          <t>HIGH_CONFIDENCE</t>
        </is>
      </c>
      <c r="I296" s="2" t="inlineStr"/>
      <c r="J296" s="2" t="inlineStr">
        <is>
          <t>Zustand erhalten; bei der wiederkehrenden Prüfung und der Betreiberkontrolle erneut prüfen</t>
        </is>
      </c>
      <c r="K296" s="2" t="inlineStr"/>
      <c r="L296" s="2" t="inlineStr">
        <is>
          <t>Kein Risiko: keine Mangelregel trifft zu, alle Pflichtfragen beantwortet. Freigegeben 2026-09-20.</t>
        </is>
      </c>
      <c r="M296" s="3" t="n"/>
      <c r="N296" s="3" t="n"/>
    </row>
    <row r="297">
      <c r="A297" s="4" t="inlineStr">
        <is>
          <t>MF-G03</t>
        </is>
      </c>
      <c r="B297" s="4" t="inlineStr">
        <is>
          <t>Fehlender Not-Halt oder fehlende Inspektionssteuerung in der Schachtgrube</t>
        </is>
      </c>
      <c r="C297" s="4" t="inlineStr">
        <is>
          <t>Sicherheitskomponenten</t>
        </is>
      </c>
      <c r="D297" s="4" t="inlineStr">
        <is>
          <t>MF-G03-R1</t>
        </is>
      </c>
      <c r="E297" s="4" t="n">
        <v>100</v>
      </c>
      <c r="F297" s="4" t="inlineStr">
        <is>
          <t>11.4 Notbremsschalter in der Schachtgrube vorhanden? = Nein</t>
        </is>
      </c>
      <c r="G297" s="4" t="inlineStr">
        <is>
          <t>Hoch</t>
        </is>
      </c>
      <c r="H297" s="4" t="inlineStr">
        <is>
          <t>HIGH_CONFIDENCE</t>
        </is>
      </c>
      <c r="I297" s="4" t="inlineStr"/>
      <c r="J297" s="4" t="inlineStr">
        <is>
          <t>Grube nur nach Freischalten und Sichern der Anlage betreten</t>
        </is>
      </c>
      <c r="K297" s="4" t="inlineStr">
        <is>
          <t>Notbremsschalter nachrüsten</t>
        </is>
      </c>
      <c r="L297" s="4" t="inlineStr">
        <is>
          <t>Freigegeben 2026-09-20.</t>
        </is>
      </c>
      <c r="M297" s="3" t="n"/>
      <c r="N297" s="3" t="n"/>
    </row>
    <row r="298">
      <c r="A298" s="2" t="inlineStr">
        <is>
          <t>MF-G03</t>
        </is>
      </c>
      <c r="B298" s="2" t="inlineStr">
        <is>
          <t>Fehlender Not-Halt oder fehlende Inspektionssteuerung in der Schachtgrube</t>
        </is>
      </c>
      <c r="C298" s="2" t="inlineStr">
        <is>
          <t>Sicherheitskomponenten</t>
        </is>
      </c>
      <c r="D298" s="2" t="inlineStr">
        <is>
          <t>MF-G03-R2</t>
        </is>
      </c>
      <c r="E298" s="2" t="n">
        <v>100</v>
      </c>
      <c r="F298" s="2" t="inlineStr">
        <is>
          <t>11.5 Inspektionssteuerung in der Schachtgrube vorhanden? = Nein</t>
        </is>
      </c>
      <c r="G298" s="2" t="inlineStr">
        <is>
          <t>Mittel</t>
        </is>
      </c>
      <c r="H298" s="2" t="inlineStr">
        <is>
          <t>HIGH_CONFIDENCE</t>
        </is>
      </c>
      <c r="I298" s="2" t="inlineStr"/>
      <c r="J298" s="2" t="inlineStr">
        <is>
          <t>Keine Alleinarbeit in der Schachtgrube</t>
        </is>
      </c>
      <c r="K298" s="2" t="inlineStr">
        <is>
          <t>Inspektionssteuerung nach DIN EN 81-20, 5.12.1.5 nachrüsten</t>
        </is>
      </c>
      <c r="L298" s="2" t="inlineStr">
        <is>
          <t>Entschieden 2026-09-02: K-S01.</t>
        </is>
      </c>
      <c r="M298" s="3" t="n"/>
      <c r="N298" s="3" t="n"/>
    </row>
    <row r="299">
      <c r="A299" s="4" t="inlineStr">
        <is>
          <t>MF-G03</t>
        </is>
      </c>
      <c r="B299" s="4" t="inlineStr">
        <is>
          <t>Fehlender Not-Halt oder fehlende Inspektionssteuerung in der Schachtgrube</t>
        </is>
      </c>
      <c r="C299" s="4" t="inlineStr">
        <is>
          <t>Sicherheitskomponenten</t>
        </is>
      </c>
      <c r="D299" s="4" t="inlineStr">
        <is>
          <t>MF-G03-R3</t>
        </is>
      </c>
      <c r="E299" s="4" t="n">
        <v>100</v>
      </c>
      <c r="F299" s="4" t="inlineStr">
        <is>
          <t>11.4a Notbremsschalter von der Schachttür aus erreichbar? = Nein</t>
        </is>
      </c>
      <c r="G299" s="4" t="inlineStr">
        <is>
          <t>Mittel</t>
        </is>
      </c>
      <c r="H299" s="4" t="inlineStr">
        <is>
          <t>HIGH_CONFIDENCE</t>
        </is>
      </c>
      <c r="I299" s="4" t="inlineStr"/>
      <c r="J299" s="4" t="inlineStr">
        <is>
          <t>Vor dem Abstieg die Anlage stilllegen</t>
        </is>
      </c>
      <c r="K299" s="4" t="inlineStr">
        <is>
          <t>Zusätzlichen, von außen erreichbaren Notbremsschalter nachrüsten</t>
        </is>
      </c>
      <c r="L299" s="4" t="inlineStr">
        <is>
          <t>Freigegeben 2026-09-20.</t>
        </is>
      </c>
      <c r="M299" s="3" t="n"/>
      <c r="N299" s="3" t="n"/>
    </row>
    <row r="300">
      <c r="A300" s="2" t="inlineStr">
        <is>
          <t>MF-G03</t>
        </is>
      </c>
      <c r="B300" s="2" t="inlineStr">
        <is>
          <t>Fehlender Not-Halt oder fehlende Inspektionssteuerung in der Schachtgrube</t>
        </is>
      </c>
      <c r="C300" s="2" t="inlineStr">
        <is>
          <t>Sicherheitskomponenten</t>
        </is>
      </c>
      <c r="D300" s="2" t="inlineStr">
        <is>
          <t>MF-G03-R4</t>
        </is>
      </c>
      <c r="E300" s="2" t="n">
        <v>100</v>
      </c>
      <c r="F300" s="2" t="inlineStr">
        <is>
          <t>11.4b Bei Grubentiefe über 1,60 m: zweiter Notbremsschalter am Grubenboden vorhanden? = Nein</t>
        </is>
      </c>
      <c r="G300" s="2" t="inlineStr">
        <is>
          <t>Mittel</t>
        </is>
      </c>
      <c r="H300" s="2" t="inlineStr">
        <is>
          <t>HIGH_CONFIDENCE</t>
        </is>
      </c>
      <c r="I300" s="2" t="inlineStr"/>
      <c r="J300" s="2" t="inlineStr">
        <is>
          <t>Abstieg nur nach Stilllegen der Anlage</t>
        </is>
      </c>
      <c r="K300" s="2" t="inlineStr">
        <is>
          <t>Zweite Halteinrichtung am Grubenboden nachrüsten (DIN EN 81-20, 5.2.1.5.1)</t>
        </is>
      </c>
      <c r="L300" s="2" t="inlineStr">
        <is>
          <t>Regelprüfung 20.09.2026: Fundstelle korrigiert: 5.2.1.5.1 a) statt 5.4.8 – dieselbe Stelle, die die Hilfe zu 11.1 und die Quellen der Gefährdung nennen. Freigegeben 2026-09-20.</t>
        </is>
      </c>
      <c r="M300" s="3" t="n"/>
      <c r="N300" s="3" t="n"/>
    </row>
    <row r="301">
      <c r="A301" s="4" t="inlineStr">
        <is>
          <t>MF-G03</t>
        </is>
      </c>
      <c r="B301" s="4" t="inlineStr">
        <is>
          <t>Fehlender Not-Halt oder fehlende Inspektionssteuerung in der Schachtgrube</t>
        </is>
      </c>
      <c r="C301" s="4" t="inlineStr">
        <is>
          <t>Sicherheitskomponenten</t>
        </is>
      </c>
      <c r="D301" s="4" t="inlineStr">
        <is>
          <t>MF-G03-R5</t>
        </is>
      </c>
      <c r="E301" s="4" t="n">
        <v>1</v>
      </c>
      <c r="F301" s="4" t="inlineStr">
        <is>
          <t>11.4 Notbremsschalter in der Schachtgrube vorhanden? beantwortet</t>
        </is>
      </c>
      <c r="G301" s="4" t="inlineStr">
        <is>
          <t>Kein Risiko</t>
        </is>
      </c>
      <c r="H301" s="4" t="inlineStr">
        <is>
          <t>HIGH_CONFIDENCE</t>
        </is>
      </c>
      <c r="I301" s="4" t="inlineStr"/>
      <c r="J301" s="4" t="inlineStr">
        <is>
          <t>Zustand erhalten; bei der wiederkehrenden Prüfung und der Betreiberkontrolle erneut prüfen</t>
        </is>
      </c>
      <c r="K301" s="4" t="inlineStr"/>
      <c r="L301" s="4" t="inlineStr">
        <is>
          <t>Kein Risiko: keine Mangelregel trifft zu, alle Pflichtfragen beantwortet. Freigegeben 2026-09-20.</t>
        </is>
      </c>
      <c r="M301" s="3" t="n"/>
      <c r="N301" s="3" t="n"/>
    </row>
    <row r="302">
      <c r="A302" s="2" t="inlineStr">
        <is>
          <t>MF-G04</t>
        </is>
      </c>
      <c r="B302" s="2" t="inlineStr">
        <is>
          <t>Unsicherer Zugang zur Schachtgrube (Leiter, Grubenzugangstür)</t>
        </is>
      </c>
      <c r="C302" s="2" t="inlineStr">
        <is>
          <t>Zugang und Verkehrswege</t>
        </is>
      </c>
      <c r="D302" s="2" t="inlineStr">
        <is>
          <t>MF-G04-R7</t>
        </is>
      </c>
      <c r="E302" s="2" t="n">
        <v>100</v>
      </c>
      <c r="F302" s="2" t="inlineStr">
        <is>
          <t>(11.7 Zugang zur Grube über eine separate Grubenzugangstür (ebenerdig, ohne Abstieg über eine Leiter)? = Nein UND 11.6 Grubenleiter = „Keine Grubenleiter")</t>
        </is>
      </c>
      <c r="G302" s="2" t="inlineStr">
        <is>
          <t>Hoch</t>
        </is>
      </c>
      <c r="H302" s="2" t="inlineStr">
        <is>
          <t>HIGH_CONFIDENCE</t>
        </is>
      </c>
      <c r="I302" s="2" t="inlineStr"/>
      <c r="J302" s="2" t="inlineStr">
        <is>
          <t>Ohne Leiter kein Einstieg! Eigene Leiter verwenden</t>
        </is>
      </c>
      <c r="K302" s="2" t="inlineStr">
        <is>
          <t>Schachtgrubenleiter nachrüsten</t>
        </is>
      </c>
      <c r="L302" s="2" t="inlineStr">
        <is>
          <t>[Prüfbericht: Prüfbericht 16.09.2026 – Leiter nur bewertet, wenn der Zugang über eine Leiter erfolgt] Freigegeben 2026-09-20.</t>
        </is>
      </c>
      <c r="M302" s="3" t="n"/>
      <c r="N302" s="3" t="n"/>
    </row>
    <row r="303">
      <c r="A303" s="4" t="inlineStr">
        <is>
          <t>MF-G04</t>
        </is>
      </c>
      <c r="B303" s="4" t="inlineStr">
        <is>
          <t>Unsicherer Zugang zur Schachtgrube (Leiter, Grubenzugangstür)</t>
        </is>
      </c>
      <c r="C303" s="4" t="inlineStr">
        <is>
          <t>Zugang und Verkehrswege</t>
        </is>
      </c>
      <c r="D303" s="4" t="inlineStr">
        <is>
          <t>MF-G04-R2</t>
        </is>
      </c>
      <c r="E303" s="4" t="n">
        <v>100</v>
      </c>
      <c r="F303" s="4" t="inlineStr">
        <is>
          <t>11.7a Elektrische Sicherheitseinrichtung an der Grubenzugangstür? = Nein</t>
        </is>
      </c>
      <c r="G303" s="4" t="inlineStr">
        <is>
          <t>Hoch</t>
        </is>
      </c>
      <c r="H303" s="4" t="inlineStr">
        <is>
          <t>INFERRED</t>
        </is>
      </c>
      <c r="I303" s="4" t="inlineStr"/>
      <c r="J303" s="4" t="inlineStr">
        <is>
          <t>Grubenzugangstür verschlossen halten, Zutritt nur mit Freischaltung der Anlage</t>
        </is>
      </c>
      <c r="K303" s="4" t="inlineStr">
        <is>
          <t>Elektrische Sicherheitseinrichtung (Türkontakt im Sicherheitskreis) an der Grubenzugangstür nachrüsten</t>
        </is>
      </c>
      <c r="L303" s="4" t="inlineStr">
        <is>
          <t>Blaupause Schindler M008 (f069 = Ja, f070 = Nein -&gt; Hoch, DIRECT). Freigegeben 2026-09-20.</t>
        </is>
      </c>
      <c r="M303" s="3" t="n"/>
      <c r="N303" s="3" t="n"/>
    </row>
    <row r="304">
      <c r="A304" s="2" t="inlineStr">
        <is>
          <t>MF-G04</t>
        </is>
      </c>
      <c r="B304" s="2" t="inlineStr">
        <is>
          <t>Unsicherer Zugang zur Schachtgrube (Leiter, Grubenzugangstür)</t>
        </is>
      </c>
      <c r="C304" s="2" t="inlineStr">
        <is>
          <t>Zugang und Verkehrswege</t>
        </is>
      </c>
      <c r="D304" s="2" t="inlineStr">
        <is>
          <t>MF-G04-R12</t>
        </is>
      </c>
      <c r="E304" s="2" t="n">
        <v>100</v>
      </c>
      <c r="F304" s="2" t="inlineStr">
        <is>
          <t>(11.7 Zugang zur Grube über eine separate Grubenzugangstür (ebenerdig, ohne Abstieg über eine Leiter)? = Nein UND 11.6 Grubenleiter = „Mobile Leiter im Schacht deponiert")</t>
        </is>
      </c>
      <c r="G304" s="2" t="inlineStr">
        <is>
          <t>Niedrig</t>
        </is>
      </c>
      <c r="H304" s="2" t="inlineStr">
        <is>
          <t>INFERRED</t>
        </is>
      </c>
      <c r="I304" s="2" t="inlineStr"/>
      <c r="J304" s="2" t="inlineStr">
        <is>
          <t>Mobile Leiter vor jedem Abstieg auf Eignung, Unversehrtheit und sicheren Stand prüfen; Not-Halt vorher betätigen</t>
        </is>
      </c>
      <c r="K304" s="2" t="inlineStr">
        <is>
          <t>Fest installierte Grubenleiter nach DIN EN 81-20 5.2.2.4 nachrüsten</t>
        </is>
      </c>
      <c r="L304" s="2" t="inlineStr">
        <is>
          <t>Prüfbericht 20.09.2026: Die Option blieb ohne Regel und damit ohne Stufe. Eine im Schacht deponierte mobile Leiter ist verfügbar, aber keine fest angebrachte Steigeinrichtung (TRBS 3121 Anh. 1 Nr. 6). Freigegeben 2026-09-20.</t>
        </is>
      </c>
      <c r="M304" s="3" t="n"/>
      <c r="N304" s="3" t="n"/>
    </row>
    <row r="305">
      <c r="A305" s="4" t="inlineStr">
        <is>
          <t>MF-G04</t>
        </is>
      </c>
      <c r="B305" s="4" t="inlineStr">
        <is>
          <t>Unsicherer Zugang zur Schachtgrube (Leiter, Grubenzugangstür)</t>
        </is>
      </c>
      <c r="C305" s="4" t="inlineStr">
        <is>
          <t>Zugang und Verkehrswege</t>
        </is>
      </c>
      <c r="D305" s="4" t="inlineStr">
        <is>
          <t>MF-G04-R8</t>
        </is>
      </c>
      <c r="E305" s="4" t="n">
        <v>100</v>
      </c>
      <c r="F305" s="4" t="inlineStr">
        <is>
          <t>(11.7 Zugang zur Grube über eine separate Grubenzugangstür (ebenerdig, ohne Abstieg über eine Leiter)? = Nein UND 11.6 Grubenleiter = „Grubenleiter vorhanden, aber schwer erreichbar")</t>
        </is>
      </c>
      <c r="G305" s="4" t="inlineStr">
        <is>
          <t>Mittel</t>
        </is>
      </c>
      <c r="H305" s="4" t="inlineStr">
        <is>
          <t>HIGH_CONFIDENCE</t>
        </is>
      </c>
      <c r="I305" s="4" t="inlineStr"/>
      <c r="J305" s="4" t="inlineStr">
        <is>
          <t>Not-Halt vor dem Abstieg betätigen; Grube nur mit Dreipunktkontakt über die Leiter betreten</t>
        </is>
      </c>
      <c r="K305" s="4" t="inlineStr">
        <is>
          <t>Umbau Schachtgrubenleiter</t>
        </is>
      </c>
      <c r="L305" s="4" t="inlineStr">
        <is>
          <t>[Prüfbericht: Prüfbericht 16.09.2026 – nur bei Zugang über Leiter] Freigegeben 2026-09-20.</t>
        </is>
      </c>
      <c r="M305" s="3" t="n"/>
      <c r="N305" s="3" t="n"/>
    </row>
    <row r="306">
      <c r="A306" s="2" t="inlineStr">
        <is>
          <t>MF-G04</t>
        </is>
      </c>
      <c r="B306" s="2" t="inlineStr">
        <is>
          <t>Unsicherer Zugang zur Schachtgrube (Leiter, Grubenzugangstür)</t>
        </is>
      </c>
      <c r="C306" s="2" t="inlineStr">
        <is>
          <t>Zugang und Verkehrswege</t>
        </is>
      </c>
      <c r="D306" s="2" t="inlineStr">
        <is>
          <t>MF-G04-R9</t>
        </is>
      </c>
      <c r="E306" s="2" t="n">
        <v>100</v>
      </c>
      <c r="F306" s="2" t="inlineStr">
        <is>
          <t>(11.7 Zugang zur Grube über eine separate Grubenzugangstür (ebenerdig, ohne Abstieg über eine Leiter)? = Nein UND 11.6 Grubenleiter = „Leiter beim Kunden deponiert")</t>
        </is>
      </c>
      <c r="G306" s="2" t="inlineStr">
        <is>
          <t>Mittel</t>
        </is>
      </c>
      <c r="H306" s="2" t="inlineStr">
        <is>
          <t>HIGH_CONFIDENCE</t>
        </is>
      </c>
      <c r="I306" s="2" t="inlineStr"/>
      <c r="J306" s="2" t="inlineStr">
        <is>
          <t>Leiter vor dem Abstieg holen, auf Eignung, Unversehrtheit und sicheren Stand prüfen, Not-Halt vorher betätigen; ohne geeignete Leiter nicht einsteigen</t>
        </is>
      </c>
      <c r="K306" s="2" t="inlineStr">
        <is>
          <t>Schachtgrubenleiter nachrüsten</t>
        </is>
      </c>
      <c r="L306" s="2" t="inlineStr">
        <is>
          <t>Regelprüfung 20.09.2026: „Auf Eignung, Unversehrtheit, Vollständigkeit achten" war eine Ermahnung ohne Handlung und ohne Folge für den Fall, dass die beim Kunden deponierte Leiter untauglich oder nicht auffindbar ist. [Prüfbericht: Prüfbericht 16.09.2026 – nur bei Zugang über Leiter] Freigegeben 2026-09-20.</t>
        </is>
      </c>
      <c r="M306" s="3" t="n"/>
      <c r="N306" s="3" t="n"/>
    </row>
    <row r="307">
      <c r="A307" s="4" t="inlineStr">
        <is>
          <t>MF-G04</t>
        </is>
      </c>
      <c r="B307" s="4" t="inlineStr">
        <is>
          <t>Unsicherer Zugang zur Schachtgrube (Leiter, Grubenzugangstür)</t>
        </is>
      </c>
      <c r="C307" s="4" t="inlineStr">
        <is>
          <t>Zugang und Verkehrswege</t>
        </is>
      </c>
      <c r="D307" s="4" t="inlineStr">
        <is>
          <t>MF-G04-R10</t>
        </is>
      </c>
      <c r="E307" s="4" t="n">
        <v>100</v>
      </c>
      <c r="F307" s="4" t="inlineStr">
        <is>
          <t>(11.7 Zugang zur Grube über eine separate Grubenzugangstür (ebenerdig, ohne Abstieg über eine Leiter)? = Nein UND 11.6 Grubenleiter = „Leiter wird im Kundendienstfahrzeug mitgeführt")</t>
        </is>
      </c>
      <c r="G307" s="4" t="inlineStr">
        <is>
          <t>Hoch</t>
        </is>
      </c>
      <c r="H307" s="4" t="inlineStr">
        <is>
          <t>HIGH_CONFIDENCE</t>
        </is>
      </c>
      <c r="I307" s="4" t="inlineStr"/>
      <c r="J307" s="4" t="inlineStr">
        <is>
          <t>Leiter aus dem Fahrzeug holen</t>
        </is>
      </c>
      <c r="K307" s="4" t="inlineStr">
        <is>
          <t>Schachtgrubenleiter nachrüsten</t>
        </is>
      </c>
      <c r="L307" s="4" t="inlineStr">
        <is>
          <t>[Prüfbericht: Prüfbericht 16.09.2026 – nur bei Zugang über Leiter] Frühere Klärung (vor der Änderung entschieden): K-S02 Freigegeben 2026-09-20.</t>
        </is>
      </c>
      <c r="M307" s="3" t="n"/>
      <c r="N307" s="3" t="n"/>
    </row>
    <row r="308">
      <c r="A308" s="2" t="inlineStr">
        <is>
          <t>MF-G04</t>
        </is>
      </c>
      <c r="B308" s="2" t="inlineStr">
        <is>
          <t>Unsicherer Zugang zur Schachtgrube (Leiter, Grubenzugangstür)</t>
        </is>
      </c>
      <c r="C308" s="2" t="inlineStr">
        <is>
          <t>Zugang und Verkehrswege</t>
        </is>
      </c>
      <c r="D308" s="2" t="inlineStr">
        <is>
          <t>MF-G04-R11</t>
        </is>
      </c>
      <c r="E308" s="2" t="n">
        <v>1</v>
      </c>
      <c r="F308" s="2" t="inlineStr">
        <is>
          <t>11.7 Zugang zur Grube über eine separate Grubenzugangstür (ebenerdig, ohne Abstieg über eine Leiter)? beantwortet</t>
        </is>
      </c>
      <c r="G308" s="2" t="inlineStr">
        <is>
          <t>Kein Risiko</t>
        </is>
      </c>
      <c r="H308" s="2" t="inlineStr">
        <is>
          <t>HIGH_CONFIDENCE</t>
        </is>
      </c>
      <c r="I308" s="2" t="inlineStr"/>
      <c r="J308" s="2" t="inlineStr">
        <is>
          <t>Zustand erhalten; bei der wiederkehrenden Prüfung und der Betreiberkontrolle erneut prüfen</t>
        </is>
      </c>
      <c r="K308" s="2" t="inlineStr"/>
      <c r="L308" s="2" t="inlineStr">
        <is>
          <t>Kein Risiko: keine Mangelregel trifft zu, alle Pflichtfragen beantwortet. Freigegeben 2026-09-20.</t>
        </is>
      </c>
      <c r="M308" s="3" t="n"/>
      <c r="N308" s="3" t="n"/>
    </row>
    <row r="309">
      <c r="A309" s="4" t="inlineStr">
        <is>
          <t>MF-G05</t>
        </is>
      </c>
      <c r="B309" s="4" t="inlineStr">
        <is>
          <t>Keine Selbstbefreiung aus der Schachtgrube und kein Notruf in der Grube</t>
        </is>
      </c>
      <c r="C309" s="4" t="inlineStr">
        <is>
          <t>Notruf und Personenbefreiung</t>
        </is>
      </c>
      <c r="D309" s="4" t="inlineStr">
        <is>
          <t>MF-G05-R1</t>
        </is>
      </c>
      <c r="E309" s="4" t="n">
        <v>300</v>
      </c>
      <c r="F309" s="4" t="inlineStr">
        <is>
          <t>(11.8 Selbstbefreiung aus der Grube über die Schachttür möglich (Verschluss innerhalb 1,80 m Höhe / 0,80 m horizontal)? = Nein UND 11.9 Notrufeinrichtung in der Schachtgrube vorhanden? = Nein)</t>
        </is>
      </c>
      <c r="G309" s="4" t="inlineStr">
        <is>
          <t>Hoch</t>
        </is>
      </c>
      <c r="H309" s="4" t="inlineStr">
        <is>
          <t>HIGH_CONFIDENCE</t>
        </is>
      </c>
      <c r="I309" s="4" t="inlineStr"/>
      <c r="J309" s="4" t="inlineStr">
        <is>
          <t>Grube nur zu zweit betreten, an- und abmelden, Mobilfunkempfang prüfen</t>
        </is>
      </c>
      <c r="K309" s="4" t="inlineStr">
        <is>
          <t>Notrufeinrichtung in der Schachtgrube nachrüsten oder Selbstbefreiung ermöglichen</t>
        </is>
      </c>
      <c r="L309" s="4" t="inlineStr">
        <is>
          <t>Freigegeben 2026-09-20.</t>
        </is>
      </c>
      <c r="M309" s="3" t="n"/>
      <c r="N309" s="3" t="n"/>
    </row>
    <row r="310">
      <c r="A310" s="2" t="inlineStr">
        <is>
          <t>MF-G05</t>
        </is>
      </c>
      <c r="B310" s="2" t="inlineStr">
        <is>
          <t>Keine Selbstbefreiung aus der Schachtgrube und kein Notruf in der Grube</t>
        </is>
      </c>
      <c r="C310" s="2" t="inlineStr">
        <is>
          <t>Notruf und Personenbefreiung</t>
        </is>
      </c>
      <c r="D310" s="2" t="inlineStr">
        <is>
          <t>MF-G05-R2</t>
        </is>
      </c>
      <c r="E310" s="2" t="n">
        <v>200</v>
      </c>
      <c r="F310" s="2" t="inlineStr">
        <is>
          <t>11.8 Selbstbefreiung aus der Grube über die Schachttür möglich (Verschluss innerhalb 1,80 m Höhe / 0,80 m horizontal)? = Nein</t>
        </is>
      </c>
      <c r="G310" s="2" t="inlineStr">
        <is>
          <t>Mittel</t>
        </is>
      </c>
      <c r="H310" s="2" t="inlineStr">
        <is>
          <t>HIGH_CONFIDENCE</t>
        </is>
      </c>
      <c r="I310" s="2" t="inlineStr"/>
      <c r="J310" s="2" t="inlineStr">
        <is>
          <t>Vor dem Abstieg an- und abmelden</t>
        </is>
      </c>
      <c r="K310" s="2" t="inlineStr">
        <is>
          <t>Zugang zur Schachttür verbessern</t>
        </is>
      </c>
      <c r="L310" s="2" t="inlineStr">
        <is>
          <t>Freigegeben 2026-09-20.</t>
        </is>
      </c>
      <c r="M310" s="3" t="n"/>
      <c r="N310" s="3" t="n"/>
    </row>
    <row r="311">
      <c r="A311" s="4" t="inlineStr">
        <is>
          <t>MF-G05</t>
        </is>
      </c>
      <c r="B311" s="4" t="inlineStr">
        <is>
          <t>Keine Selbstbefreiung aus der Schachtgrube und kein Notruf in der Grube</t>
        </is>
      </c>
      <c r="C311" s="4" t="inlineStr">
        <is>
          <t>Notruf und Personenbefreiung</t>
        </is>
      </c>
      <c r="D311" s="4" t="inlineStr">
        <is>
          <t>MF-G05-R3</t>
        </is>
      </c>
      <c r="E311" s="4" t="n">
        <v>100</v>
      </c>
      <c r="F311" s="4" t="inlineStr">
        <is>
          <t>11.9 Notrufeinrichtung in der Schachtgrube vorhanden? = Nein</t>
        </is>
      </c>
      <c r="G311" s="4" t="inlineStr">
        <is>
          <t>Mittel</t>
        </is>
      </c>
      <c r="H311" s="4" t="inlineStr">
        <is>
          <t>HIGH_CONFIDENCE</t>
        </is>
      </c>
      <c r="I311" s="4" t="inlineStr"/>
      <c r="J311" s="4" t="inlineStr">
        <is>
          <t>Schachteinschluss verhindern durch alternative Maßnahme (z.B. Mobilfunk, Funk, 2. Person)</t>
        </is>
      </c>
      <c r="K311" s="4" t="inlineStr">
        <is>
          <t>Notrufsystem FK-Dach und Schachtgrube nachrüsten</t>
        </is>
      </c>
      <c r="L311" s="4" t="inlineStr">
        <is>
          <t>Freigegeben 2026-09-20.</t>
        </is>
      </c>
      <c r="M311" s="3" t="n"/>
      <c r="N311" s="3" t="n"/>
    </row>
    <row r="312">
      <c r="A312" s="2" t="inlineStr">
        <is>
          <t>MF-G05</t>
        </is>
      </c>
      <c r="B312" s="2" t="inlineStr">
        <is>
          <t>Keine Selbstbefreiung aus der Schachtgrube und kein Notruf in der Grube</t>
        </is>
      </c>
      <c r="C312" s="2" t="inlineStr">
        <is>
          <t>Notruf und Personenbefreiung</t>
        </is>
      </c>
      <c r="D312" s="2" t="inlineStr">
        <is>
          <t>MF-G05-R4</t>
        </is>
      </c>
      <c r="E312" s="2" t="n">
        <v>1</v>
      </c>
      <c r="F312" s="2" t="inlineStr">
        <is>
          <t>11.8 Selbstbefreiung aus der Grube über die Schachttür möglich (Verschluss innerhalb 1,80 m Höhe / 0,80 m horizontal)? beantwortet</t>
        </is>
      </c>
      <c r="G312" s="2" t="inlineStr">
        <is>
          <t>Kein Risiko</t>
        </is>
      </c>
      <c r="H312" s="2" t="inlineStr">
        <is>
          <t>HIGH_CONFIDENCE</t>
        </is>
      </c>
      <c r="I312" s="2" t="inlineStr"/>
      <c r="J312" s="2" t="inlineStr">
        <is>
          <t>Zustand erhalten; bei der wiederkehrenden Prüfung und der Betreiberkontrolle erneut prüfen</t>
        </is>
      </c>
      <c r="K312" s="2" t="inlineStr"/>
      <c r="L312" s="2" t="inlineStr">
        <is>
          <t>Kein Risiko: keine Mangelregel trifft zu, alle Pflichtfragen beantwortet. Freigegeben 2026-09-20.</t>
        </is>
      </c>
      <c r="M312" s="3" t="n"/>
      <c r="N312" s="3" t="n"/>
    </row>
    <row r="313">
      <c r="A313" s="4" t="inlineStr">
        <is>
          <t>MF-G06</t>
        </is>
      </c>
      <c r="B313" s="4" t="inlineStr">
        <is>
          <t>Fehlende, beschädigte oder ungeeignete Puffer</t>
        </is>
      </c>
      <c r="C313" s="4" t="inlineStr">
        <is>
          <t>Schachtgrube</t>
        </is>
      </c>
      <c r="D313" s="4" t="inlineStr">
        <is>
          <t>MF-G06-R1</t>
        </is>
      </c>
      <c r="E313" s="4" t="n">
        <v>100</v>
      </c>
      <c r="F313" s="4" t="inlineStr">
        <is>
          <t>11.10 Puffer für Fahrkorb und Gegengewicht vorhanden? = Nein</t>
        </is>
      </c>
      <c r="G313" s="4" t="inlineStr">
        <is>
          <t>Hoch</t>
        </is>
      </c>
      <c r="H313" s="4" t="inlineStr">
        <is>
          <t>HIGH_CONFIDENCE</t>
        </is>
      </c>
      <c r="I313" s="4" t="inlineStr"/>
      <c r="J313" s="4" t="inlineStr">
        <is>
          <t>Aufzug stilllegen</t>
        </is>
      </c>
      <c r="K313" s="4" t="inlineStr">
        <is>
          <t>Puffer nach DIN EN 81-20, 5.8.1 ersetzen</t>
        </is>
      </c>
      <c r="L313" s="4" t="inlineStr">
        <is>
          <t>Freigegeben 2026-09-20.</t>
        </is>
      </c>
      <c r="M313" s="3" t="n"/>
      <c r="N313" s="3" t="n"/>
    </row>
    <row r="314">
      <c r="A314" s="2" t="inlineStr">
        <is>
          <t>MF-G06</t>
        </is>
      </c>
      <c r="B314" s="2" t="inlineStr">
        <is>
          <t>Fehlende, beschädigte oder ungeeignete Puffer</t>
        </is>
      </c>
      <c r="C314" s="2" t="inlineStr">
        <is>
          <t>Schachtgrube</t>
        </is>
      </c>
      <c r="D314" s="2" t="inlineStr">
        <is>
          <t>MF-G06-R6</t>
        </is>
      </c>
      <c r="E314" s="2" t="n">
        <v>100</v>
      </c>
      <c r="F314" s="2" t="inlineStr">
        <is>
          <t>11.10a Zustand der Puffer = „Beschädigung oder Funktionsverlust (Puffer lose oder gerissen, hydraulischer Puffer ohne Öl oder ohne Rückstellung)"</t>
        </is>
      </c>
      <c r="G314" s="2" t="inlineStr">
        <is>
          <t>Hoch</t>
        </is>
      </c>
      <c r="H314" s="2" t="inlineStr">
        <is>
          <t>HIGH_CONFIDENCE</t>
        </is>
      </c>
      <c r="I314" s="2" t="inlineStr"/>
      <c r="J314" s="2" t="inlineStr">
        <is>
          <t>Aufzug stilllegen</t>
        </is>
      </c>
      <c r="K314" s="2" t="inlineStr">
        <is>
          <t>Puffer nach DIN EN 81-20, 5.8.1 ersetzen</t>
        </is>
      </c>
      <c r="L314" s="2" t="inlineStr">
        <is>
          <t>Regelprüfung 20.09.2026: Bedingung auf den Funktionsverlust eingegrenzt (11.10a ist jetzt eine Auswahlfrage). Hoch samt Stilllegung bleibt dem gerissenen oder losen Puffer und dem hydraulischen Puffer ohne Öl oder ohne Rückstellung vorbehalten; bloßer Alterungsverschleiß bei erhaltener Funktion führte vorher ebenfalls zur Stilllegung der gesamten Anlage – ein unverhältnismäßiges und damit falsches Bewertungsergebnis. Freigegeben 2026-09-20.</t>
        </is>
      </c>
      <c r="M314" s="3" t="n"/>
      <c r="N314" s="3" t="n"/>
    </row>
    <row r="315">
      <c r="A315" s="4" t="inlineStr">
        <is>
          <t>MF-G06</t>
        </is>
      </c>
      <c r="B315" s="4" t="inlineStr">
        <is>
          <t>Fehlende, beschädigte oder ungeeignete Puffer</t>
        </is>
      </c>
      <c r="C315" s="4" t="inlineStr">
        <is>
          <t>Schachtgrube</t>
        </is>
      </c>
      <c r="D315" s="4" t="inlineStr">
        <is>
          <t>MF-G06-R7</t>
        </is>
      </c>
      <c r="E315" s="4" t="n">
        <v>100</v>
      </c>
      <c r="F315" s="4" t="inlineStr">
        <is>
          <t>11.10a Zustand der Puffer = „Verschleiß ohne Beeinträchtigung der Funktion (Oberflächenrisse, Verhärtung, Korrosion)"</t>
        </is>
      </c>
      <c r="G315" s="4" t="inlineStr">
        <is>
          <t>Mittel</t>
        </is>
      </c>
      <c r="H315" s="4" t="inlineStr">
        <is>
          <t>HIGH_CONFIDENCE</t>
        </is>
      </c>
      <c r="I315" s="4" t="inlineStr"/>
      <c r="J315" s="4" t="inlineStr">
        <is>
          <t>Betreiber unterrichten, Pufferzustand bei jeder Wartung dokumentiert überwachen</t>
        </is>
      </c>
      <c r="K315" s="4" t="inlineStr">
        <is>
          <t>Puffer bei der nächsten Wartung ersetzen (DIN EN 81-20 5.8.1)</t>
        </is>
      </c>
      <c r="L315" s="4" t="inlineStr">
        <is>
          <t>Regelprüfung 20.09.2026: Neue Regel für den Verschleißfall. Verschleiß bei erhaltener Funktion ist eine wirksame, aber unvollständige Schutzmaßnahme und damit Mittel – nicht Hoch. Freigegeben 2026-09-20.</t>
        </is>
      </c>
      <c r="M315" s="3" t="n"/>
      <c r="N315" s="3" t="n"/>
    </row>
    <row r="316">
      <c r="A316" s="2" t="inlineStr">
        <is>
          <t>MF-G06</t>
        </is>
      </c>
      <c r="B316" s="2" t="inlineStr">
        <is>
          <t>Fehlende, beschädigte oder ungeeignete Puffer</t>
        </is>
      </c>
      <c r="C316" s="2" t="inlineStr">
        <is>
          <t>Schachtgrube</t>
        </is>
      </c>
      <c r="D316" s="2" t="inlineStr">
        <is>
          <t>MF-G06-R3</t>
        </is>
      </c>
      <c r="E316" s="2" t="n">
        <v>100</v>
      </c>
      <c r="F316" s="2" t="inlineStr">
        <is>
          <t>(11.10b Bauart der Puffer = „Energiespeichernd (Feder / Polyurethan)" UND 3.1a Nenngeschwindigkeit [m/s] &gt; 1.0)</t>
        </is>
      </c>
      <c r="G316" s="2" t="inlineStr">
        <is>
          <t>Hoch</t>
        </is>
      </c>
      <c r="H316" s="2" t="inlineStr">
        <is>
          <t>HIGH_CONFIDENCE</t>
        </is>
      </c>
      <c r="I316" s="2" t="inlineStr"/>
      <c r="J316" s="2" t="inlineStr">
        <is>
          <t>Puffertyp und Nenngeschwindigkeit durch die ZÜS bewerten lassen</t>
        </is>
      </c>
      <c r="K316" s="2" t="inlineStr">
        <is>
          <t>Energieverzehrende Puffer nachrüsten</t>
        </is>
      </c>
      <c r="L316" s="2" t="inlineStr">
        <is>
          <t>Entschieden 2026-09-02: K-S04.</t>
        </is>
      </c>
      <c r="M316" s="3" t="n"/>
      <c r="N316" s="3" t="n"/>
    </row>
    <row r="317">
      <c r="A317" s="4" t="inlineStr">
        <is>
          <t>MF-G06</t>
        </is>
      </c>
      <c r="B317" s="4" t="inlineStr">
        <is>
          <t>Fehlende, beschädigte oder ungeeignete Puffer</t>
        </is>
      </c>
      <c r="C317" s="4" t="inlineStr">
        <is>
          <t>Schachtgrube</t>
        </is>
      </c>
      <c r="D317" s="4" t="inlineStr">
        <is>
          <t>MF-G06-R4</t>
        </is>
      </c>
      <c r="E317" s="4" t="n">
        <v>100</v>
      </c>
      <c r="F317" s="4" t="inlineStr">
        <is>
          <t>11.10c Ölstand hydraulischer Puffer prüfbar (Schauglas, Peilstab oder gleichwertig)? = Nein</t>
        </is>
      </c>
      <c r="G317" s="4" t="inlineStr">
        <is>
          <t>Mittel</t>
        </is>
      </c>
      <c r="H317" s="4" t="inlineStr">
        <is>
          <t>HIGH_CONFIDENCE</t>
        </is>
      </c>
      <c r="I317" s="4" t="inlineStr"/>
      <c r="J317" s="4" t="inlineStr">
        <is>
          <t>Betreiber unterrichten und Ölstandsprüfung über die Wartungsfirma veranlassen; bei erkennbarem Ölaustritt oder nicht zurückgestelltem Puffer Anlage stilllegen</t>
        </is>
      </c>
      <c r="K317" s="4" t="inlineStr">
        <is>
          <t>Prüfmöglichkeit und Kennzeichnung herstellen</t>
        </is>
      </c>
      <c r="L317" s="4" t="inlineStr">
        <is>
          <t>Regelprüfung 20.09.2026: Bedingung auf den nicht prüfbaren Ölstand eingegrenzt; die fehlende Kennzeichnung steht jetzt in einer eigenen Regel mit Stufe Niedrig. Die Sofortmaßnahme „Zustand sichtprüfen" war keine Maßnahme, sondern der Prüfschritt selbst – sie wirkte nichts und nannte keine Konsequenz. Stufe Mittel und Mittelfristmaßnahme bleiben. Freigegeben 2026-09-20.</t>
        </is>
      </c>
      <c r="M317" s="3" t="n"/>
      <c r="N317" s="3" t="n"/>
    </row>
    <row r="318">
      <c r="A318" s="2" t="inlineStr">
        <is>
          <t>MF-G06</t>
        </is>
      </c>
      <c r="B318" s="2" t="inlineStr">
        <is>
          <t>Fehlende, beschädigte oder ungeeignete Puffer</t>
        </is>
      </c>
      <c r="C318" s="2" t="inlineStr">
        <is>
          <t>Schachtgrube</t>
        </is>
      </c>
      <c r="D318" s="2" t="inlineStr">
        <is>
          <t>MF-G06-R8</t>
        </is>
      </c>
      <c r="E318" s="2" t="n">
        <v>100</v>
      </c>
      <c r="F318" s="2" t="inlineStr">
        <is>
          <t>11.10d Hydraulische Puffer gekennzeichnet (Typ, Füllmenge bzw. Ölsorte, zulässiger Ölstand)? = Nein</t>
        </is>
      </c>
      <c r="G318" s="2" t="inlineStr">
        <is>
          <t>Niedrig</t>
        </is>
      </c>
      <c r="H318" s="2" t="inlineStr">
        <is>
          <t>HIGH_CONFIDENCE</t>
        </is>
      </c>
      <c r="I318" s="2" t="inlineStr"/>
      <c r="J318" s="2" t="inlineStr">
        <is>
          <t>Puffer provisorisch kennzeichnen; Angaben beim Hersteller oder Wartungsunternehmen anfordern</t>
        </is>
      </c>
      <c r="K318" s="2" t="inlineStr">
        <is>
          <t>Dauerhafte Kennzeichnung der hydraulischen Puffer anbringen (Typ, Ölsorte bzw. Füllmenge, zulässiger Ölstand) und in die Wartungsunterlagen aufnehmen</t>
        </is>
      </c>
      <c r="L318" s="2" t="inlineStr">
        <is>
          <t>Regelprüfung 20.09.2026: Neue Regel. Die fehlende Kennzeichnung war mit dem nicht prüfbaren Ölstand in einer Frage gebündelt und wurde mit Mittel überbewertet: Sie ist ein Mangel ohne unmittelbaren Gefährdungsbeitrag. Freigegeben 2026-09-20.</t>
        </is>
      </c>
      <c r="M318" s="3" t="n"/>
      <c r="N318" s="3" t="n"/>
    </row>
    <row r="319">
      <c r="A319" s="4" t="inlineStr">
        <is>
          <t>MF-G06</t>
        </is>
      </c>
      <c r="B319" s="4" t="inlineStr">
        <is>
          <t>Fehlende, beschädigte oder ungeeignete Puffer</t>
        </is>
      </c>
      <c r="C319" s="4" t="inlineStr">
        <is>
          <t>Schachtgrube</t>
        </is>
      </c>
      <c r="D319" s="4" t="inlineStr">
        <is>
          <t>MF-G06-R5</t>
        </is>
      </c>
      <c r="E319" s="4" t="n">
        <v>1</v>
      </c>
      <c r="F319" s="4" t="inlineStr">
        <is>
          <t>11.10 Puffer für Fahrkorb und Gegengewicht vorhanden? beantwortet</t>
        </is>
      </c>
      <c r="G319" s="4" t="inlineStr">
        <is>
          <t>Kein Risiko</t>
        </is>
      </c>
      <c r="H319" s="4" t="inlineStr">
        <is>
          <t>HIGH_CONFIDENCE</t>
        </is>
      </c>
      <c r="I319" s="4" t="inlineStr"/>
      <c r="J319" s="4" t="inlineStr">
        <is>
          <t>Zustand erhalten; bei der wiederkehrenden Prüfung und der Betreiberkontrolle erneut prüfen</t>
        </is>
      </c>
      <c r="K319" s="4" t="inlineStr"/>
      <c r="L319" s="4" t="inlineStr">
        <is>
          <t>Kein Risiko: keine Mangelregel trifft zu, alle Pflichtfragen beantwortet. Freigegeben 2026-09-20.</t>
        </is>
      </c>
      <c r="M319" s="3" t="n"/>
      <c r="N319" s="3" t="n"/>
    </row>
    <row r="320">
      <c r="A320" s="2" t="inlineStr">
        <is>
          <t>MF-G07</t>
        </is>
      </c>
      <c r="B320" s="2" t="inlineStr">
        <is>
          <t>Fehlende oder unzulängliche Abtrennung und Sicherung des Gegengewichts</t>
        </is>
      </c>
      <c r="C320" s="2" t="inlineStr">
        <is>
          <t>Schacht und Gegengewicht</t>
        </is>
      </c>
      <c r="D320" s="2" t="inlineStr">
        <is>
          <t>MF-G07-R1</t>
        </is>
      </c>
      <c r="E320" s="2" t="n">
        <v>100</v>
      </c>
      <c r="F320" s="2" t="inlineStr">
        <is>
          <t>11.11 Abtrennung der Gegengewichtsfahrbahn in der Grube = „Keine Abtrennung"</t>
        </is>
      </c>
      <c r="G320" s="2" t="inlineStr">
        <is>
          <t>Hoch</t>
        </is>
      </c>
      <c r="H320" s="2" t="inlineStr">
        <is>
          <t>HIGH_CONFIDENCE</t>
        </is>
      </c>
      <c r="I320" s="2" t="inlineStr"/>
      <c r="J320" s="2" t="inlineStr">
        <is>
          <t>Grube nicht betreten oder Anlage vorher stilllegen</t>
        </is>
      </c>
      <c r="K320" s="2" t="inlineStr">
        <is>
          <t>Abtrennung der Gegengewichtsfahrbahn von höchstens 0,30 m bis mindestens 2,0 m über der Schachtgrubensohle in der Breite des Gegengewichts herstellen</t>
        </is>
      </c>
      <c r="L320" s="2" t="inlineStr">
        <is>
          <t>[Prüfbericht: B03 – Maß nach TRBS 3121 Anh. 1 Nr. 2 (2,0 m über Grubensohle); 2,50 m über unterster Haltestelle gilt für Nachbaraufzüge (Nr. 3)] Freigegeben 2026-09-20.</t>
        </is>
      </c>
      <c r="M320" s="3" t="n"/>
      <c r="N320" s="3" t="n"/>
    </row>
    <row r="321">
      <c r="A321" s="4" t="inlineStr">
        <is>
          <t>MF-G07</t>
        </is>
      </c>
      <c r="B321" s="4" t="inlineStr">
        <is>
          <t>Fehlende oder unzulängliche Abtrennung und Sicherung des Gegengewichts</t>
        </is>
      </c>
      <c r="C321" s="4" t="inlineStr">
        <is>
          <t>Schacht und Gegengewicht</t>
        </is>
      </c>
      <c r="D321" s="4" t="inlineStr">
        <is>
          <t>MF-G07-R2</t>
        </is>
      </c>
      <c r="E321" s="4" t="n">
        <v>100</v>
      </c>
      <c r="F321" s="4" t="inlineStr">
        <is>
          <t>11.12 Gegengewichtsfüllung gegen Herausfallen gesichert (Rahmen)? = Nein</t>
        </is>
      </c>
      <c r="G321" s="4" t="inlineStr">
        <is>
          <t>Hoch</t>
        </is>
      </c>
      <c r="H321" s="4" t="inlineStr">
        <is>
          <t>HIGH_CONFIDENCE</t>
        </is>
      </c>
      <c r="I321" s="4" t="inlineStr"/>
      <c r="J321" s="4" t="inlineStr">
        <is>
          <t>Bereich unter dem Gegengewicht sperren</t>
        </is>
      </c>
      <c r="K321" s="4" t="inlineStr">
        <is>
          <t>Füllung sichern oder geschlossenen Rahmen nachrüsten</t>
        </is>
      </c>
      <c r="L321" s="4" t="inlineStr">
        <is>
          <t>Freigegeben 2026-09-20.</t>
        </is>
      </c>
      <c r="M321" s="3" t="n"/>
      <c r="N321" s="3" t="n"/>
    </row>
    <row r="322">
      <c r="A322" s="2" t="inlineStr">
        <is>
          <t>MF-G07</t>
        </is>
      </c>
      <c r="B322" s="2" t="inlineStr">
        <is>
          <t>Fehlende oder unzulängliche Abtrennung und Sicherung des Gegengewichts</t>
        </is>
      </c>
      <c r="C322" s="2" t="inlineStr">
        <is>
          <t>Schacht und Gegengewicht</t>
        </is>
      </c>
      <c r="D322" s="2" t="inlineStr">
        <is>
          <t>MF-G07-R3</t>
        </is>
      </c>
      <c r="E322" s="2" t="n">
        <v>100</v>
      </c>
      <c r="F322" s="2" t="inlineStr">
        <is>
          <t>11.13 Fangvorrichtung am Gegengewicht (oder durchgehendes Fundament) bei betretbarem Raum unter der Grube? = Nein</t>
        </is>
      </c>
      <c r="G322" s="2" t="inlineStr">
        <is>
          <t>Hoch</t>
        </is>
      </c>
      <c r="H322" s="2" t="inlineStr">
        <is>
          <t>HIGH_CONFIDENCE</t>
        </is>
      </c>
      <c r="I322" s="2" t="inlineStr"/>
      <c r="J322" s="2" t="inlineStr">
        <is>
          <t>Raum unterhalb des Schachtes sperren</t>
        </is>
      </c>
      <c r="K322" s="2" t="inlineStr">
        <is>
          <t>Fangvorrichtung am Gegengewicht nachrüsten oder Raum dauerhaft unzugänglich machen</t>
        </is>
      </c>
      <c r="L322" s="2" t="inlineStr">
        <is>
          <t>Freigegeben 2026-09-20.</t>
        </is>
      </c>
      <c r="M322" s="3" t="n"/>
      <c r="N322" s="3" t="n"/>
    </row>
    <row r="323">
      <c r="A323" s="4" t="inlineStr">
        <is>
          <t>MF-G07</t>
        </is>
      </c>
      <c r="B323" s="4" t="inlineStr">
        <is>
          <t>Fehlende oder unzulängliche Abtrennung und Sicherung des Gegengewichts</t>
        </is>
      </c>
      <c r="C323" s="4" t="inlineStr">
        <is>
          <t>Schacht und Gegengewicht</t>
        </is>
      </c>
      <c r="D323" s="4" t="inlineStr">
        <is>
          <t>MF-G07-R4</t>
        </is>
      </c>
      <c r="E323" s="4" t="n">
        <v>100</v>
      </c>
      <c r="F323" s="4" t="inlineStr">
        <is>
          <t>11.11 Abtrennung der Gegengewichtsfahrbahn in der Grube = „Vorhanden, aber zu niedrig oder grobmaschig"</t>
        </is>
      </c>
      <c r="G323" s="4" t="inlineStr">
        <is>
          <t>Mittel</t>
        </is>
      </c>
      <c r="H323" s="4" t="inlineStr">
        <is>
          <t>HIGH_CONFIDENCE</t>
        </is>
      </c>
      <c r="I323" s="4" t="inlineStr"/>
      <c r="J323" s="4" t="inlineStr">
        <is>
          <t>Vor dem Betreten der Grube Not-Halt betätigen bzw. Anlage freischalten und gegen Wiedereinschalten sichern; Gefahrstelle am Gegengewicht kennzeichnen</t>
        </is>
      </c>
      <c r="K323" s="4" t="inlineStr">
        <is>
          <t>Abtrennung nach DIN EN 81-20, 5.2.5.5.2 ertüchtigen</t>
        </is>
      </c>
      <c r="L323" s="4" t="inlineStr">
        <is>
          <t>Regelprüfung 20.09.2026: Ein Warnhinweis schützt niemanden, der die Grube betreten muss, und „sichere Position einnehmen" ist ein Appell zur Vorsicht. Gesichert wird jetzt vor dem Betreten. [Prüfbericht: B03 – organisatorische Maßnahme nach TRBS 3121 Anh. 1 Nr. 2] Freigegeben 2026-09-20.</t>
        </is>
      </c>
      <c r="M323" s="3" t="n"/>
      <c r="N323" s="3" t="n"/>
    </row>
    <row r="324">
      <c r="A324" s="2" t="inlineStr">
        <is>
          <t>MF-G07</t>
        </is>
      </c>
      <c r="B324" s="2" t="inlineStr">
        <is>
          <t>Fehlende oder unzulängliche Abtrennung und Sicherung des Gegengewichts</t>
        </is>
      </c>
      <c r="C324" s="2" t="inlineStr">
        <is>
          <t>Schacht und Gegengewicht</t>
        </is>
      </c>
      <c r="D324" s="2" t="inlineStr">
        <is>
          <t>MF-G07-R5</t>
        </is>
      </c>
      <c r="E324" s="2" t="n">
        <v>1</v>
      </c>
      <c r="F324" s="2" t="inlineStr">
        <is>
          <t>11.11 Abtrennung der Gegengewichtsfahrbahn in der Grube beantwortet</t>
        </is>
      </c>
      <c r="G324" s="2" t="inlineStr">
        <is>
          <t>Kein Risiko</t>
        </is>
      </c>
      <c r="H324" s="2" t="inlineStr">
        <is>
          <t>HIGH_CONFIDENCE</t>
        </is>
      </c>
      <c r="I324" s="2" t="inlineStr"/>
      <c r="J324" s="2" t="inlineStr">
        <is>
          <t>Zustand erhalten; bei der wiederkehrenden Prüfung und der Betreiberkontrolle erneut prüfen</t>
        </is>
      </c>
      <c r="K324" s="2" t="inlineStr"/>
      <c r="L324" s="2" t="inlineStr">
        <is>
          <t>Kein Risiko: keine Mangelregel trifft zu, alle Pflichtfragen beantwortet. Freigegeben 2026-09-20.</t>
        </is>
      </c>
      <c r="M324" s="3" t="n"/>
      <c r="N324" s="3" t="n"/>
    </row>
    <row r="325">
      <c r="A325" s="4" t="inlineStr">
        <is>
          <t>MF-G08</t>
        </is>
      </c>
      <c r="B325" s="4" t="inlineStr">
        <is>
          <t>Fehlende Abtrennung zum Nachbaraufzug in der Schachtgrube</t>
        </is>
      </c>
      <c r="C325" s="4" t="inlineStr">
        <is>
          <t>Schacht und Gegengewicht</t>
        </is>
      </c>
      <c r="D325" s="4" t="inlineStr">
        <is>
          <t>MF-G08-R3</t>
        </is>
      </c>
      <c r="E325" s="4" t="n">
        <v>210</v>
      </c>
      <c r="F325" s="4" t="inlineStr">
        <is>
          <t>(11.14 Abtrennung zum Nachbaraufzug in der Schachtgrube vorhanden? = Nein UND 11.14a Einrichtung zum automatischen Abschalten des Nachbaraufzugs bei Arbeiten in der Schachtgrube vorhanden? = Ja UND 11.14b Automatische Abschaltung in der Funktion geprüft, alle Nachbaranlagen erfasst und Wirkung bei Inspektions- und Rückholbetrieb bestätigt? = Nein)</t>
        </is>
      </c>
      <c r="G325" s="4" t="inlineStr">
        <is>
          <t>Hoch</t>
        </is>
      </c>
      <c r="H325" s="4" t="inlineStr">
        <is>
          <t>INFERRED</t>
        </is>
      </c>
      <c r="I325" s="4" t="inlineStr"/>
      <c r="J325" s="4" t="inlineStr">
        <is>
          <t>Nachbaraufzug zusätzlich von Hand abschalten und gegen Wiedereinschalten sichern</t>
        </is>
      </c>
      <c r="K325" s="4" t="inlineStr">
        <is>
          <t>Funktion der automatischen Abschaltung für alle Nachbaranlagen prüfen und dokumentieren</t>
        </is>
      </c>
      <c r="L325" s="4" t="inlineStr">
        <is>
          <t>Prüfbericht 20.09.2026: fail-closed – ohne Funktionsnachweis ist die automatische Abschaltung keine wirksame Kompensation und senkt die Stufe der fehlenden Abtrennung nicht (vorher Mittel). [Prüfbericht: Prüfbericht 16.09.2026 – Abschaltung ohne Funktionsnachweis] Freigegeben 2026-09-20.</t>
        </is>
      </c>
      <c r="M325" s="3" t="n"/>
      <c r="N325" s="3" t="n"/>
    </row>
    <row r="326">
      <c r="A326" s="2" t="inlineStr">
        <is>
          <t>MF-G08</t>
        </is>
      </c>
      <c r="B326" s="2" t="inlineStr">
        <is>
          <t>Fehlende Abtrennung zum Nachbaraufzug in der Schachtgrube</t>
        </is>
      </c>
      <c r="C326" s="2" t="inlineStr">
        <is>
          <t>Schacht und Gegengewicht</t>
        </is>
      </c>
      <c r="D326" s="2" t="inlineStr">
        <is>
          <t>MF-G08-R4</t>
        </is>
      </c>
      <c r="E326" s="2" t="n">
        <v>200</v>
      </c>
      <c r="F326" s="2" t="inlineStr">
        <is>
          <t>(11.14 Abtrennung zum Nachbaraufzug in der Schachtgrube vorhanden? = Nein UND 11.14a Einrichtung zum automatischen Abschalten des Nachbaraufzugs bei Arbeiten in der Schachtgrube vorhanden? = Ja UND 11.14b Automatische Abschaltung in der Funktion geprüft, alle Nachbaranlagen erfasst und Wirkung bei Inspektions- und Rückholbetrieb bestätigt? = Ja)</t>
        </is>
      </c>
      <c r="G326" s="2" t="inlineStr">
        <is>
          <t>Kein Risiko</t>
        </is>
      </c>
      <c r="H326" s="2" t="inlineStr">
        <is>
          <t>HIGH_CONFIDENCE</t>
        </is>
      </c>
      <c r="I326" s="2" t="inlineStr"/>
      <c r="J326" s="2" t="inlineStr"/>
      <c r="K326" s="2" t="inlineStr"/>
      <c r="L326" s="2" t="inlineStr">
        <is>
          <t>TRBS 3121 Anh. 1 Nr. 3 b): automatische Abschaltung des Nachbaraufzugs ist gleichwertige Alternative. [Prüfbericht: H03 – neu: Alternative automatische Abschaltung] Freigegeben 2026-09-20.</t>
        </is>
      </c>
      <c r="M326" s="3" t="n"/>
      <c r="N326" s="3" t="n"/>
    </row>
    <row r="327">
      <c r="A327" s="4" t="inlineStr">
        <is>
          <t>MF-G08</t>
        </is>
      </c>
      <c r="B327" s="4" t="inlineStr">
        <is>
          <t>Fehlende Abtrennung zum Nachbaraufzug in der Schachtgrube</t>
        </is>
      </c>
      <c r="C327" s="4" t="inlineStr">
        <is>
          <t>Schacht und Gegengewicht</t>
        </is>
      </c>
      <c r="D327" s="4" t="inlineStr">
        <is>
          <t>MF-G08-R1</t>
        </is>
      </c>
      <c r="E327" s="4" t="n">
        <v>100</v>
      </c>
      <c r="F327" s="4" t="inlineStr">
        <is>
          <t>11.14 Abtrennung zum Nachbaraufzug in der Schachtgrube vorhanden? = Nein</t>
        </is>
      </c>
      <c r="G327" s="4" t="inlineStr">
        <is>
          <t>Hoch</t>
        </is>
      </c>
      <c r="H327" s="4" t="inlineStr">
        <is>
          <t>HIGH_CONFIDENCE</t>
        </is>
      </c>
      <c r="I327" s="4" t="inlineStr"/>
      <c r="J327" s="4" t="inlineStr">
        <is>
          <t>Vor Betreten der Schachtgrube den Nachbaraufzug abschalten und gegen Wiedereinschalten sichern</t>
        </is>
      </c>
      <c r="K327" s="4" t="inlineStr">
        <is>
          <t>Abtrennung von höchstens 0,30 m über dem Grubenboden bis 2,50 m über dem Niveau der untersten Haltestelle nachrüsten oder automatische Abschaltung des Nachbaraufzugs vorsehen</t>
        </is>
      </c>
      <c r="L327" s="4" t="inlineStr">
        <is>
          <t>[Prüfbericht: H03 – Maßnahme benennt den Nachbaraufzug und die Alternativen] Freigegeben 2026-09-20.</t>
        </is>
      </c>
      <c r="M327" s="3" t="n"/>
      <c r="N327" s="3" t="n"/>
    </row>
    <row r="328">
      <c r="A328" s="2" t="inlineStr">
        <is>
          <t>MF-G08</t>
        </is>
      </c>
      <c r="B328" s="2" t="inlineStr">
        <is>
          <t>Fehlende Abtrennung zum Nachbaraufzug in der Schachtgrube</t>
        </is>
      </c>
      <c r="C328" s="2" t="inlineStr">
        <is>
          <t>Schacht und Gegengewicht</t>
        </is>
      </c>
      <c r="D328" s="2" t="inlineStr">
        <is>
          <t>MF-G08-R2</t>
        </is>
      </c>
      <c r="E328" s="2" t="n">
        <v>1</v>
      </c>
      <c r="F328" s="2" t="inlineStr">
        <is>
          <t>11.14 Abtrennung zum Nachbaraufzug in der Schachtgrube vorhanden? beantwortet</t>
        </is>
      </c>
      <c r="G328" s="2" t="inlineStr">
        <is>
          <t>Kein Risiko</t>
        </is>
      </c>
      <c r="H328" s="2" t="inlineStr">
        <is>
          <t>HIGH_CONFIDENCE</t>
        </is>
      </c>
      <c r="I328" s="2" t="inlineStr"/>
      <c r="J328" s="2" t="inlineStr">
        <is>
          <t>Zustand erhalten; bei der wiederkehrenden Prüfung und der Betreiberkontrolle erneut prüfen</t>
        </is>
      </c>
      <c r="K328" s="2" t="inlineStr"/>
      <c r="L328" s="2" t="inlineStr">
        <is>
          <t>Kein Risiko: keine Mangelregel trifft zu, alle Pflichtfragen beantwortet. Freigegeben 2026-09-20.</t>
        </is>
      </c>
      <c r="M328" s="3" t="n"/>
      <c r="N328" s="3" t="n"/>
    </row>
    <row r="329">
      <c r="A329" s="4" t="inlineStr">
        <is>
          <t>MF-U01</t>
        </is>
      </c>
      <c r="B329" s="4" t="inlineStr">
        <is>
          <t>Asbesthaltige oder andere schädliche Baustoffe im Bereich der Anlage</t>
        </is>
      </c>
      <c r="C329" s="4" t="inlineStr">
        <is>
          <t>Umfeld und Gefahrstoffe</t>
        </is>
      </c>
      <c r="D329" s="4" t="inlineStr">
        <is>
          <t>MF-U01-R7</t>
        </is>
      </c>
      <c r="E329" s="4" t="n">
        <v>200</v>
      </c>
      <c r="F329" s="4" t="inlineStr">
        <is>
          <t>(5.60 Asbesthaltige oder andere schädliche Baustoffe im Zugangsbereich zum Triebwerksraum (Bremsbeläge, Dichtungen, Brandschutzplatten, Isolierungen)? = Ja UND 5.60a Zustand des Fundes im Zugangsbereich zum Triebwerksraum in [„Schwach gebunden, beschädigt oder abriebbelastet (Bruchstellen, Abrieb, Staubablagerungen)", „Zustand nicht beurteilbar"])</t>
        </is>
      </c>
      <c r="G329" s="4" t="inlineStr">
        <is>
          <t>Hoch</t>
        </is>
      </c>
      <c r="H329" s="4" t="inlineStr">
        <is>
          <t>HIGH_CONFIDENCE</t>
        </is>
      </c>
      <c r="I329" s="4" t="inlineStr"/>
      <c r="J329" s="4" t="inlineStr">
        <is>
          <t>Zugangsbereich zum Triebwerksraum: Keine Tätigkeiten, die das Material beschädigen (Bohren, Schleifen, Stemmen); Fundstelle kennzeichnen und Betreiber schriftlich informieren</t>
        </is>
      </c>
      <c r="K329" s="4" t="inlineStr">
        <is>
          <t>Zugangsbereich zum Triebwerksraum: Fundstelle durch Sachkundige nach der für den festgestellten Stoff einschlägigen TRGS (TRGS 519 Asbest, TRGS 521 künstliche Mineralfasern, TRGS 524 Arbeiten in kontaminierten Bereichen) bewerten und sanieren lassen; Tätigkeiten bis dahin nur nach dieser TRGS</t>
        </is>
      </c>
      <c r="L329" s="4" t="inlineStr">
        <is>
          <t>Regelprüfung 20.09.2026: Hoch bleibt für beschädigtes, schwach gebundenes oder abriebbelastetes Material – und ausdrücklich auch für den nicht beurteilbaren Zustand (fail-closed: die Abstufung darf nicht dazu führen, dass ein ungeprüfter Fund günstiger bewertet wird als vorher). Der Maßnahmentext nennt nicht mehr nur die TRGS 519, sondern die für den festgestellten Stoff einschlägige TRGS; auf die Asbest-Richtlinie wird bewusst nicht verwiesen, sie ist in mehreren Ländern zurückgezogen. [Prüfbericht: Regelprüfung 20.09.2026 – Zustandsabstufung neu, Klärung K-U01 deckt den geänderten Inhalt nicht mehr] Frühere Klärung (vor der Änderung entschieden): K-U01 Freigegeben 2026-09-20.</t>
        </is>
      </c>
      <c r="M329" s="3" t="n"/>
      <c r="N329" s="3" t="n"/>
    </row>
    <row r="330">
      <c r="A330" s="2" t="inlineStr">
        <is>
          <t>MF-U01</t>
        </is>
      </c>
      <c r="B330" s="2" t="inlineStr">
        <is>
          <t>Asbesthaltige oder andere schädliche Baustoffe im Bereich der Anlage</t>
        </is>
      </c>
      <c r="C330" s="2" t="inlineStr">
        <is>
          <t>Umfeld und Gefahrstoffe</t>
        </is>
      </c>
      <c r="D330" s="2" t="inlineStr">
        <is>
          <t>MF-U01-R8</t>
        </is>
      </c>
      <c r="E330" s="2" t="n">
        <v>100</v>
      </c>
      <c r="F330" s="2" t="inlineStr">
        <is>
          <t>(5.60 Asbesthaltige oder andere schädliche Baustoffe im Zugangsbereich zum Triebwerksraum (Bremsbeläge, Dichtungen, Brandschutzplatten, Isolierungen)? = Ja UND 5.60a Zustand des Fundes im Zugangsbereich zum Triebwerksraum = „Fest gebunden und unbeschädigt (z. B. Asbestzementplatte, Dichtung, Brandschutzplatte ohne Bruchstellen)")</t>
        </is>
      </c>
      <c r="G330" s="2" t="inlineStr">
        <is>
          <t>Mittel</t>
        </is>
      </c>
      <c r="H330" s="2" t="inlineStr">
        <is>
          <t>HIGH_CONFIDENCE</t>
        </is>
      </c>
      <c r="I330" s="2" t="inlineStr"/>
      <c r="J330" s="2" t="inlineStr">
        <is>
          <t>Zugangsbereich zum Triebwerksraum: Keine Tätigkeiten, die das Material beschädigen (Bohren, Schleifen, Stemmen); Fundstelle kennzeichnen und Betreiber schriftlich informieren</t>
        </is>
      </c>
      <c r="K330" s="2" t="inlineStr">
        <is>
          <t>Zugangsbereich zum Triebwerksraum: Fund in das Gebäudeschadstoffkataster aufnehmen und dauerhaft kennzeichnen; Zustandsbewertung und wiederkehrende Zustandskontrolle durch Sachkundige veranlassen; bei Tätigkeiten am Material die einschlägige TRGS (519/521/524) anwenden</t>
        </is>
      </c>
      <c r="L330" s="2" t="inlineStr">
        <is>
          <t>Regelprüfung 20.09.2026: Hoch auf Mittel für den fest gebundenen, unbeschädigten Fund: Er setzt ohne Bearbeitung keine Fasern frei, die Gefahr entsteht erst bei einem zusätzlichen Ereignis. Die Maßnahmen bleiben auf Mittel-Niveau (Bearbeitungsverbot, Kennzeichnung, Kataster, wiederkehrende Zustandskontrolle) – eine Stilllegung ordnete auch die alte Hoch-Regel nicht an. [Prüfbericht: Regelprüfung 20.09.2026 – Zustandsabstufung neu, Klärung K-U01 deckt den geänderten Inhalt nicht mehr] Frühere Klärung (vor der Änderung entschieden): K-U01 Freigegeben 2026-09-20.</t>
        </is>
      </c>
      <c r="M330" s="3" t="n"/>
      <c r="N330" s="3" t="n"/>
    </row>
    <row r="331">
      <c r="A331" s="4" t="inlineStr">
        <is>
          <t>MF-U01</t>
        </is>
      </c>
      <c r="B331" s="4" t="inlineStr">
        <is>
          <t>Asbesthaltige oder andere schädliche Baustoffe im Bereich der Anlage</t>
        </is>
      </c>
      <c r="C331" s="4" t="inlineStr">
        <is>
          <t>Umfeld und Gefahrstoffe</t>
        </is>
      </c>
      <c r="D331" s="4" t="inlineStr">
        <is>
          <t>MF-U01-R9</t>
        </is>
      </c>
      <c r="E331" s="4" t="n">
        <v>300</v>
      </c>
      <c r="F331" s="4" t="inlineStr">
        <is>
          <t>(5.61 Asbesthaltige oder andere schädliche Baustoffe im Triebwerks-/Maschinenraum (Bremsbeläge, Dichtungen, Brandschutzplatten, Isolierungen)? = Ja UND 5.61a Zustand des Fundes im Triebwerks-/Maschinenraum = „Asbesthaltige Bremsbeläge oder Bremsstaubablagerungen an Maschine oder Bremse")</t>
        </is>
      </c>
      <c r="G331" s="4" t="inlineStr">
        <is>
          <t>Hoch</t>
        </is>
      </c>
      <c r="H331" s="4" t="inlineStr">
        <is>
          <t>HIGH_CONFIDENCE</t>
        </is>
      </c>
      <c r="I331" s="4" t="inlineStr"/>
      <c r="J331" s="4" t="inlineStr">
        <is>
          <t>Triebwerks-/Maschinenraum: Keine trockene Reinigung, kein Ausblasen; Bremsstaub nur mit Staubsauger der Staubklasse H aufnehmen. Keine Tätigkeiten an Bremse oder Belägen; Fundstelle kennzeichnen und Betreiber schriftlich informieren</t>
        </is>
      </c>
      <c r="K331" s="4" t="inlineStr">
        <is>
          <t>Triebwerks-/Maschinenraum: Asbesthaltige Bremsbeläge durch Sachkundige nach TRGS 519 austauschen und den Raum fachgerecht reinigen lassen; Tätigkeiten bis dahin nur nach TRGS 519</t>
        </is>
      </c>
      <c r="L331" s="4" t="inlineStr">
        <is>
          <t>Regelprüfung 20.09.2026: Asbesthaltige Bremsbeläge und Bremsstaub werden im bestimmungsgemäßen Betrieb bei jedem Halt abgerieben – die Freisetzung erfolgt ohne weiteres Zutun. Dieser Fall bleibt Hoch, unabhängig vom Zustand des übrigen Materials, und bekommt eine eigene Sofortmaßnahme (Staubklasse H). [Prüfbericht: Regelprüfung 20.09.2026 – Zustandsabstufung neu, Klärung K-U01 deckt den geänderten Inhalt nicht mehr] Frühere Klärung (vor der Änderung entschieden): K-U01 Freigegeben 2026-09-20.</t>
        </is>
      </c>
      <c r="M331" s="3" t="n"/>
      <c r="N331" s="3" t="n"/>
    </row>
    <row r="332">
      <c r="A332" s="2" t="inlineStr">
        <is>
          <t>MF-U01</t>
        </is>
      </c>
      <c r="B332" s="2" t="inlineStr">
        <is>
          <t>Asbesthaltige oder andere schädliche Baustoffe im Bereich der Anlage</t>
        </is>
      </c>
      <c r="C332" s="2" t="inlineStr">
        <is>
          <t>Umfeld und Gefahrstoffe</t>
        </is>
      </c>
      <c r="D332" s="2" t="inlineStr">
        <is>
          <t>MF-U01-R10</t>
        </is>
      </c>
      <c r="E332" s="2" t="n">
        <v>200</v>
      </c>
      <c r="F332" s="2" t="inlineStr">
        <is>
          <t>(5.61 Asbesthaltige oder andere schädliche Baustoffe im Triebwerks-/Maschinenraum (Bremsbeläge, Dichtungen, Brandschutzplatten, Isolierungen)? = Ja UND 5.61a Zustand des Fundes im Triebwerks-/Maschinenraum in [„Schwach gebunden, beschädigt oder abriebbelastet (Bruchstellen, Abrieb, Staubablagerungen)", „Zustand nicht beurteilbar"])</t>
        </is>
      </c>
      <c r="G332" s="2" t="inlineStr">
        <is>
          <t>Hoch</t>
        </is>
      </c>
      <c r="H332" s="2" t="inlineStr">
        <is>
          <t>HIGH_CONFIDENCE</t>
        </is>
      </c>
      <c r="I332" s="2" t="inlineStr"/>
      <c r="J332" s="2" t="inlineStr">
        <is>
          <t>Triebwerks-/Maschinenraum: Keine Tätigkeiten, die das Material beschädigen (Bohren, Schleifen, Stemmen); Fundstelle kennzeichnen und Betreiber schriftlich informieren</t>
        </is>
      </c>
      <c r="K332" s="2" t="inlineStr">
        <is>
          <t>Triebwerks-/Maschinenraum: Fundstelle durch Sachkundige nach der für den festgestellten Stoff einschlägigen TRGS (TRGS 519 Asbest, TRGS 521 künstliche Mineralfasern, TRGS 524 Arbeiten in kontaminierten Bereichen) bewerten und sanieren lassen; Tätigkeiten bis dahin nur nach dieser TRGS</t>
        </is>
      </c>
      <c r="L332" s="2" t="inlineStr">
        <is>
          <t>Regelprüfung 20.09.2026: Hoch bleibt für beschädigtes, schwach gebundenes oder abriebbelastetes Material – und ausdrücklich auch für den nicht beurteilbaren Zustand (fail-closed: die Abstufung darf nicht dazu führen, dass ein ungeprüfter Fund günstiger bewertet wird als vorher). Der Maßnahmentext nennt nicht mehr nur die TRGS 519, sondern die für den festgestellten Stoff einschlägige TRGS; auf die Asbest-Richtlinie wird bewusst nicht verwiesen, sie ist in mehreren Ländern zurückgezogen. [Prüfbericht: Regelprüfung 20.09.2026 – Zustandsabstufung neu, Klärung K-U01 deckt den geänderten Inhalt nicht mehr] Frühere Klärung (vor der Änderung entschieden): K-U01 Freigegeben 2026-09-20.</t>
        </is>
      </c>
      <c r="M332" s="3" t="n"/>
      <c r="N332" s="3" t="n"/>
    </row>
    <row r="333">
      <c r="A333" s="4" t="inlineStr">
        <is>
          <t>MF-U01</t>
        </is>
      </c>
      <c r="B333" s="4" t="inlineStr">
        <is>
          <t>Asbesthaltige oder andere schädliche Baustoffe im Bereich der Anlage</t>
        </is>
      </c>
      <c r="C333" s="4" t="inlineStr">
        <is>
          <t>Umfeld und Gefahrstoffe</t>
        </is>
      </c>
      <c r="D333" s="4" t="inlineStr">
        <is>
          <t>MF-U01-R11</t>
        </is>
      </c>
      <c r="E333" s="4" t="n">
        <v>100</v>
      </c>
      <c r="F333" s="4" t="inlineStr">
        <is>
          <t>(5.61 Asbesthaltige oder andere schädliche Baustoffe im Triebwerks-/Maschinenraum (Bremsbeläge, Dichtungen, Brandschutzplatten, Isolierungen)? = Ja UND 5.61a Zustand des Fundes im Triebwerks-/Maschinenraum = „Fest gebunden und unbeschädigt (z. B. Asbestzementplatte, Dichtung, Brandschutzplatte ohne Bruchstellen)")</t>
        </is>
      </c>
      <c r="G333" s="4" t="inlineStr">
        <is>
          <t>Mittel</t>
        </is>
      </c>
      <c r="H333" s="4" t="inlineStr">
        <is>
          <t>HIGH_CONFIDENCE</t>
        </is>
      </c>
      <c r="I333" s="4" t="inlineStr"/>
      <c r="J333" s="4" t="inlineStr">
        <is>
          <t>Triebwerks-/Maschinenraum: Keine Tätigkeiten, die das Material beschädigen (Bohren, Schleifen, Stemmen); Fundstelle kennzeichnen und Betreiber schriftlich informieren</t>
        </is>
      </c>
      <c r="K333" s="4" t="inlineStr">
        <is>
          <t>Triebwerks-/Maschinenraum: Fund in das Gebäudeschadstoffkataster aufnehmen und dauerhaft kennzeichnen; Zustandsbewertung und wiederkehrende Zustandskontrolle durch Sachkundige veranlassen; bei Tätigkeiten am Material die einschlägige TRGS (519/521/524) anwenden</t>
        </is>
      </c>
      <c r="L333" s="4" t="inlineStr">
        <is>
          <t>Regelprüfung 20.09.2026: Hoch auf Mittel für den fest gebundenen, unbeschädigten Fund: Er setzt ohne Bearbeitung keine Fasern frei, die Gefahr entsteht erst bei einem zusätzlichen Ereignis. Die Maßnahmen bleiben auf Mittel-Niveau (Bearbeitungsverbot, Kennzeichnung, Kataster, wiederkehrende Zustandskontrolle) – eine Stilllegung ordnete auch die alte Hoch-Regel nicht an. [Prüfbericht: Regelprüfung 20.09.2026 – Zustandsabstufung neu, Klärung K-U01 deckt den geänderten Inhalt nicht mehr] Frühere Klärung (vor der Änderung entschieden): K-U01 Freigegeben 2026-09-20.</t>
        </is>
      </c>
      <c r="M333" s="3" t="n"/>
      <c r="N333" s="3" t="n"/>
    </row>
    <row r="334">
      <c r="A334" s="2" t="inlineStr">
        <is>
          <t>MF-U01</t>
        </is>
      </c>
      <c r="B334" s="2" t="inlineStr">
        <is>
          <t>Asbesthaltige oder andere schädliche Baustoffe im Bereich der Anlage</t>
        </is>
      </c>
      <c r="C334" s="2" t="inlineStr">
        <is>
          <t>Umfeld und Gefahrstoffe</t>
        </is>
      </c>
      <c r="D334" s="2" t="inlineStr">
        <is>
          <t>MF-U01-R12</t>
        </is>
      </c>
      <c r="E334" s="2" t="n">
        <v>200</v>
      </c>
      <c r="F334" s="2" t="inlineStr">
        <is>
          <t>(10.20 Asbesthaltige oder andere schädliche Baustoffe im Schacht / am Fahrkorb (Bremsbeläge, Dichtungen, Brandschutzplatten, Isolierungen)? = Ja UND 10.20a Zustand des Fundes im Schacht / am Fahrkorb in [„Schwach gebunden, beschädigt oder abriebbelastet (Bruchstellen, Abrieb, Staubablagerungen)", „Zustand nicht beurteilbar"])</t>
        </is>
      </c>
      <c r="G334" s="2" t="inlineStr">
        <is>
          <t>Hoch</t>
        </is>
      </c>
      <c r="H334" s="2" t="inlineStr">
        <is>
          <t>HIGH_CONFIDENCE</t>
        </is>
      </c>
      <c r="I334" s="2" t="inlineStr"/>
      <c r="J334" s="2" t="inlineStr">
        <is>
          <t>Schacht / Fahrkorb: Keine Tätigkeiten, die das Material beschädigen (Bohren, Schleifen, Stemmen); Fundstelle kennzeichnen und Betreiber schriftlich informieren; Fahrkorb bis zur Bewertung außer Betrieb nehmen oder beschädigte Verkleidung staubdicht sichern</t>
        </is>
      </c>
      <c r="K334" s="2" t="inlineStr">
        <is>
          <t>Schacht / Fahrkorb: Fundstelle durch Sachkundige nach der für den festgestellten Stoff einschlägigen TRGS (TRGS 519 Asbest, TRGS 521 künstliche Mineralfasern, TRGS 524 Arbeiten in kontaminierten Bereichen) bewerten und sanieren lassen; Tätigkeiten bis dahin nur nach dieser TRGS</t>
        </is>
      </c>
      <c r="L334" s="2" t="inlineStr">
        <is>
          <t>Regelprüfung 20.09.2026: Hoch bleibt für beschädigtes, schwach gebundenes oder abriebbelastetes Material – und ausdrücklich auch für den nicht beurteilbaren Zustand (fail-closed: die Abstufung darf nicht dazu führen, dass ein ungeprüfter Fund günstiger bewertet wird als vorher). Der Maßnahmentext nennt nicht mehr nur die TRGS 519, sondern die für den festgestellten Stoff einschlägige TRGS; auf die Asbest-Richtlinie wird bewusst nicht verwiesen, sie ist in mehreren Ländern zurückgezogen. [Prüfbericht: Regelprüfung 20.09.2026 – Zustandsabstufung neu, Klärung K-U01 deckt den geänderten Inhalt nicht mehr] Frühere Klärung (vor der Änderung entschieden): K-U01 Freigegeben 2026-09-20.</t>
        </is>
      </c>
      <c r="M334" s="3" t="n"/>
      <c r="N334" s="3" t="n"/>
    </row>
    <row r="335">
      <c r="A335" s="4" t="inlineStr">
        <is>
          <t>MF-U01</t>
        </is>
      </c>
      <c r="B335" s="4" t="inlineStr">
        <is>
          <t>Asbesthaltige oder andere schädliche Baustoffe im Bereich der Anlage</t>
        </is>
      </c>
      <c r="C335" s="4" t="inlineStr">
        <is>
          <t>Umfeld und Gefahrstoffe</t>
        </is>
      </c>
      <c r="D335" s="4" t="inlineStr">
        <is>
          <t>MF-U01-R13</t>
        </is>
      </c>
      <c r="E335" s="4" t="n">
        <v>100</v>
      </c>
      <c r="F335" s="4" t="inlineStr">
        <is>
          <t>(10.20 Asbesthaltige oder andere schädliche Baustoffe im Schacht / am Fahrkorb (Bremsbeläge, Dichtungen, Brandschutzplatten, Isolierungen)? = Ja UND 10.20a Zustand des Fundes im Schacht / am Fahrkorb = „Fest gebunden und unbeschädigt (z. B. Asbestzementplatte, Dichtung, Brandschutzplatte ohne Bruchstellen)")</t>
        </is>
      </c>
      <c r="G335" s="4" t="inlineStr">
        <is>
          <t>Mittel</t>
        </is>
      </c>
      <c r="H335" s="4" t="inlineStr">
        <is>
          <t>HIGH_CONFIDENCE</t>
        </is>
      </c>
      <c r="I335" s="4" t="inlineStr"/>
      <c r="J335" s="4" t="inlineStr">
        <is>
          <t>Schacht / Fahrkorb: Keine Tätigkeiten, die das Material beschädigen (Bohren, Schleifen, Stemmen); Fundstelle kennzeichnen und Betreiber schriftlich informieren</t>
        </is>
      </c>
      <c r="K335" s="4" t="inlineStr">
        <is>
          <t>Schacht / Fahrkorb: Fund in das Gebäudeschadstoffkataster aufnehmen und dauerhaft kennzeichnen; Zustandsbewertung und wiederkehrende Zustandskontrolle durch Sachkundige veranlassen; bei Tätigkeiten am Material die einschlägige TRGS (519/521/524) anwenden</t>
        </is>
      </c>
      <c r="L335" s="4" t="inlineStr">
        <is>
          <t>Regelprüfung 20.09.2026: Hoch auf Mittel für den fest gebundenen, unbeschädigten Fund: Er setzt ohne Bearbeitung keine Fasern frei, die Gefahr entsteht erst bei einem zusätzlichen Ereignis. Die Maßnahmen bleiben auf Mittel-Niveau (Bearbeitungsverbot, Kennzeichnung, Kataster, wiederkehrende Zustandskontrolle) – eine Stilllegung ordnete auch die alte Hoch-Regel nicht an. [Prüfbericht: Regelprüfung 20.09.2026 – Zustandsabstufung neu, Klärung K-U01 deckt den geänderten Inhalt nicht mehr] Frühere Klärung (vor der Änderung entschieden): K-U01 Freigegeben 2026-09-20.</t>
        </is>
      </c>
      <c r="M335" s="3" t="n"/>
      <c r="N335" s="3" t="n"/>
    </row>
    <row r="336">
      <c r="A336" s="2" t="inlineStr">
        <is>
          <t>MF-U01</t>
        </is>
      </c>
      <c r="B336" s="2" t="inlineStr">
        <is>
          <t>Asbesthaltige oder andere schädliche Baustoffe im Bereich der Anlage</t>
        </is>
      </c>
      <c r="C336" s="2" t="inlineStr">
        <is>
          <t>Umfeld und Gefahrstoffe</t>
        </is>
      </c>
      <c r="D336" s="2" t="inlineStr">
        <is>
          <t>MF-U01-R14</t>
        </is>
      </c>
      <c r="E336" s="2" t="n">
        <v>200</v>
      </c>
      <c r="F336" s="2" t="inlineStr">
        <is>
          <t>(11.20 Asbesthaltige oder andere schädliche Baustoffe in der Schachtgrube (Bremsbeläge, Dichtungen, Brandschutzplatten, Isolierungen)? = Ja UND 11.20a Zustand des Fundes in der Schachtgrube in [„Schwach gebunden, beschädigt oder abriebbelastet (Bruchstellen, Abrieb, Staubablagerungen)", „Zustand nicht beurteilbar"])</t>
        </is>
      </c>
      <c r="G336" s="2" t="inlineStr">
        <is>
          <t>Hoch</t>
        </is>
      </c>
      <c r="H336" s="2" t="inlineStr">
        <is>
          <t>HIGH_CONFIDENCE</t>
        </is>
      </c>
      <c r="I336" s="2" t="inlineStr"/>
      <c r="J336" s="2" t="inlineStr">
        <is>
          <t>Schachtgrube: Keine Tätigkeiten, die das Material beschädigen (Bohren, Schleifen, Stemmen); Fundstelle kennzeichnen und Betreiber schriftlich informieren; Grube nicht trocken kehren oder ausblasen, Reinigung nur nass oder mit Sauger der Staubklasse H, bis die Beprobung vorliegt</t>
        </is>
      </c>
      <c r="K336" s="2" t="inlineStr">
        <is>
          <t>Schachtgrube: Fundstelle durch Sachkundige nach der für den festgestellten Stoff einschlägigen TRGS (TRGS 519 Asbest, TRGS 521 künstliche Mineralfasern, TRGS 524 Arbeiten in kontaminierten Bereichen) bewerten und sanieren lassen; Tätigkeiten bis dahin nur nach dieser TRGS</t>
        </is>
      </c>
      <c r="L336" s="2" t="inlineStr">
        <is>
          <t>Regelprüfung 20.09.2026: Hoch bleibt für beschädigtes, schwach gebundenes oder abriebbelastetes Material – und ausdrücklich auch für den nicht beurteilbaren Zustand (fail-closed: die Abstufung darf nicht dazu führen, dass ein ungeprüfter Fund günstiger bewertet wird als vorher). Der Maßnahmentext nennt nicht mehr nur die TRGS 519, sondern die für den festgestellten Stoff einschlägige TRGS; auf die Asbest-Richtlinie wird bewusst nicht verwiesen, sie ist in mehreren Ländern zurückgezogen. [Prüfbericht: Regelprüfung 20.09.2026 – Zustandsabstufung neu, Klärung K-U01 deckt den geänderten Inhalt nicht mehr] Frühere Klärung (vor der Änderung entschieden): K-U01 Freigegeben 2026-09-20.</t>
        </is>
      </c>
      <c r="M336" s="3" t="n"/>
      <c r="N336" s="3" t="n"/>
    </row>
    <row r="337">
      <c r="A337" s="4" t="inlineStr">
        <is>
          <t>MF-U01</t>
        </is>
      </c>
      <c r="B337" s="4" t="inlineStr">
        <is>
          <t>Asbesthaltige oder andere schädliche Baustoffe im Bereich der Anlage</t>
        </is>
      </c>
      <c r="C337" s="4" t="inlineStr">
        <is>
          <t>Umfeld und Gefahrstoffe</t>
        </is>
      </c>
      <c r="D337" s="4" t="inlineStr">
        <is>
          <t>MF-U01-R15</t>
        </is>
      </c>
      <c r="E337" s="4" t="n">
        <v>100</v>
      </c>
      <c r="F337" s="4" t="inlineStr">
        <is>
          <t>(11.20 Asbesthaltige oder andere schädliche Baustoffe in der Schachtgrube (Bremsbeläge, Dichtungen, Brandschutzplatten, Isolierungen)? = Ja UND 11.20a Zustand des Fundes in der Schachtgrube = „Fest gebunden und unbeschädigt (z. B. Asbestzementplatte, Dichtung, Brandschutzplatte ohne Bruchstellen)")</t>
        </is>
      </c>
      <c r="G337" s="4" t="inlineStr">
        <is>
          <t>Mittel</t>
        </is>
      </c>
      <c r="H337" s="4" t="inlineStr">
        <is>
          <t>HIGH_CONFIDENCE</t>
        </is>
      </c>
      <c r="I337" s="4" t="inlineStr"/>
      <c r="J337" s="4" t="inlineStr">
        <is>
          <t>Schachtgrube: Keine Tätigkeiten, die das Material beschädigen (Bohren, Schleifen, Stemmen); Fundstelle kennzeichnen und Betreiber schriftlich informieren</t>
        </is>
      </c>
      <c r="K337" s="4" t="inlineStr">
        <is>
          <t>Schachtgrube: Fund in das Gebäudeschadstoffkataster aufnehmen und dauerhaft kennzeichnen; Zustandsbewertung und wiederkehrende Zustandskontrolle durch Sachkundige veranlassen; bei Tätigkeiten am Material die einschlägige TRGS (519/521/524) anwenden</t>
        </is>
      </c>
      <c r="L337" s="4" t="inlineStr">
        <is>
          <t>Regelprüfung 20.09.2026: Hoch auf Mittel für den fest gebundenen, unbeschädigten Fund: Er setzt ohne Bearbeitung keine Fasern frei, die Gefahr entsteht erst bei einem zusätzlichen Ereignis. Die Maßnahmen bleiben auf Mittel-Niveau (Bearbeitungsverbot, Kennzeichnung, Kataster, wiederkehrende Zustandskontrolle) – eine Stilllegung ordnete auch die alte Hoch-Regel nicht an. [Prüfbericht: Regelprüfung 20.09.2026 – Zustandsabstufung neu, Klärung K-U01 deckt den geänderten Inhalt nicht mehr] Frühere Klärung (vor der Änderung entschieden): K-U01 Freigegeben 2026-09-20.</t>
        </is>
      </c>
      <c r="M337" s="3" t="n"/>
      <c r="N337" s="3" t="n"/>
    </row>
    <row r="338">
      <c r="A338" s="2" t="inlineStr">
        <is>
          <t>MF-U01</t>
        </is>
      </c>
      <c r="B338" s="2" t="inlineStr">
        <is>
          <t>Asbesthaltige oder andere schädliche Baustoffe im Bereich der Anlage</t>
        </is>
      </c>
      <c r="C338" s="2" t="inlineStr">
        <is>
          <t>Umfeld und Gefahrstoffe</t>
        </is>
      </c>
      <c r="D338" s="2" t="inlineStr">
        <is>
          <t>MF-U01-R5</t>
        </is>
      </c>
      <c r="E338" s="2" t="n">
        <v>100</v>
      </c>
      <c r="F338" s="2" t="inlineStr">
        <is>
          <t>15.11 Ist die Asbest-/Schadstoffsituation der Anlage unbekannt (Baujahr vor 1995, keine Unterlagen, keine Beprobung)? = Ja</t>
        </is>
      </c>
      <c r="G338" s="2" t="inlineStr">
        <is>
          <t>Mittel</t>
        </is>
      </c>
      <c r="H338" s="2" t="inlineStr">
        <is>
          <t>HIGH_CONFIDENCE</t>
        </is>
      </c>
      <c r="I338" s="2" t="inlineStr"/>
      <c r="J338" s="2" t="inlineStr">
        <is>
          <t>Vor Tätigkeiten, die Baustoffe beschädigen können, Schadstoffsituation klären; bis dahin solche Tätigkeiten unterlassen</t>
        </is>
      </c>
      <c r="K338" s="2" t="inlineStr">
        <is>
          <t>Schadstofferkundung (Probenahme) durch Sachkundige veranlassen und das Ergebnis in dieser Gefährdungsbeurteilung nachtragen</t>
        </is>
      </c>
      <c r="L338" s="2" t="inlineStr">
        <is>
          <t>[Prüfbericht: H06 – Unsicherheit ist kein bestätigter Befund: Mittel mit Erkundung statt Hoch mit Stillsetzung] Freigegeben 2026-09-20.</t>
        </is>
      </c>
      <c r="M338" s="3" t="n"/>
      <c r="N338" s="3" t="n"/>
    </row>
    <row r="339">
      <c r="A339" s="4" t="inlineStr">
        <is>
          <t>MF-U01</t>
        </is>
      </c>
      <c r="B339" s="4" t="inlineStr">
        <is>
          <t>Asbesthaltige oder andere schädliche Baustoffe im Bereich der Anlage</t>
        </is>
      </c>
      <c r="C339" s="4" t="inlineStr">
        <is>
          <t>Umfeld und Gefahrstoffe</t>
        </is>
      </c>
      <c r="D339" s="4" t="inlineStr">
        <is>
          <t>MF-U01-R6</t>
        </is>
      </c>
      <c r="E339" s="4" t="n">
        <v>1</v>
      </c>
      <c r="F339" s="4" t="inlineStr">
        <is>
          <t>5.60 Asbesthaltige oder andere schädliche Baustoffe im Zugangsbereich zum Triebwerksraum (Bremsbeläge, Dichtungen, Brandschutzplatten, Isolierungen)? beantwortet</t>
        </is>
      </c>
      <c r="G339" s="4" t="inlineStr">
        <is>
          <t>Kein Risiko</t>
        </is>
      </c>
      <c r="H339" s="4" t="inlineStr">
        <is>
          <t>HIGH_CONFIDENCE</t>
        </is>
      </c>
      <c r="I339" s="4" t="inlineStr"/>
      <c r="J339" s="4" t="inlineStr">
        <is>
          <t>Zustand erhalten; bei der wiederkehrenden Prüfung und der Betreiberkontrolle erneut prüfen</t>
        </is>
      </c>
      <c r="K339" s="4" t="inlineStr"/>
      <c r="L339" s="4" t="inlineStr">
        <is>
          <t>Kein Risiko: keine Mangelregel trifft zu, alle Pflichtfragen beantwortet. Freigegeben 2026-09-20.</t>
        </is>
      </c>
      <c r="M339" s="3" t="n"/>
      <c r="N339" s="3" t="n"/>
    </row>
    <row r="340">
      <c r="A340" s="2" t="inlineStr">
        <is>
          <t>MF-U02</t>
        </is>
      </c>
      <c r="B340" s="2" t="inlineStr">
        <is>
          <t>Erhebliche Verschmutzungen im Bereich der Anlage</t>
        </is>
      </c>
      <c r="C340" s="2" t="inlineStr">
        <is>
          <t>Umfeld und Gefahrstoffe</t>
        </is>
      </c>
      <c r="D340" s="2" t="inlineStr">
        <is>
          <t>MF-U02-R1</t>
        </is>
      </c>
      <c r="E340" s="2" t="n">
        <v>100</v>
      </c>
      <c r="F340" s="2" t="inlineStr">
        <is>
          <t>5.62 Erhebliche Verschmutzungen (Taubenkot, Unrat, Schimmel, Ablagerungen) im Zugangsbereich zum Triebwerksraum? = Ja</t>
        </is>
      </c>
      <c r="G340" s="2" t="inlineStr">
        <is>
          <t>Mittel</t>
        </is>
      </c>
      <c r="H340" s="2" t="inlineStr">
        <is>
          <t>INFERRED</t>
        </is>
      </c>
      <c r="I340" s="2" t="inlineStr"/>
      <c r="J340" s="2" t="inlineStr">
        <is>
          <t>Zugangsbereich zum Triebwerksraum: Bereich nur mit geeigneter Schutzausrüstung (Handschuhe, bei Taubenkot/Schimmel Atemschutz FFP3) betreten; Betreiber zur Reinigung auffordern</t>
        </is>
      </c>
      <c r="K340" s="2" t="inlineStr">
        <is>
          <t>Zugangsbereich zum Triebwerksraum: Reinigung veranlassen (bei Taubenkot/Schimmel durch Fachfirma) und Ursache abstellen (Abdichtung, Taubenabwehr)</t>
        </is>
      </c>
      <c r="L340" s="2" t="inlineStr">
        <is>
          <t>[Prüfbericht: H07 – gefährdungsspezifische Maßnahmen statt generischer Schnittstellen-Texte] Frühere Klärung (vor der Änderung entschieden): K-U01 Freigegeben 2026-09-20.</t>
        </is>
      </c>
      <c r="M340" s="3" t="n"/>
      <c r="N340" s="3" t="n"/>
    </row>
    <row r="341">
      <c r="A341" s="4" t="inlineStr">
        <is>
          <t>MF-U02</t>
        </is>
      </c>
      <c r="B341" s="4" t="inlineStr">
        <is>
          <t>Erhebliche Verschmutzungen im Bereich der Anlage</t>
        </is>
      </c>
      <c r="C341" s="4" t="inlineStr">
        <is>
          <t>Umfeld und Gefahrstoffe</t>
        </is>
      </c>
      <c r="D341" s="4" t="inlineStr">
        <is>
          <t>MF-U02-R2</t>
        </is>
      </c>
      <c r="E341" s="4" t="n">
        <v>100</v>
      </c>
      <c r="F341" s="4" t="inlineStr">
        <is>
          <t>5.63 Erhebliche Verschmutzungen (Taubenkot, Unrat, Schimmel, Ablagerungen) im Triebwerks-/Maschinenraum? = Ja</t>
        </is>
      </c>
      <c r="G341" s="4" t="inlineStr">
        <is>
          <t>Mittel</t>
        </is>
      </c>
      <c r="H341" s="4" t="inlineStr">
        <is>
          <t>INFERRED</t>
        </is>
      </c>
      <c r="I341" s="4" t="inlineStr"/>
      <c r="J341" s="4" t="inlineStr">
        <is>
          <t>Triebwerks-/Maschinenraum: Bereich nur mit geeigneter Schutzausrüstung (Handschuhe, bei Taubenkot/Schimmel Atemschutz FFP3) betreten; Betreiber zur Reinigung auffordern</t>
        </is>
      </c>
      <c r="K341" s="4" t="inlineStr">
        <is>
          <t>Triebwerks-/Maschinenraum: Reinigung veranlassen (bei Taubenkot/Schimmel durch Fachfirma) und Ursache abstellen (Abdichtung, Taubenabwehr)</t>
        </is>
      </c>
      <c r="L341" s="4" t="inlineStr">
        <is>
          <t>[Prüfbericht: H07 – gefährdungsspezifische Maßnahmen statt generischer Schnittstellen-Texte] Frühere Klärung (vor der Änderung entschieden): K-U01 Freigegeben 2026-09-20.</t>
        </is>
      </c>
      <c r="M341" s="3" t="n"/>
      <c r="N341" s="3" t="n"/>
    </row>
    <row r="342">
      <c r="A342" s="2" t="inlineStr">
        <is>
          <t>MF-U02</t>
        </is>
      </c>
      <c r="B342" s="2" t="inlineStr">
        <is>
          <t>Erhebliche Verschmutzungen im Bereich der Anlage</t>
        </is>
      </c>
      <c r="C342" s="2" t="inlineStr">
        <is>
          <t>Umfeld und Gefahrstoffe</t>
        </is>
      </c>
      <c r="D342" s="2" t="inlineStr">
        <is>
          <t>MF-U02-R3</t>
        </is>
      </c>
      <c r="E342" s="2" t="n">
        <v>100</v>
      </c>
      <c r="F342" s="2" t="inlineStr">
        <is>
          <t>10.21 Erhebliche Verschmutzungen (Taubenkot, Unrat, Schimmel, Ablagerungen) im Schacht / am Fahrkorb? = Ja</t>
        </is>
      </c>
      <c r="G342" s="2" t="inlineStr">
        <is>
          <t>Mittel</t>
        </is>
      </c>
      <c r="H342" s="2" t="inlineStr">
        <is>
          <t>INFERRED</t>
        </is>
      </c>
      <c r="I342" s="2" t="inlineStr"/>
      <c r="J342" s="2" t="inlineStr">
        <is>
          <t>Schacht / Fahrkorb: Bereich nur mit geeigneter Schutzausrüstung (Handschuhe, bei Taubenkot/Schimmel Atemschutz FFP3) betreten; Betreiber zur Reinigung auffordern</t>
        </is>
      </c>
      <c r="K342" s="2" t="inlineStr">
        <is>
          <t>Schacht / Fahrkorb: Reinigung veranlassen (bei Taubenkot/Schimmel durch Fachfirma) und Ursache abstellen (Abdichtung, Taubenabwehr)</t>
        </is>
      </c>
      <c r="L342" s="2" t="inlineStr">
        <is>
          <t>[Prüfbericht: H07 – gefährdungsspezifische Maßnahmen statt generischer Schnittstellen-Texte] Frühere Klärung (vor der Änderung entschieden): K-U01 Freigegeben 2026-09-20.</t>
        </is>
      </c>
      <c r="M342" s="3" t="n"/>
      <c r="N342" s="3" t="n"/>
    </row>
    <row r="343">
      <c r="A343" s="4" t="inlineStr">
        <is>
          <t>MF-U02</t>
        </is>
      </c>
      <c r="B343" s="4" t="inlineStr">
        <is>
          <t>Erhebliche Verschmutzungen im Bereich der Anlage</t>
        </is>
      </c>
      <c r="C343" s="4" t="inlineStr">
        <is>
          <t>Umfeld und Gefahrstoffe</t>
        </is>
      </c>
      <c r="D343" s="4" t="inlineStr">
        <is>
          <t>MF-U02-R4</t>
        </is>
      </c>
      <c r="E343" s="4" t="n">
        <v>100</v>
      </c>
      <c r="F343" s="4" t="inlineStr">
        <is>
          <t>11.21 Erhebliche Verschmutzungen (Taubenkot, Unrat, Schimmel, Ablagerungen) in der Schachtgrube? = Ja</t>
        </is>
      </c>
      <c r="G343" s="4" t="inlineStr">
        <is>
          <t>Mittel</t>
        </is>
      </c>
      <c r="H343" s="4" t="inlineStr">
        <is>
          <t>INFERRED</t>
        </is>
      </c>
      <c r="I343" s="4" t="inlineStr"/>
      <c r="J343" s="4" t="inlineStr">
        <is>
          <t>Schachtgrube: Bereich nur mit geeigneter Schutzausrüstung (Handschuhe, bei Taubenkot/Schimmel Atemschutz FFP3) betreten; Betreiber zur Reinigung auffordern</t>
        </is>
      </c>
      <c r="K343" s="4" t="inlineStr">
        <is>
          <t>Schachtgrube: Reinigung veranlassen (bei Taubenkot/Schimmel durch Fachfirma) und Ursache abstellen (Abdichtung, Taubenabwehr)</t>
        </is>
      </c>
      <c r="L343" s="4" t="inlineStr">
        <is>
          <t>[Prüfbericht: H07 – gefährdungsspezifische Maßnahmen statt generischer Schnittstellen-Texte] Frühere Klärung (vor der Änderung entschieden): K-U01 Freigegeben 2026-09-20.</t>
        </is>
      </c>
      <c r="M343" s="3" t="n"/>
      <c r="N343" s="3" t="n"/>
    </row>
    <row r="344">
      <c r="A344" s="2" t="inlineStr">
        <is>
          <t>MF-U02</t>
        </is>
      </c>
      <c r="B344" s="2" t="inlineStr">
        <is>
          <t>Erhebliche Verschmutzungen im Bereich der Anlage</t>
        </is>
      </c>
      <c r="C344" s="2" t="inlineStr">
        <is>
          <t>Umfeld und Gefahrstoffe</t>
        </is>
      </c>
      <c r="D344" s="2" t="inlineStr">
        <is>
          <t>MF-U02-R5</t>
        </is>
      </c>
      <c r="E344" s="2" t="n">
        <v>1</v>
      </c>
      <c r="F344" s="2" t="inlineStr">
        <is>
          <t>5.62 Erhebliche Verschmutzungen (Taubenkot, Unrat, Schimmel, Ablagerungen) im Zugangsbereich zum Triebwerksraum? beantwortet</t>
        </is>
      </c>
      <c r="G344" s="2" t="inlineStr">
        <is>
          <t>Kein Risiko</t>
        </is>
      </c>
      <c r="H344" s="2" t="inlineStr">
        <is>
          <t>HIGH_CONFIDENCE</t>
        </is>
      </c>
      <c r="I344" s="2" t="inlineStr"/>
      <c r="J344" s="2" t="inlineStr">
        <is>
          <t>Zustand erhalten; bei der wiederkehrenden Prüfung und der Betreiberkontrolle erneut prüfen</t>
        </is>
      </c>
      <c r="K344" s="2" t="inlineStr"/>
      <c r="L344" s="2" t="inlineStr">
        <is>
          <t>Kein Risiko: keine Mangelregel trifft zu, alle Pflichtfragen beantwortet. Freigegeben 2026-09-20.</t>
        </is>
      </c>
      <c r="M344" s="3" t="n"/>
      <c r="N344" s="3" t="n"/>
    </row>
    <row r="345">
      <c r="A345" s="4" t="inlineStr">
        <is>
          <t>MF-U03</t>
        </is>
      </c>
      <c r="B345" s="4" t="inlineStr">
        <is>
          <t>Lagerung brennbarer oder leicht entzündlicher Stoffe im Bereich der Anlage</t>
        </is>
      </c>
      <c r="C345" s="4" t="inlineStr">
        <is>
          <t>Umfeld und Gefahrstoffe</t>
        </is>
      </c>
      <c r="D345" s="4" t="inlineStr">
        <is>
          <t>MF-U03-R1</t>
        </is>
      </c>
      <c r="E345" s="4" t="n">
        <v>100</v>
      </c>
      <c r="F345" s="4" t="inlineStr">
        <is>
          <t>5.64 Lagerung brennbarer oder leicht entzündlicher Stoffe im Zugangsbereich zum Triebwerksraum? = Ja</t>
        </is>
      </c>
      <c r="G345" s="4" t="inlineStr">
        <is>
          <t>Mittel</t>
        </is>
      </c>
      <c r="H345" s="4" t="inlineStr">
        <is>
          <t>INFERRED</t>
        </is>
      </c>
      <c r="I345" s="4" t="inlineStr"/>
      <c r="J345" s="4" t="inlineStr">
        <is>
          <t>Zugangsbereich zum Triebwerksraum: Brennbare Stoffe aus dem Aufzugsbereich entfernen lassen; keine Zündquellen</t>
        </is>
      </c>
      <c r="K345" s="4" t="inlineStr">
        <is>
          <t>Zugangsbereich zum Triebwerksraum: Lagerverbot für brennbare Stoffe im Aufzugsbereich in der Betriebsanweisung festlegen und bei der Betreiberkontrolle prüfen</t>
        </is>
      </c>
      <c r="L345" s="4" t="inlineStr">
        <is>
          <t>[Prüfbericht: H07 – gefährdungsspezifische Maßnahmen statt generischer Schnittstellen-Texte] Frühere Klärung (vor der Änderung entschieden): K-U01 Freigegeben 2026-09-20.</t>
        </is>
      </c>
      <c r="M345" s="3" t="n"/>
      <c r="N345" s="3" t="n"/>
    </row>
    <row r="346">
      <c r="A346" s="2" t="inlineStr">
        <is>
          <t>MF-U03</t>
        </is>
      </c>
      <c r="B346" s="2" t="inlineStr">
        <is>
          <t>Lagerung brennbarer oder leicht entzündlicher Stoffe im Bereich der Anlage</t>
        </is>
      </c>
      <c r="C346" s="2" t="inlineStr">
        <is>
          <t>Umfeld und Gefahrstoffe</t>
        </is>
      </c>
      <c r="D346" s="2" t="inlineStr">
        <is>
          <t>MF-U03-R2</t>
        </is>
      </c>
      <c r="E346" s="2" t="n">
        <v>100</v>
      </c>
      <c r="F346" s="2" t="inlineStr">
        <is>
          <t>5.65 Lagerung brennbarer oder leicht entzündlicher Stoffe im Triebwerks-/Maschinenraum? = Ja</t>
        </is>
      </c>
      <c r="G346" s="2" t="inlineStr">
        <is>
          <t>Mittel</t>
        </is>
      </c>
      <c r="H346" s="2" t="inlineStr">
        <is>
          <t>INFERRED</t>
        </is>
      </c>
      <c r="I346" s="2" t="inlineStr"/>
      <c r="J346" s="2" t="inlineStr">
        <is>
          <t>Triebwerks-/Maschinenraum: Brennbare Stoffe aus dem Aufzugsbereich entfernen lassen; keine Zündquellen</t>
        </is>
      </c>
      <c r="K346" s="2" t="inlineStr">
        <is>
          <t>Triebwerks-/Maschinenraum: Lagerverbot für brennbare Stoffe im Aufzugsbereich in der Betriebsanweisung festlegen und bei der Betreiberkontrolle prüfen</t>
        </is>
      </c>
      <c r="L346" s="2" t="inlineStr">
        <is>
          <t>[Prüfbericht: H07 – gefährdungsspezifische Maßnahmen statt generischer Schnittstellen-Texte] Frühere Klärung (vor der Änderung entschieden): K-U01 Freigegeben 2026-09-20.</t>
        </is>
      </c>
      <c r="M346" s="3" t="n"/>
      <c r="N346" s="3" t="n"/>
    </row>
    <row r="347">
      <c r="A347" s="4" t="inlineStr">
        <is>
          <t>MF-U03</t>
        </is>
      </c>
      <c r="B347" s="4" t="inlineStr">
        <is>
          <t>Lagerung brennbarer oder leicht entzündlicher Stoffe im Bereich der Anlage</t>
        </is>
      </c>
      <c r="C347" s="4" t="inlineStr">
        <is>
          <t>Umfeld und Gefahrstoffe</t>
        </is>
      </c>
      <c r="D347" s="4" t="inlineStr">
        <is>
          <t>MF-U03-R3</t>
        </is>
      </c>
      <c r="E347" s="4" t="n">
        <v>100</v>
      </c>
      <c r="F347" s="4" t="inlineStr">
        <is>
          <t>10.22 Lagerung brennbarer oder leicht entzündlicher Stoffe im Schacht / am Fahrkorb? = Ja</t>
        </is>
      </c>
      <c r="G347" s="4" t="inlineStr">
        <is>
          <t>Mittel</t>
        </is>
      </c>
      <c r="H347" s="4" t="inlineStr">
        <is>
          <t>INFERRED</t>
        </is>
      </c>
      <c r="I347" s="4" t="inlineStr"/>
      <c r="J347" s="4" t="inlineStr">
        <is>
          <t>Schacht / Fahrkorb: Brennbare Stoffe aus dem Aufzugsbereich entfernen lassen; keine Zündquellen</t>
        </is>
      </c>
      <c r="K347" s="4" t="inlineStr">
        <is>
          <t>Schacht / Fahrkorb: Lagerverbot für brennbare Stoffe im Aufzugsbereich in der Betriebsanweisung festlegen und bei der Betreiberkontrolle prüfen</t>
        </is>
      </c>
      <c r="L347" s="4" t="inlineStr">
        <is>
          <t>[Prüfbericht: H07 – gefährdungsspezifische Maßnahmen statt generischer Schnittstellen-Texte] Frühere Klärung (vor der Änderung entschieden): K-U01 Freigegeben 2026-09-20.</t>
        </is>
      </c>
      <c r="M347" s="3" t="n"/>
      <c r="N347" s="3" t="n"/>
    </row>
    <row r="348">
      <c r="A348" s="2" t="inlineStr">
        <is>
          <t>MF-U03</t>
        </is>
      </c>
      <c r="B348" s="2" t="inlineStr">
        <is>
          <t>Lagerung brennbarer oder leicht entzündlicher Stoffe im Bereich der Anlage</t>
        </is>
      </c>
      <c r="C348" s="2" t="inlineStr">
        <is>
          <t>Umfeld und Gefahrstoffe</t>
        </is>
      </c>
      <c r="D348" s="2" t="inlineStr">
        <is>
          <t>MF-U03-R4</t>
        </is>
      </c>
      <c r="E348" s="2" t="n">
        <v>100</v>
      </c>
      <c r="F348" s="2" t="inlineStr">
        <is>
          <t>11.22 Lagerung brennbarer oder leicht entzündlicher Stoffe in der Schachtgrube? = Ja</t>
        </is>
      </c>
      <c r="G348" s="2" t="inlineStr">
        <is>
          <t>Mittel</t>
        </is>
      </c>
      <c r="H348" s="2" t="inlineStr">
        <is>
          <t>INFERRED</t>
        </is>
      </c>
      <c r="I348" s="2" t="inlineStr"/>
      <c r="J348" s="2" t="inlineStr">
        <is>
          <t>Schachtgrube: Brennbare Stoffe aus dem Aufzugsbereich entfernen lassen; keine Zündquellen</t>
        </is>
      </c>
      <c r="K348" s="2" t="inlineStr">
        <is>
          <t>Schachtgrube: Lagerverbot für brennbare Stoffe im Aufzugsbereich in der Betriebsanweisung festlegen und bei der Betreiberkontrolle prüfen</t>
        </is>
      </c>
      <c r="L348" s="2" t="inlineStr">
        <is>
          <t>[Prüfbericht: H07 – gefährdungsspezifische Maßnahmen statt generischer Schnittstellen-Texte] Frühere Klärung (vor der Änderung entschieden): K-U01 Freigegeben 2026-09-20.</t>
        </is>
      </c>
      <c r="M348" s="3" t="n"/>
      <c r="N348" s="3" t="n"/>
    </row>
    <row r="349">
      <c r="A349" s="4" t="inlineStr">
        <is>
          <t>MF-U03</t>
        </is>
      </c>
      <c r="B349" s="4" t="inlineStr">
        <is>
          <t>Lagerung brennbarer oder leicht entzündlicher Stoffe im Bereich der Anlage</t>
        </is>
      </c>
      <c r="C349" s="4" t="inlineStr">
        <is>
          <t>Umfeld und Gefahrstoffe</t>
        </is>
      </c>
      <c r="D349" s="4" t="inlineStr">
        <is>
          <t>MF-U03-R5</t>
        </is>
      </c>
      <c r="E349" s="4" t="n">
        <v>1</v>
      </c>
      <c r="F349" s="4" t="inlineStr">
        <is>
          <t>5.64 Lagerung brennbarer oder leicht entzündlicher Stoffe im Zugangsbereich zum Triebwerksraum? beantwortet</t>
        </is>
      </c>
      <c r="G349" s="4" t="inlineStr">
        <is>
          <t>Kein Risiko</t>
        </is>
      </c>
      <c r="H349" s="4" t="inlineStr">
        <is>
          <t>HIGH_CONFIDENCE</t>
        </is>
      </c>
      <c r="I349" s="4" t="inlineStr"/>
      <c r="J349" s="4" t="inlineStr">
        <is>
          <t>Zustand erhalten; bei der wiederkehrenden Prüfung und der Betreiberkontrolle erneut prüfen</t>
        </is>
      </c>
      <c r="K349" s="4" t="inlineStr"/>
      <c r="L349" s="4" t="inlineStr">
        <is>
          <t>Kein Risiko: keine Mangelregel trifft zu, alle Pflichtfragen beantwortet. Freigegeben 2026-09-20.</t>
        </is>
      </c>
      <c r="M349" s="3" t="n"/>
      <c r="N349" s="3" t="n"/>
    </row>
    <row r="350">
      <c r="A350" s="2" t="inlineStr">
        <is>
          <t>MF-U04</t>
        </is>
      </c>
      <c r="B350" s="2" t="inlineStr">
        <is>
          <t>Chemische oder biologische Gefahrstoffe in unmittelbarer Nähe der Anlage gelagert</t>
        </is>
      </c>
      <c r="C350" s="2" t="inlineStr">
        <is>
          <t>Umfeld und Gefahrstoffe</t>
        </is>
      </c>
      <c r="D350" s="2" t="inlineStr">
        <is>
          <t>MF-U04-R1</t>
        </is>
      </c>
      <c r="E350" s="2" t="n">
        <v>100</v>
      </c>
      <c r="F350" s="2" t="inlineStr">
        <is>
          <t>15.28 Chemische Gefahrstoffe in unmittelbarer Nähe der Anlage gelagert? = Ja</t>
        </is>
      </c>
      <c r="G350" s="2" t="inlineStr">
        <is>
          <t>Mittel</t>
        </is>
      </c>
      <c r="H350" s="2" t="inlineStr">
        <is>
          <t>INFERRED</t>
        </is>
      </c>
      <c r="I350" s="2" t="inlineStr"/>
      <c r="J350" s="2" t="inlineStr">
        <is>
          <t>Lagerung mit dem Betreiber klären, Sicherheitsdatenblätter einsehen</t>
        </is>
      </c>
      <c r="K350" s="2" t="inlineStr">
        <is>
          <t>Gefahrstofflagerung aus dem Aufzugsbereich verlegen oder in die Betriebsanweisung aufnehmen</t>
        </is>
      </c>
      <c r="L350" s="2" t="inlineStr">
        <is>
          <t>Entschieden 2026-09-02: K-U02.</t>
        </is>
      </c>
      <c r="M350" s="3" t="n"/>
      <c r="N350" s="3" t="n"/>
    </row>
    <row r="351">
      <c r="A351" s="4" t="inlineStr">
        <is>
          <t>MF-U04</t>
        </is>
      </c>
      <c r="B351" s="4" t="inlineStr">
        <is>
          <t>Chemische oder biologische Gefahrstoffe in unmittelbarer Nähe der Anlage gelagert</t>
        </is>
      </c>
      <c r="C351" s="4" t="inlineStr">
        <is>
          <t>Umfeld und Gefahrstoffe</t>
        </is>
      </c>
      <c r="D351" s="4" t="inlineStr">
        <is>
          <t>MF-U04-R2</t>
        </is>
      </c>
      <c r="E351" s="4" t="n">
        <v>100</v>
      </c>
      <c r="F351" s="4" t="inlineStr">
        <is>
          <t>15.29 Biologische Arbeitsstoffe (Labor, Klinik, Entsorgung) in unmittelbarer Nähe der Anlage? = Ja</t>
        </is>
      </c>
      <c r="G351" s="4" t="inlineStr">
        <is>
          <t>Mittel</t>
        </is>
      </c>
      <c r="H351" s="4" t="inlineStr">
        <is>
          <t>INFERRED</t>
        </is>
      </c>
      <c r="I351" s="4" t="inlineStr"/>
      <c r="J351" s="4" t="inlineStr">
        <is>
          <t>Hygiene-/Schutzmaßnahmen für Wartungspersonal mit dem Betreiber abstimmen</t>
        </is>
      </c>
      <c r="K351" s="4" t="inlineStr">
        <is>
          <t>Umgang mit biologischen Arbeitsstoffen im Aufzugsbereich in der Betriebsanweisung regeln</t>
        </is>
      </c>
      <c r="L351" s="4" t="inlineStr">
        <is>
          <t>Entschieden 2026-09-02: K-U02.</t>
        </is>
      </c>
      <c r="M351" s="3" t="n"/>
      <c r="N351" s="3" t="n"/>
    </row>
    <row r="352">
      <c r="A352" s="2" t="inlineStr">
        <is>
          <t>MF-U04</t>
        </is>
      </c>
      <c r="B352" s="2" t="inlineStr">
        <is>
          <t>Chemische oder biologische Gefahrstoffe in unmittelbarer Nähe der Anlage gelagert</t>
        </is>
      </c>
      <c r="C352" s="2" t="inlineStr">
        <is>
          <t>Umfeld und Gefahrstoffe</t>
        </is>
      </c>
      <c r="D352" s="2" t="inlineStr">
        <is>
          <t>MF-U04-R3</t>
        </is>
      </c>
      <c r="E352" s="2" t="n">
        <v>1</v>
      </c>
      <c r="F352" s="2" t="inlineStr">
        <is>
          <t>15.28 Chemische Gefahrstoffe in unmittelbarer Nähe der Anlage gelagert? beantwortet</t>
        </is>
      </c>
      <c r="G352" s="2" t="inlineStr">
        <is>
          <t>Kein Risiko</t>
        </is>
      </c>
      <c r="H352" s="2" t="inlineStr">
        <is>
          <t>HIGH_CONFIDENCE</t>
        </is>
      </c>
      <c r="I352" s="2" t="inlineStr"/>
      <c r="J352" s="2" t="inlineStr">
        <is>
          <t>Zustand erhalten; bei der wiederkehrenden Prüfung und der Betreiberkontrolle erneut prüfen</t>
        </is>
      </c>
      <c r="K352" s="2" t="inlineStr"/>
      <c r="L352" s="2" t="inlineStr">
        <is>
          <t>Kein Risiko: keine Mangelregel trifft zu, alle Pflichtfragen beantwortet. Freigegeben 2026-09-20.</t>
        </is>
      </c>
      <c r="M352" s="3" t="n"/>
      <c r="N352" s="3" t="n"/>
    </row>
    <row r="353">
      <c r="A353" s="4" t="inlineStr">
        <is>
          <t>MF-U05</t>
        </is>
      </c>
      <c r="B353" s="4" t="inlineStr">
        <is>
          <t>Transport von Gefahrstoffen mit der Aufzugsanlage</t>
        </is>
      </c>
      <c r="C353" s="4" t="inlineStr">
        <is>
          <t>Umfeld und Gefahrstoffe</t>
        </is>
      </c>
      <c r="D353" s="4" t="inlineStr">
        <is>
          <t>MF-U05-R6</t>
        </is>
      </c>
      <c r="E353" s="4" t="n">
        <v>100</v>
      </c>
      <c r="F353" s="4" t="inlineStr">
        <is>
          <t>(15.32 Transport chemischer Gefahrstoffe mit dem Aufzug? = Ja UND 15.32a Transport chemischer Gefahrstoffe verbindlich geregelt und unterwiesen (Behälter, Mengenbegrenzung, Mitfahrverbot Dritter, Verhalten bei Freisetzung)? = Nein)</t>
        </is>
      </c>
      <c r="G353" s="4" t="inlineStr">
        <is>
          <t>Mittel</t>
        </is>
      </c>
      <c r="H353" s="4" t="inlineStr">
        <is>
          <t>INFERRED</t>
        </is>
      </c>
      <c r="I353" s="4" t="inlineStr"/>
      <c r="J353" s="4" t="inlineStr">
        <is>
          <t>Transportregeln (Behälter, Begleitung, Nutzung durch Dritte) mit dem Betreiber festlegen</t>
        </is>
      </c>
      <c r="K353" s="4" t="inlineStr">
        <is>
          <t>Lüftung des Fahrkorbs und Verhalten bei Freisetzung in der Betriebsanweisung regeln</t>
        </is>
      </c>
      <c r="L353" s="4" t="inlineStr">
        <is>
          <t>Regelprüfung 20.09.2026: Bedingung um die Kompensation ergänzt. Vorher bewertete die Regel die Nutzungsart und nicht den Mangel: Sobald transportiert wurde, entstand ein Mittel-Befund, der auch bei vorbildlicher Regelung nie wieder verschwand. Stufe und Maßnahmen bleiben für den ungeregelten Fall unverändert. Freigegeben 2026-09-20.</t>
        </is>
      </c>
      <c r="M353" s="3" t="n"/>
      <c r="N353" s="3" t="n"/>
    </row>
    <row r="354">
      <c r="A354" s="2" t="inlineStr">
        <is>
          <t>MF-U05</t>
        </is>
      </c>
      <c r="B354" s="2" t="inlineStr">
        <is>
          <t>Transport von Gefahrstoffen mit der Aufzugsanlage</t>
        </is>
      </c>
      <c r="C354" s="2" t="inlineStr">
        <is>
          <t>Umfeld und Gefahrstoffe</t>
        </is>
      </c>
      <c r="D354" s="2" t="inlineStr">
        <is>
          <t>MF-U05-R7</t>
        </is>
      </c>
      <c r="E354" s="2" t="n">
        <v>200</v>
      </c>
      <c r="F354" s="2" t="inlineStr">
        <is>
          <t>(15.32 Transport chemischer Gefahrstoffe mit dem Aufzug? = Ja UND 15.32a Transport chemischer Gefahrstoffe verbindlich geregelt und unterwiesen (Behälter, Mengenbegrenzung, Mitfahrverbot Dritter, Verhalten bei Freisetzung)? = Ja)</t>
        </is>
      </c>
      <c r="G354" s="2" t="inlineStr">
        <is>
          <t>Niedrig</t>
        </is>
      </c>
      <c r="H354" s="2" t="inlineStr">
        <is>
          <t>INFERRED</t>
        </is>
      </c>
      <c r="I354" s="2" t="inlineStr"/>
      <c r="J354" s="2" t="inlineStr">
        <is>
          <t>Vorhandene Regelung anwenden; Abweichungen dem Betreiber melden</t>
        </is>
      </c>
      <c r="K354" s="2" t="inlineStr">
        <is>
          <t>Betriebsanweisung für den Transport chemischer Gefahrstoffe bei Änderung von Stoffen oder Mengen fortschreiben und die Unterweisung wiederholen (GefStoffV § 14)</t>
        </is>
      </c>
      <c r="L354" s="2" t="inlineStr">
        <is>
          <t>Regelprüfung 20.09.2026: Neue Kompensationsregel. Zielstufe ist ausdrücklich Niedrig und nicht Kein Risiko: Der Transport bleibt auch geregelt ein Restrisiko mit Fortschreibungs- und Unterweisungspflicht; bei Kein Risiko verschwänden diese Maßnahmen aus dem Bericht. Freigegeben 2026-09-20.</t>
        </is>
      </c>
      <c r="M354" s="3" t="n"/>
      <c r="N354" s="3" t="n"/>
    </row>
    <row r="355">
      <c r="A355" s="4" t="inlineStr">
        <is>
          <t>MF-U05</t>
        </is>
      </c>
      <c r="B355" s="4" t="inlineStr">
        <is>
          <t>Transport von Gefahrstoffen mit der Aufzugsanlage</t>
        </is>
      </c>
      <c r="C355" s="4" t="inlineStr">
        <is>
          <t>Umfeld und Gefahrstoffe</t>
        </is>
      </c>
      <c r="D355" s="4" t="inlineStr">
        <is>
          <t>MF-U05-R8</t>
        </is>
      </c>
      <c r="E355" s="4" t="n">
        <v>100</v>
      </c>
      <c r="F355" s="4" t="inlineStr">
        <is>
          <t>(15.33 Transport biologischer Arbeitsstoffe / infektiöser Stoffe mit dem Aufzug? = Ja UND 15.33a Transport biologischer Arbeitsstoffe verbindlich geregelt und unterwiesen (dichte, gekennzeichnete Transportbehälter festgelegt UND Reinigungs-/Desinfektionsverfahren für den Fahrkorb nach Kontamination festgelegt)? = Nein)</t>
        </is>
      </c>
      <c r="G355" s="4" t="inlineStr">
        <is>
          <t>Mittel</t>
        </is>
      </c>
      <c r="H355" s="4" t="inlineStr">
        <is>
          <t>INFERRED</t>
        </is>
      </c>
      <c r="I355" s="4" t="inlineStr"/>
      <c r="J355" s="4" t="inlineStr">
        <is>
          <t>Transport nur in dichten, gekennzeichneten Behältern; Fahrkorb nach Kontamination reinigen</t>
        </is>
      </c>
      <c r="K355" s="4" t="inlineStr">
        <is>
          <t>Reinigungs- und Desinfektionsplan für den Fahrkorb festlegen</t>
        </is>
      </c>
      <c r="L355" s="4" t="inlineStr">
        <is>
          <t>Regelprüfung 20.09.2026: Bedingung um die Kompensation ergänzt. Vorher bewertete die Regel die Nutzungsart und nicht den Mangel: Sobald transportiert wurde, entstand ein Mittel-Befund, der auch bei vorbildlicher Regelung nie wieder verschwand. Stufe und Maßnahmen bleiben für den ungeregelten Fall unverändert. Freigegeben 2026-09-20.</t>
        </is>
      </c>
      <c r="M355" s="3" t="n"/>
      <c r="N355" s="3" t="n"/>
    </row>
    <row r="356">
      <c r="A356" s="2" t="inlineStr">
        <is>
          <t>MF-U05</t>
        </is>
      </c>
      <c r="B356" s="2" t="inlineStr">
        <is>
          <t>Transport von Gefahrstoffen mit der Aufzugsanlage</t>
        </is>
      </c>
      <c r="C356" s="2" t="inlineStr">
        <is>
          <t>Umfeld und Gefahrstoffe</t>
        </is>
      </c>
      <c r="D356" s="2" t="inlineStr">
        <is>
          <t>MF-U05-R9</t>
        </is>
      </c>
      <c r="E356" s="2" t="n">
        <v>200</v>
      </c>
      <c r="F356" s="2" t="inlineStr">
        <is>
          <t>(15.33 Transport biologischer Arbeitsstoffe / infektiöser Stoffe mit dem Aufzug? = Ja UND 15.33a Transport biologischer Arbeitsstoffe verbindlich geregelt und unterwiesen (dichte, gekennzeichnete Transportbehälter festgelegt UND Reinigungs-/Desinfektionsverfahren für den Fahrkorb nach Kontamination festgelegt)? = Ja)</t>
        </is>
      </c>
      <c r="G356" s="2" t="inlineStr">
        <is>
          <t>Niedrig</t>
        </is>
      </c>
      <c r="H356" s="2" t="inlineStr">
        <is>
          <t>INFERRED</t>
        </is>
      </c>
      <c r="I356" s="2" t="inlineStr"/>
      <c r="J356" s="2" t="inlineStr">
        <is>
          <t>Vorhandene Regelung anwenden; Abweichungen dem Betreiber melden</t>
        </is>
      </c>
      <c r="K356" s="2" t="inlineStr">
        <is>
          <t>Wirksamkeit des Reinigungs- und Desinfektionsplans kontrollieren und ihn bei geänderten Stoffen fortschreiben; Unterweisung wiederholen</t>
        </is>
      </c>
      <c r="L356" s="2" t="inlineStr">
        <is>
          <t>Regelprüfung 20.09.2026: Neue Kompensationsregel. Zielstufe ist ausdrücklich Niedrig und nicht Kein Risiko: Der Transport bleibt auch geregelt ein Restrisiko mit Fortschreibungs- und Unterweisungspflicht; bei Kein Risiko verschwänden diese Maßnahmen aus dem Bericht. Freigegeben 2026-09-20.</t>
        </is>
      </c>
      <c r="M356" s="3" t="n"/>
      <c r="N356" s="3" t="n"/>
    </row>
    <row r="357">
      <c r="A357" s="4" t="inlineStr">
        <is>
          <t>MF-U05</t>
        </is>
      </c>
      <c r="B357" s="4" t="inlineStr">
        <is>
          <t>Transport von Gefahrstoffen mit der Aufzugsanlage</t>
        </is>
      </c>
      <c r="C357" s="4" t="inlineStr">
        <is>
          <t>Umfeld und Gefahrstoffe</t>
        </is>
      </c>
      <c r="D357" s="4" t="inlineStr">
        <is>
          <t>MF-U05-R10</t>
        </is>
      </c>
      <c r="E357" s="4" t="n">
        <v>100</v>
      </c>
      <c r="F357" s="4" t="inlineStr">
        <is>
          <t>(15.34 Transport brennbarer oder leicht entzündlicher Stoffe mit dem Aufzug? = Ja UND 15.34a Transport brennbarer oder leicht entzündlicher Stoffe verbindlich geregelt und unterwiesen (Mengenbegrenzung, Behälter, Zündquellenverbot im Fahrkorb, Verhalten bei Freisetzung)? = Nein)</t>
        </is>
      </c>
      <c r="G357" s="4" t="inlineStr">
        <is>
          <t>Mittel</t>
        </is>
      </c>
      <c r="H357" s="4" t="inlineStr">
        <is>
          <t>INFERRED</t>
        </is>
      </c>
      <c r="I357" s="4" t="inlineStr"/>
      <c r="J357" s="4" t="inlineStr">
        <is>
          <t>Transportmengen begrenzen, Zündquellen im Fahrkorb ausschließen</t>
        </is>
      </c>
      <c r="K357" s="4" t="inlineStr">
        <is>
          <t>Mengenbegrenzung, Behälter, Lüftung des Fahrkorbs und Verhalten bei Freisetzung in der Betriebsanweisung regeln; die Bewertung einer explosionsfähigen Atmosphäre gehört unter 15.25 (MF-U06)</t>
        </is>
      </c>
      <c r="L357" s="4" t="inlineStr">
        <is>
          <t>Regelprüfung 20.09.2026: Bedingung um die Kompensation ergänzt. Vorher bewertete die Regel die Nutzungsart und nicht den Mangel: Sobald transportiert wurde, entstand ein Mittel-Befund, der auch bei vorbildlicher Regelung nie wieder verschwand. Stufe und Maßnahmen bleiben für den ungeregelten Fall unverändert. Freigegeben 2026-09-20.</t>
        </is>
      </c>
      <c r="M357" s="3" t="n"/>
      <c r="N357" s="3" t="n"/>
    </row>
    <row r="358">
      <c r="A358" s="2" t="inlineStr">
        <is>
          <t>MF-U05</t>
        </is>
      </c>
      <c r="B358" s="2" t="inlineStr">
        <is>
          <t>Transport von Gefahrstoffen mit der Aufzugsanlage</t>
        </is>
      </c>
      <c r="C358" s="2" t="inlineStr">
        <is>
          <t>Umfeld und Gefahrstoffe</t>
        </is>
      </c>
      <c r="D358" s="2" t="inlineStr">
        <is>
          <t>MF-U05-R11</t>
        </is>
      </c>
      <c r="E358" s="2" t="n">
        <v>200</v>
      </c>
      <c r="F358" s="2" t="inlineStr">
        <is>
          <t>(15.34 Transport brennbarer oder leicht entzündlicher Stoffe mit dem Aufzug? = Ja UND 15.34a Transport brennbarer oder leicht entzündlicher Stoffe verbindlich geregelt und unterwiesen (Mengenbegrenzung, Behälter, Zündquellenverbot im Fahrkorb, Verhalten bei Freisetzung)? = Ja)</t>
        </is>
      </c>
      <c r="G358" s="2" t="inlineStr">
        <is>
          <t>Niedrig</t>
        </is>
      </c>
      <c r="H358" s="2" t="inlineStr">
        <is>
          <t>INFERRED</t>
        </is>
      </c>
      <c r="I358" s="2" t="inlineStr"/>
      <c r="J358" s="2" t="inlineStr">
        <is>
          <t>Vorhandene Regelung anwenden; Abweichungen dem Betreiber melden</t>
        </is>
      </c>
      <c r="K358" s="2" t="inlineStr">
        <is>
          <t>Mengenbegrenzung und Zündquellenverbot bei der Betreiberkontrolle stichprobenartig prüfen; Bewertung nach 15.25 (MF-U06) bei geänderter Nutzung wiederholen</t>
        </is>
      </c>
      <c r="L358" s="2" t="inlineStr">
        <is>
          <t>Regelprüfung 20.09.2026: Neue Kompensationsregel. Zielstufe ist ausdrücklich Niedrig und nicht Kein Risiko: Der Transport bleibt auch geregelt ein Restrisiko mit Fortschreibungs- und Unterweisungspflicht; bei Kein Risiko verschwänden diese Maßnahmen aus dem Bericht. Freigegeben 2026-09-20.</t>
        </is>
      </c>
      <c r="M358" s="3" t="n"/>
      <c r="N358" s="3" t="n"/>
    </row>
    <row r="359">
      <c r="A359" s="4" t="inlineStr">
        <is>
          <t>MF-U05</t>
        </is>
      </c>
      <c r="B359" s="4" t="inlineStr">
        <is>
          <t>Transport von Gefahrstoffen mit der Aufzugsanlage</t>
        </is>
      </c>
      <c r="C359" s="4" t="inlineStr">
        <is>
          <t>Umfeld und Gefahrstoffe</t>
        </is>
      </c>
      <c r="D359" s="4" t="inlineStr">
        <is>
          <t>MF-U05-R12</t>
        </is>
      </c>
      <c r="E359" s="4" t="n">
        <v>100</v>
      </c>
      <c r="F359" s="4" t="inlineStr">
        <is>
          <t>(15.35 Transport radioaktiver Stoffe mit dem Aufzug? = Ja UND 15.35a Strahlenschutzanweisung liegt vor UND erfasst den Transport mit dem Aufzug (Behälter, Begleitung, Verhalten bei Kontamination)? = Nein)</t>
        </is>
      </c>
      <c r="G359" s="4" t="inlineStr">
        <is>
          <t>Mittel</t>
        </is>
      </c>
      <c r="H359" s="4" t="inlineStr">
        <is>
          <t>INFERRED</t>
        </is>
      </c>
      <c r="I359" s="4" t="inlineStr"/>
      <c r="J359" s="4" t="inlineStr">
        <is>
          <t>Strahlenschutzbeauftragten einbinden, Transport nur nach Strahlenschutzanweisung</t>
        </is>
      </c>
      <c r="K359" s="4" t="inlineStr">
        <is>
          <t>Regelung des Transports radioaktiver Stoffe in der Betriebsanweisung</t>
        </is>
      </c>
      <c r="L359" s="4" t="inlineStr">
        <is>
          <t>Regelprüfung 20.09.2026: Bedingung um die Kompensation ergänzt. Vorher bewertete die Regel die Nutzungsart und nicht den Mangel: Sobald transportiert wurde, entstand ein Mittel-Befund, der auch bei vorbildlicher Regelung nie wieder verschwand. Stufe und Maßnahmen bleiben für den ungeregelten Fall unverändert. Freigegeben 2026-09-20.</t>
        </is>
      </c>
      <c r="M359" s="3" t="n"/>
      <c r="N359" s="3" t="n"/>
    </row>
    <row r="360">
      <c r="A360" s="2" t="inlineStr">
        <is>
          <t>MF-U05</t>
        </is>
      </c>
      <c r="B360" s="2" t="inlineStr">
        <is>
          <t>Transport von Gefahrstoffen mit der Aufzugsanlage</t>
        </is>
      </c>
      <c r="C360" s="2" t="inlineStr">
        <is>
          <t>Umfeld und Gefahrstoffe</t>
        </is>
      </c>
      <c r="D360" s="2" t="inlineStr">
        <is>
          <t>MF-U05-R13</t>
        </is>
      </c>
      <c r="E360" s="2" t="n">
        <v>200</v>
      </c>
      <c r="F360" s="2" t="inlineStr">
        <is>
          <t>(15.35 Transport radioaktiver Stoffe mit dem Aufzug? = Ja UND 15.35a Strahlenschutzanweisung liegt vor UND erfasst den Transport mit dem Aufzug (Behälter, Begleitung, Verhalten bei Kontamination)? = Ja)</t>
        </is>
      </c>
      <c r="G360" s="2" t="inlineStr">
        <is>
          <t>Niedrig</t>
        </is>
      </c>
      <c r="H360" s="2" t="inlineStr">
        <is>
          <t>INFERRED</t>
        </is>
      </c>
      <c r="I360" s="2" t="inlineStr"/>
      <c r="J360" s="2" t="inlineStr">
        <is>
          <t>Vorhandene Regelung anwenden; Abweichungen dem Betreiber melden</t>
        </is>
      </c>
      <c r="K360" s="2" t="inlineStr">
        <is>
          <t>Strahlenschutzanweisung fortschreiben und das Wartungspersonal über das Verhalten bei beschädigten Versandstücken unterweisen</t>
        </is>
      </c>
      <c r="L360" s="2" t="inlineStr">
        <is>
          <t>Regelprüfung 20.09.2026: Neue Kompensationsregel. Zielstufe ist ausdrücklich Niedrig und nicht Kein Risiko: Der Transport bleibt auch geregelt ein Restrisiko mit Fortschreibungs- und Unterweisungspflicht; bei Kein Risiko verschwänden diese Maßnahmen aus dem Bericht. Freigegeben 2026-09-20.</t>
        </is>
      </c>
      <c r="M360" s="3" t="n"/>
      <c r="N360" s="3" t="n"/>
    </row>
    <row r="361">
      <c r="A361" s="4" t="inlineStr">
        <is>
          <t>MF-U05</t>
        </is>
      </c>
      <c r="B361" s="4" t="inlineStr">
        <is>
          <t>Transport von Gefahrstoffen mit der Aufzugsanlage</t>
        </is>
      </c>
      <c r="C361" s="4" t="inlineStr">
        <is>
          <t>Umfeld und Gefahrstoffe</t>
        </is>
      </c>
      <c r="D361" s="4" t="inlineStr">
        <is>
          <t>MF-U05-R5</t>
        </is>
      </c>
      <c r="E361" s="4" t="n">
        <v>1</v>
      </c>
      <c r="F361" s="4" t="inlineStr">
        <is>
          <t>15.32 Transport chemischer Gefahrstoffe mit dem Aufzug? beantwortet</t>
        </is>
      </c>
      <c r="G361" s="4" t="inlineStr">
        <is>
          <t>Kein Risiko</t>
        </is>
      </c>
      <c r="H361" s="4" t="inlineStr">
        <is>
          <t>HIGH_CONFIDENCE</t>
        </is>
      </c>
      <c r="I361" s="4" t="inlineStr"/>
      <c r="J361" s="4" t="inlineStr">
        <is>
          <t>Zustand erhalten; bei der wiederkehrenden Prüfung und der Betreiberkontrolle erneut prüfen</t>
        </is>
      </c>
      <c r="K361" s="4" t="inlineStr"/>
      <c r="L361" s="4" t="inlineStr">
        <is>
          <t>Kein Risiko: keine Mangelregel trifft zu, alle Pflichtfragen beantwortet. Freigegeben 2026-09-20.</t>
        </is>
      </c>
      <c r="M361" s="3" t="n"/>
      <c r="N361" s="3" t="n"/>
    </row>
    <row r="362">
      <c r="A362" s="2" t="inlineStr">
        <is>
          <t>MF-U06</t>
        </is>
      </c>
      <c r="B362" s="2" t="inlineStr">
        <is>
          <t>Explosionsfähiges Gemisch kann durch die Aufzugsanlage gezündet werden</t>
        </is>
      </c>
      <c r="C362" s="2" t="inlineStr">
        <is>
          <t>Umfeld und Gefahrstoffe</t>
        </is>
      </c>
      <c r="D362" s="2" t="inlineStr">
        <is>
          <t>MF-U06-R4</t>
        </is>
      </c>
      <c r="E362" s="2" t="n">
        <v>210</v>
      </c>
      <c r="F362" s="2" t="inlineStr">
        <is>
          <t>(15.25 Kann sich im Bereich der Anlage ein explosionsfähiges Gemisch bilden (Gase, Dämpfe, Stäube)? = Ja UND 15.25a Explosionsschutz für die Aufzugsanlage bewertet und dokumentiert (Explosionsschutzdokument)? = Ja UND 15.25b Festgelegte Ex-Schutzmaßnahmen an der Aufzugsanlage umgesetzt und auf Wirksamkeit geprüft (geeignete Betriebsmittel, Prüfung vor Inbetriebnahme/wiederkehrend)? = Nein)</t>
        </is>
      </c>
      <c r="G362" s="2" t="inlineStr">
        <is>
          <t>Hoch</t>
        </is>
      </c>
      <c r="H362" s="2" t="inlineStr">
        <is>
          <t>HIGH_CONFIDENCE</t>
        </is>
      </c>
      <c r="I362" s="2" t="inlineStr"/>
      <c r="J362" s="2" t="inlineStr">
        <is>
          <t>Betrieb der Anlage im betroffenen Bereich bis zur Umsetzung der festgelegten Schutzmaßnahmen einstellen oder nur nach schriftlicher Freigaberegelung des Betreibers zulassen, Betreiber unverzüglich schriftlich unterrichten; daneben keine Arbeiten mit Zündquellen ohne Erlaubnisschein</t>
        </is>
      </c>
      <c r="K362" s="2" t="inlineStr">
        <is>
          <t>Festgelegte Ex-Schutzmaßnahmen umsetzen und ihre Wirksamkeit vor der weiteren Nutzung prüfen lassen</t>
        </is>
      </c>
      <c r="L362" s="2" t="inlineStr">
        <is>
          <t>Regelprüfung 20.09.2026: Sofortmaßnahme ergänzt. Sie deckte nur die Zündquelle „Fremdarbeit" ab, während die Gefährdung darin besteht, dass die Aufzugsanlage selbst im Ex-Bereich betrieben wird und ungeeignete Betriebsmittel enthält – bei Stufe Hoch blieb die Gefahr damit unbeantwortet. Bedingung, Stufe und Priorität bleiben. [Prüfbericht: Prüfbericht 16.09.2026 – Dokumentation allein ist keine Schutzmaßnahme (§ 6 GefStoffV, § 4 BetrSichV)] Freigegeben 2026-09-20.</t>
        </is>
      </c>
      <c r="M362" s="3" t="n"/>
      <c r="N362" s="3" t="n"/>
    </row>
    <row r="363">
      <c r="A363" s="4" t="inlineStr">
        <is>
          <t>MF-U06</t>
        </is>
      </c>
      <c r="B363" s="4" t="inlineStr">
        <is>
          <t>Explosionsfähiges Gemisch kann durch die Aufzugsanlage gezündet werden</t>
        </is>
      </c>
      <c r="C363" s="4" t="inlineStr">
        <is>
          <t>Umfeld und Gefahrstoffe</t>
        </is>
      </c>
      <c r="D363" s="4" t="inlineStr">
        <is>
          <t>MF-U06-R5</t>
        </is>
      </c>
      <c r="E363" s="4" t="n">
        <v>200</v>
      </c>
      <c r="F363" s="4" t="inlineStr">
        <is>
          <t>(15.25 Kann sich im Bereich der Anlage ein explosionsfähiges Gemisch bilden (Gase, Dämpfe, Stäube)? = Ja UND 15.25a Explosionsschutz für die Aufzugsanlage bewertet und dokumentiert (Explosionsschutzdokument)? = Ja UND 15.25b Festgelegte Ex-Schutzmaßnahmen an der Aufzugsanlage umgesetzt und auf Wirksamkeit geprüft (geeignete Betriebsmittel, Prüfung vor Inbetriebnahme/wiederkehrend)? = Ja)</t>
        </is>
      </c>
      <c r="G363" s="4" t="inlineStr">
        <is>
          <t>Mittel</t>
        </is>
      </c>
      <c r="H363" s="4" t="inlineStr">
        <is>
          <t>INFERRED</t>
        </is>
      </c>
      <c r="I363" s="4" t="inlineStr"/>
      <c r="J363" s="4" t="inlineStr">
        <is>
          <t>Festgelegte Ex-Schutzmaßnahmen einhalten, Zündquellen an der Anlage prüfen</t>
        </is>
      </c>
      <c r="K363" s="4" t="inlineStr">
        <is>
          <t>Explosionsschutzdokument bei Änderungen an Anlage oder Nutzung fortschreiben</t>
        </is>
      </c>
      <c r="L363" s="4" t="inlineStr">
        <is>
          <t>Entschieden 2026-09-02: K-U03.</t>
        </is>
      </c>
      <c r="M363" s="3" t="n"/>
      <c r="N363" s="3" t="n"/>
    </row>
    <row r="364">
      <c r="A364" s="2" t="inlineStr">
        <is>
          <t>MF-U06</t>
        </is>
      </c>
      <c r="B364" s="2" t="inlineStr">
        <is>
          <t>Explosionsfähiges Gemisch kann durch die Aufzugsanlage gezündet werden</t>
        </is>
      </c>
      <c r="C364" s="2" t="inlineStr">
        <is>
          <t>Umfeld und Gefahrstoffe</t>
        </is>
      </c>
      <c r="D364" s="2" t="inlineStr">
        <is>
          <t>MF-U06-R2</t>
        </is>
      </c>
      <c r="E364" s="2" t="n">
        <v>100</v>
      </c>
      <c r="F364" s="2" t="inlineStr">
        <is>
          <t>15.25 Kann sich im Bereich der Anlage ein explosionsfähiges Gemisch bilden (Gase, Dämpfe, Stäube)? = Ja</t>
        </is>
      </c>
      <c r="G364" s="2" t="inlineStr">
        <is>
          <t>Hoch</t>
        </is>
      </c>
      <c r="H364" s="2" t="inlineStr">
        <is>
          <t>HIGH_CONFIDENCE</t>
        </is>
      </c>
      <c r="I364" s="2" t="inlineStr"/>
      <c r="J364" s="2" t="inlineStr">
        <is>
          <t>Betreiber unverzüglich schriftlich unterrichten; bis zur Vorlage der Explosionsschutzbewertung den Betrieb der Anlage im möglicherweise explosionsgefährdeten Bereich mit dem Betreiber verbindlich regeln (Einschränkung, Freigaberegelung oder Außerbetriebnahme); Erlaubnisscheinverfahren für Arbeiten mit Zündquellen beibehalten</t>
        </is>
      </c>
      <c r="K364" s="2" t="inlineStr">
        <is>
          <t>Explosionsschutzbewertung für die Aufzugsanlage erstellen lassen (Explosionsschutzdokument, Zoneneinteilung, geeignete Betriebsmittel)</t>
        </is>
      </c>
      <c r="L364" s="2" t="inlineStr">
        <is>
          <t>Regelprüfung 20.09.2026: Sofortmaßnahme erweitert wie bei R4, aber abgestuft: Anders als dort ist bei fehlendem Explosionsschutzdokument nicht erwiesen, dass der Aufzug in einer Zone liegt – deshalb „mit dem Betreiber verbindlich regeln" statt Betriebseinstellung. Die bisherige Fassung ließ die Anlage als mögliche Zündquelle im unbewerteten Bereich weiterlaufen. Stufe und Priorität bleiben. [Prüfbericht: H07 – gefährdungsspezifische Maßnahmen statt generischer Schnittstellen-Texte] Frühere Klärung (vor der Änderung entschieden): K-U03 Freigegeben 2026-09-20.</t>
        </is>
      </c>
      <c r="M364" s="3" t="n"/>
      <c r="N364" s="3" t="n"/>
    </row>
    <row r="365">
      <c r="A365" s="4" t="inlineStr">
        <is>
          <t>MF-U06</t>
        </is>
      </c>
      <c r="B365" s="4" t="inlineStr">
        <is>
          <t>Explosionsfähiges Gemisch kann durch die Aufzugsanlage gezündet werden</t>
        </is>
      </c>
      <c r="C365" s="4" t="inlineStr">
        <is>
          <t>Umfeld und Gefahrstoffe</t>
        </is>
      </c>
      <c r="D365" s="4" t="inlineStr">
        <is>
          <t>MF-U06-R3</t>
        </is>
      </c>
      <c r="E365" s="4" t="n">
        <v>1</v>
      </c>
      <c r="F365" s="4" t="inlineStr">
        <is>
          <t>15.25 Kann sich im Bereich der Anlage ein explosionsfähiges Gemisch bilden (Gase, Dämpfe, Stäube)? beantwortet</t>
        </is>
      </c>
      <c r="G365" s="4" t="inlineStr">
        <is>
          <t>Kein Risiko</t>
        </is>
      </c>
      <c r="H365" s="4" t="inlineStr">
        <is>
          <t>HIGH_CONFIDENCE</t>
        </is>
      </c>
      <c r="I365" s="4" t="inlineStr"/>
      <c r="J365" s="4" t="inlineStr">
        <is>
          <t>Zustand erhalten; bei der wiederkehrenden Prüfung und der Betreiberkontrolle erneut prüfen</t>
        </is>
      </c>
      <c r="K365" s="4" t="inlineStr"/>
      <c r="L365" s="4" t="inlineStr">
        <is>
          <t>Kein Risiko: keine Mangelregel trifft zu, alle Pflichtfragen beantwortet. Freigegeben 2026-09-20.</t>
        </is>
      </c>
      <c r="M365" s="3" t="n"/>
      <c r="N365" s="3" t="n"/>
    </row>
    <row r="366">
      <c r="A366" s="2" t="inlineStr">
        <is>
          <t>MF-U07</t>
        </is>
      </c>
      <c r="B366" s="2" t="inlineStr">
        <is>
          <t>Umgebungsbedingungen: Temperatur, Feuchtigkeit, Wasser, Korrosion</t>
        </is>
      </c>
      <c r="C366" s="2" t="inlineStr">
        <is>
          <t>Umfeld und Gefahrstoffe</t>
        </is>
      </c>
      <c r="D366" s="2" t="inlineStr">
        <is>
          <t>MF-U07-R7</t>
        </is>
      </c>
      <c r="E366" s="2" t="n">
        <v>100</v>
      </c>
      <c r="F366" s="2" t="inlineStr">
        <is>
          <t>11.15 Wasser oder Feuchtigkeit in der Schachtgrube in [„Stehendes Wasser in der Grube bzw. Wasser an elektrischen oder sicherheitsrelevanten Bauteilen", „Umfang nicht beurteilbar"]</t>
        </is>
      </c>
      <c r="G366" s="2" t="inlineStr">
        <is>
          <t>Hoch</t>
        </is>
      </c>
      <c r="H366" s="2" t="inlineStr">
        <is>
          <t>HIGH_CONFIDENCE</t>
        </is>
      </c>
      <c r="I366" s="2" t="inlineStr"/>
      <c r="J366" s="2" t="inlineStr">
        <is>
          <t>Anlage bei Wasser in der Grube oder an Sicherheitsbauteilen außer Betrieb nehmen; Ursache mit dem Betreiber klären</t>
        </is>
      </c>
      <c r="K366" s="2" t="inlineStr">
        <is>
          <t>Wassereintritt beseitigen (Abdichtung, Pumpensumpf) und betroffene Bauteile prüfen lassen</t>
        </is>
      </c>
      <c r="L366" s="2" t="inlineStr">
        <is>
          <t>Regelprüfung 20.09.2026: Bedingung auf stehendes Wasser bzw. Wasser an elektrischen oder sicherheitsrelevanten Bauteilen eingegrenzt – und ausdrücklich auch auf den nicht beurteilbaren Umfang (fail-closed). Frage 11.15 lautete „Wasser ODER Feuchtigkeit" und führte ausnahmslos zu Hoch mit Außerbetriebnahme; feuchte Grubenwände und Kondensat sind in Altschächten der Regelfall und rechtfertigen keine Stilllegung. Bei 15.23a war die Bedingung bereits auf sicherheitsrelevante Bauteile geschärft – die Asymmetrie ist damit behoben. Stufe und Maßnahmen bleiben für den echten Wasserfall unverändert. [Prüfbericht: H07 – gefährdungsspezifische Maßnahmen statt generischer Schnittstellen-Texte] Freigegeben 2026-09-20.</t>
        </is>
      </c>
      <c r="M366" s="3" t="n"/>
      <c r="N366" s="3" t="n"/>
    </row>
    <row r="367">
      <c r="A367" s="4" t="inlineStr">
        <is>
          <t>MF-U07</t>
        </is>
      </c>
      <c r="B367" s="4" t="inlineStr">
        <is>
          <t>Umgebungsbedingungen: Temperatur, Feuchtigkeit, Wasser, Korrosion</t>
        </is>
      </c>
      <c r="C367" s="4" t="inlineStr">
        <is>
          <t>Umfeld und Gefahrstoffe</t>
        </is>
      </c>
      <c r="D367" s="4" t="inlineStr">
        <is>
          <t>MF-U07-R8</t>
        </is>
      </c>
      <c r="E367" s="4" t="n">
        <v>90</v>
      </c>
      <c r="F367" s="4" t="inlineStr">
        <is>
          <t>11.15 Wasser oder Feuchtigkeit in der Schachtgrube = „Nur Feuchte oder Kondensat ohne Kontakt zu Bauteilen"</t>
        </is>
      </c>
      <c r="G367" s="4" t="inlineStr">
        <is>
          <t>Mittel</t>
        </is>
      </c>
      <c r="H367" s="4" t="inlineStr">
        <is>
          <t>INFERRED</t>
        </is>
      </c>
      <c r="I367" s="4" t="inlineStr"/>
      <c r="J367" s="4" t="inlineStr">
        <is>
          <t>Betroffene Bauteile auf Feuchteschäden und Korrosion sichtprüfen; Betreiber unterrichten</t>
        </is>
      </c>
      <c r="K367" s="4" t="inlineStr">
        <is>
          <t>Ursache der Feuchte beseitigen – Abdichtung prüfen, Belüftung bzw. Beheizung der Grube herstellen; Zustand der Bauteile bei der wiederkehrenden Prüfung erneut bewerten</t>
        </is>
      </c>
      <c r="L367" s="4" t="inlineStr">
        <is>
          <t>Regelprüfung 20.09.2026: Neue Regel für die bloße Feuchte bzw. Kondensat ohne Bauteilkontakt. Sie ist nicht folgenlos – Korrosion an tragenden und sicherheitsrelevanten Teilen entsteht daraus –, rechtfertigt aber keine Stilllegung. Freigegeben 2026-09-20.</t>
        </is>
      </c>
      <c r="M367" s="3" t="n"/>
      <c r="N367" s="3" t="n"/>
    </row>
    <row r="368">
      <c r="A368" s="2" t="inlineStr">
        <is>
          <t>MF-U07</t>
        </is>
      </c>
      <c r="B368" s="2" t="inlineStr">
        <is>
          <t>Umgebungsbedingungen: Temperatur, Feuchtigkeit, Wasser, Korrosion</t>
        </is>
      </c>
      <c r="C368" s="2" t="inlineStr">
        <is>
          <t>Umfeld und Gefahrstoffe</t>
        </is>
      </c>
      <c r="D368" s="2" t="inlineStr">
        <is>
          <t>MF-U07-R2</t>
        </is>
      </c>
      <c r="E368" s="2" t="n">
        <v>100</v>
      </c>
      <c r="F368" s="2" t="inlineStr">
        <is>
          <t>15.23a Feuchtigkeit oder Kondensat an sicherheitsrelevanten Bauteilen außerhalb der Schachtgrube (Steuerung, Bremse, Türverriegelung)? = Ja</t>
        </is>
      </c>
      <c r="G368" s="2" t="inlineStr">
        <is>
          <t>Hoch</t>
        </is>
      </c>
      <c r="H368" s="2" t="inlineStr">
        <is>
          <t>HIGH_CONFIDENCE</t>
        </is>
      </c>
      <c r="I368" s="2" t="inlineStr"/>
      <c r="J368" s="2" t="inlineStr">
        <is>
          <t>Anlage bei Feuchtigkeit oder Wasser an Steuerung, Bremse oder Türverriegelung außer Betrieb nehmen; Ursache mit dem Betreiber klären</t>
        </is>
      </c>
      <c r="K368" s="2" t="inlineStr">
        <is>
          <t>Ursache nach Befund beseitigen – bei Wassereintritt abdichten, bei Kondensat Belüftung bzw. Beheizung von Triebwerksraum oder Schacht herstellen und die Schutzart der betroffenen Betriebsmittel anheben; betroffene Sicherheitsbauteile prüfen und bei Korrosionsspuren austauschen lassen</t>
        </is>
      </c>
      <c r="L368" s="2" t="inlineStr">
        <is>
          <t>Regelprüfung 20.09.2026: Beide Maßnahmen von MU['wasser'] gelöst. Sie stammten unverändert aus dem Wasser-Textblock der Schachtgrube und passten nicht zu der 2026 geschärften Bedingung, die ausdrücklich den Bereich AUSSERHALB der Grube und den Fall Kondensat erfasst: Die Sofortmaßnahme nannte einen Bereich, den 15.23a gerade ausschließt, und für Kondensat an der Steuerung liegt die Ursache in Lüftung, Beheizung und Schutzart, nicht im Wassereintritt. Bedingung und Stufe Hoch bleiben – Feuchte an Bremse oder Türverriegelung kann eine Einrichtung im Sicherheitskreis zum Versagen bringen. [Prüfbericht: H07 – gefährdungsspezifische Maßnahmen statt generischer Schnittstellen-Texte] Freigegeben 2026-09-20.</t>
        </is>
      </c>
      <c r="M368" s="3" t="n"/>
      <c r="N368" s="3" t="n"/>
    </row>
    <row r="369">
      <c r="A369" s="4" t="inlineStr">
        <is>
          <t>MF-U07</t>
        </is>
      </c>
      <c r="B369" s="4" t="inlineStr">
        <is>
          <t>Umgebungsbedingungen: Temperatur, Feuchtigkeit, Wasser, Korrosion</t>
        </is>
      </c>
      <c r="C369" s="4" t="inlineStr">
        <is>
          <t>Umfeld und Gefahrstoffe</t>
        </is>
      </c>
      <c r="D369" s="4" t="inlineStr">
        <is>
          <t>MF-U07-R3</t>
        </is>
      </c>
      <c r="E369" s="4" t="n">
        <v>100</v>
      </c>
      <c r="F369" s="4" t="inlineStr">
        <is>
          <t>15.23b Massive Korrosion, Betonabplatzungen oder andere bauliche Schäden am Schacht oder Triebwerksraum? = Ja</t>
        </is>
      </c>
      <c r="G369" s="4" t="inlineStr">
        <is>
          <t>Hoch</t>
        </is>
      </c>
      <c r="H369" s="4" t="inlineStr">
        <is>
          <t>HIGH_CONFIDENCE</t>
        </is>
      </c>
      <c r="I369" s="4" t="inlineStr"/>
      <c r="J369" s="4" t="inlineStr">
        <is>
          <t>Tragende und sicherheitsrelevante Bauteile auf Tragfähigkeit prüfen; bei Zweifel Anlage außer Betrieb nehmen</t>
        </is>
      </c>
      <c r="K369" s="4" t="inlineStr">
        <is>
          <t>Bauliche Schäden durch Fachbetrieb instand setzen und Standsicherheit nachweisen lassen</t>
        </is>
      </c>
      <c r="L369" s="4" t="inlineStr">
        <is>
          <t>[Prüfbericht: H07 – gefährdungsspezifische Maßnahmen statt generischer Schnittstellen-Texte] Freigegeben 2026-09-20.</t>
        </is>
      </c>
      <c r="M369" s="3" t="n"/>
      <c r="N369" s="3" t="n"/>
    </row>
    <row r="370">
      <c r="A370" s="2" t="inlineStr">
        <is>
          <t>MF-U07</t>
        </is>
      </c>
      <c r="B370" s="2" t="inlineStr">
        <is>
          <t>Umgebungsbedingungen: Temperatur, Feuchtigkeit, Wasser, Korrosion</t>
        </is>
      </c>
      <c r="C370" s="2" t="inlineStr">
        <is>
          <t>Umfeld und Gefahrstoffe</t>
        </is>
      </c>
      <c r="D370" s="2" t="inlineStr">
        <is>
          <t>MF-U07-R4</t>
        </is>
      </c>
      <c r="E370" s="2" t="n">
        <v>100</v>
      </c>
      <c r="F370" s="2" t="inlineStr">
        <is>
          <t>15.23 Unzulässige Temperaturen im Triebwerksraum oder Schacht möglich (Überhitzung über 40 °C, Frost)? = Ja</t>
        </is>
      </c>
      <c r="G370" s="2" t="inlineStr">
        <is>
          <t>Mittel</t>
        </is>
      </c>
      <c r="H370" s="2" t="inlineStr">
        <is>
          <t>HIGH_CONFIDENCE</t>
        </is>
      </c>
      <c r="I370" s="2" t="inlineStr"/>
      <c r="J370" s="2" t="inlineStr">
        <is>
          <t>Raumtemperatur messen; bei Überschreitung Betrieb nach Herstellervorgaben einschränken</t>
        </is>
      </c>
      <c r="K370" s="2" t="inlineStr">
        <is>
          <t>Lüftung/Kühlung bzw. Frostschutz im Triebwerksraum oder Schacht herstellen</t>
        </is>
      </c>
      <c r="L370" s="2" t="inlineStr">
        <is>
          <t>[Prüfbericht: H07 – gefährdungsspezifische Maßnahmen statt generischer Schnittstellen-Texte] Freigegeben 2026-09-20.</t>
        </is>
      </c>
      <c r="M370" s="3" t="n"/>
      <c r="N370" s="3" t="n"/>
    </row>
    <row r="371">
      <c r="A371" s="4" t="inlineStr">
        <is>
          <t>MF-U07</t>
        </is>
      </c>
      <c r="B371" s="4" t="inlineStr">
        <is>
          <t>Umgebungsbedingungen: Temperatur, Feuchtigkeit, Wasser, Korrosion</t>
        </is>
      </c>
      <c r="C371" s="4" t="inlineStr">
        <is>
          <t>Umfeld und Gefahrstoffe</t>
        </is>
      </c>
      <c r="D371" s="4" t="inlineStr">
        <is>
          <t>MF-U07-R5</t>
        </is>
      </c>
      <c r="E371" s="4" t="n">
        <v>100</v>
      </c>
      <c r="F371" s="4" t="inlineStr">
        <is>
          <t>11.16 Öl oder wassergefährdende Stoffe in der Grube ohne Auffangmöglichkeit? = Ja</t>
        </is>
      </c>
      <c r="G371" s="4" t="inlineStr">
        <is>
          <t>Mittel</t>
        </is>
      </c>
      <c r="H371" s="4" t="inlineStr">
        <is>
          <t>HIGH_CONFIDENCE</t>
        </is>
      </c>
      <c r="I371" s="4" t="inlineStr"/>
      <c r="J371" s="4" t="inlineStr">
        <is>
          <t>Austretendes Öl binden und entsorgen; Leckage suchen</t>
        </is>
      </c>
      <c r="K371" s="4" t="inlineStr">
        <is>
          <t>Leckage beseitigen und Auffangwanne bzw. Ölabscheider vorsehen</t>
        </is>
      </c>
      <c r="L371" s="4" t="inlineStr">
        <is>
          <t>[Prüfbericht: H07 – gefährdungsspezifische Maßnahmen statt generischer Schnittstellen-Texte] Freigegeben 2026-09-20.</t>
        </is>
      </c>
      <c r="M371" s="3" t="n"/>
      <c r="N371" s="3" t="n"/>
    </row>
    <row r="372">
      <c r="A372" s="2" t="inlineStr">
        <is>
          <t>MF-U07</t>
        </is>
      </c>
      <c r="B372" s="2" t="inlineStr">
        <is>
          <t>Umgebungsbedingungen: Temperatur, Feuchtigkeit, Wasser, Korrosion</t>
        </is>
      </c>
      <c r="C372" s="2" t="inlineStr">
        <is>
          <t>Umfeld und Gefahrstoffe</t>
        </is>
      </c>
      <c r="D372" s="2" t="inlineStr">
        <is>
          <t>MF-U07-R6</t>
        </is>
      </c>
      <c r="E372" s="2" t="n">
        <v>1</v>
      </c>
      <c r="F372" s="2" t="inlineStr">
        <is>
          <t>15.23 Unzulässige Temperaturen im Triebwerksraum oder Schacht möglich (Überhitzung über 40 °C, Frost)? beantwortet</t>
        </is>
      </c>
      <c r="G372" s="2" t="inlineStr">
        <is>
          <t>Kein Risiko</t>
        </is>
      </c>
      <c r="H372" s="2" t="inlineStr">
        <is>
          <t>HIGH_CONFIDENCE</t>
        </is>
      </c>
      <c r="I372" s="2" t="inlineStr"/>
      <c r="J372" s="2" t="inlineStr">
        <is>
          <t>Zustand erhalten; bei der wiederkehrenden Prüfung und der Betreiberkontrolle erneut prüfen</t>
        </is>
      </c>
      <c r="K372" s="2" t="inlineStr"/>
      <c r="L372" s="2" t="inlineStr">
        <is>
          <t>Kein Risiko: keine Mangelregel trifft zu, alle Pflichtfragen beantwortet. Freigegeben 2026-09-20.</t>
        </is>
      </c>
      <c r="M372" s="3" t="n"/>
      <c r="N372" s="3" t="n"/>
    </row>
    <row r="373">
      <c r="A373" s="4" t="inlineStr">
        <is>
          <t>MF-U08</t>
        </is>
      </c>
      <c r="B373" s="4" t="inlineStr">
        <is>
          <t>Bauliche Änderungen ohne Bewertung, Statik und baulicher Zustand</t>
        </is>
      </c>
      <c r="C373" s="4" t="inlineStr">
        <is>
          <t>Brandschutz und Gebäudeschnittstelle</t>
        </is>
      </c>
      <c r="D373" s="4" t="inlineStr">
        <is>
          <t>MF-U08-R1</t>
        </is>
      </c>
      <c r="E373" s="4" t="n">
        <v>100</v>
      </c>
      <c r="F373" s="4" t="inlineStr">
        <is>
          <t>15.26 Bauliche Änderungen am Schacht / Triebwerksraum ohne statische und sicherheitstechnische Bewertung? = Ja</t>
        </is>
      </c>
      <c r="G373" s="4" t="inlineStr">
        <is>
          <t>Hoch</t>
        </is>
      </c>
      <c r="H373" s="4" t="inlineStr">
        <is>
          <t>HIGH_CONFIDENCE</t>
        </is>
      </c>
      <c r="I373" s="4" t="inlineStr"/>
      <c r="J373" s="4" t="inlineStr">
        <is>
          <t>Betreiber auffordern, Umfang und Bewertung der baulichen Änderung vorzulegen; bei Zweifel an der Standsicherheit Anlage außer Betrieb nehmen</t>
        </is>
      </c>
      <c r="K373" s="4" t="inlineStr">
        <is>
          <t>Statische und sicherheitstechnische Bewertung der Änderung durch Fachplaner und ZÜS veranlassen</t>
        </is>
      </c>
      <c r="L373" s="4" t="inlineStr">
        <is>
          <t>[Prüfbericht: H07 – gefährdungsspezifische Maßnahmen statt generischer Schnittstellen-Texte] Freigegeben 2026-09-20.</t>
        </is>
      </c>
      <c r="M373" s="3" t="n"/>
      <c r="N373" s="3" t="n"/>
    </row>
    <row r="374">
      <c r="A374" s="2" t="inlineStr">
        <is>
          <t>MF-U08</t>
        </is>
      </c>
      <c r="B374" s="2" t="inlineStr">
        <is>
          <t>Bauliche Änderungen ohne Bewertung, Statik und baulicher Zustand</t>
        </is>
      </c>
      <c r="C374" s="2" t="inlineStr">
        <is>
          <t>Brandschutz und Gebäudeschnittstelle</t>
        </is>
      </c>
      <c r="D374" s="2" t="inlineStr">
        <is>
          <t>MF-U08-R2</t>
        </is>
      </c>
      <c r="E374" s="2" t="n">
        <v>100</v>
      </c>
      <c r="F374" s="2" t="inlineStr">
        <is>
          <t>15.26a Nachträgliche Verkleidungen oder Änderungen, die den Sicherheitszustand verschlechtern (Schutzräume, Lüftung, Zugänge)? = Ja</t>
        </is>
      </c>
      <c r="G374" s="2" t="inlineStr">
        <is>
          <t>Mittel</t>
        </is>
      </c>
      <c r="H374" s="2" t="inlineStr">
        <is>
          <t>HIGH_CONFIDENCE</t>
        </is>
      </c>
      <c r="I374" s="2" t="inlineStr"/>
      <c r="J374" s="2" t="inlineStr">
        <is>
          <t>Auswirkung der Verkleidung auf Schutzräume, Lüftung und Zugänge prüfen</t>
        </is>
      </c>
      <c r="K374" s="2" t="inlineStr">
        <is>
          <t>Verkleidung zurückbauen oder Zustand durch die ZÜS bewerten lassen</t>
        </is>
      </c>
      <c r="L374" s="2" t="inlineStr">
        <is>
          <t>[Prüfbericht: H07 – gefährdungsspezifische Maßnahmen statt generischer Schnittstellen-Texte] Freigegeben 2026-09-20.</t>
        </is>
      </c>
      <c r="M374" s="3" t="n"/>
      <c r="N374" s="3" t="n"/>
    </row>
    <row r="375">
      <c r="A375" s="4" t="inlineStr">
        <is>
          <t>MF-U08</t>
        </is>
      </c>
      <c r="B375" s="4" t="inlineStr">
        <is>
          <t>Bauliche Änderungen ohne Bewertung, Statik und baulicher Zustand</t>
        </is>
      </c>
      <c r="C375" s="4" t="inlineStr">
        <is>
          <t>Brandschutz und Gebäudeschnittstelle</t>
        </is>
      </c>
      <c r="D375" s="4" t="inlineStr">
        <is>
          <t>MF-U08-R3</t>
        </is>
      </c>
      <c r="E375" s="4" t="n">
        <v>1</v>
      </c>
      <c r="F375" s="4" t="inlineStr">
        <is>
          <t>15.26 Bauliche Änderungen am Schacht / Triebwerksraum ohne statische und sicherheitstechnische Bewertung? beantwortet</t>
        </is>
      </c>
      <c r="G375" s="4" t="inlineStr">
        <is>
          <t>Kein Risiko</t>
        </is>
      </c>
      <c r="H375" s="4" t="inlineStr">
        <is>
          <t>HIGH_CONFIDENCE</t>
        </is>
      </c>
      <c r="I375" s="4" t="inlineStr"/>
      <c r="J375" s="4" t="inlineStr">
        <is>
          <t>Zustand erhalten; bei der wiederkehrenden Prüfung und der Betreiberkontrolle erneut prüfen</t>
        </is>
      </c>
      <c r="K375" s="4" t="inlineStr"/>
      <c r="L375" s="4" t="inlineStr">
        <is>
          <t>Kein Risiko: keine Mangelregel trifft zu, alle Pflichtfragen beantwortet. Freigegeben 2026-09-20.</t>
        </is>
      </c>
      <c r="M375" s="3" t="n"/>
      <c r="N375" s="3" t="n"/>
    </row>
    <row r="376">
      <c r="A376" s="2" t="inlineStr">
        <is>
          <t>MF-U09</t>
        </is>
      </c>
      <c r="B376" s="2" t="inlineStr">
        <is>
          <t>Brandmeldeanlage, Brandfall- und Evakuierungssteuerung nicht abgestimmt; Brandschutzeinrichtung behindert Betrieb oder Rettung</t>
        </is>
      </c>
      <c r="C376" s="2" t="inlineStr">
        <is>
          <t>Brandschutz und Gebäudeschnittstelle</t>
        </is>
      </c>
      <c r="D376" s="2" t="inlineStr">
        <is>
          <t>MF-U09-R1</t>
        </is>
      </c>
      <c r="E376" s="2" t="n">
        <v>100</v>
      </c>
      <c r="F376" s="2" t="inlineStr">
        <is>
          <t>15.8a Schnittstelle Brandmeldeanlage – Aufzug bekannt und abgestimmt (Brandfallsteuerung, Rückholung, Evakuierung)? = Nein</t>
        </is>
      </c>
      <c r="G376" s="2" t="inlineStr">
        <is>
          <t>Mittel</t>
        </is>
      </c>
      <c r="H376" s="2" t="inlineStr">
        <is>
          <t>HIGH_CONFIDENCE</t>
        </is>
      </c>
      <c r="I376" s="2" t="inlineStr"/>
      <c r="J376" s="2" t="inlineStr">
        <is>
          <t>Brandfallsteuerung mit dem Betreiber und dem Brandschutzbeauftragten abstimmen</t>
        </is>
      </c>
      <c r="K376" s="2" t="inlineStr">
        <is>
          <t>Ansteuerung aus der BMA gemäß Brandschutzkonzept herstellen und dokumentieren</t>
        </is>
      </c>
      <c r="L376" s="2" t="inlineStr">
        <is>
          <t>[Prüfbericht: H07 – gefährdungsspezifische Maßnahmen statt generischer Schnittstellen-Texte] Freigegeben 2026-09-20.</t>
        </is>
      </c>
      <c r="M376" s="3" t="n"/>
      <c r="N376" s="3" t="n"/>
    </row>
    <row r="377">
      <c r="A377" s="4" t="inlineStr">
        <is>
          <t>MF-U09</t>
        </is>
      </c>
      <c r="B377" s="4" t="inlineStr">
        <is>
          <t>Brandmeldeanlage, Brandfall- und Evakuierungssteuerung nicht abgestimmt; Brandschutzeinrichtung behindert Betrieb oder Rettung</t>
        </is>
      </c>
      <c r="C377" s="4" t="inlineStr">
        <is>
          <t>Brandschutz und Gebäudeschnittstelle</t>
        </is>
      </c>
      <c r="D377" s="4" t="inlineStr">
        <is>
          <t>MF-U09-R2</t>
        </is>
      </c>
      <c r="E377" s="4" t="n">
        <v>100</v>
      </c>
      <c r="F377" s="4" t="inlineStr">
        <is>
          <t>15.8b Funktion der Schnittstelle BMA – Aufzug geprüft (Nachweis)? = Nein</t>
        </is>
      </c>
      <c r="G377" s="4" t="inlineStr">
        <is>
          <t>Mittel</t>
        </is>
      </c>
      <c r="H377" s="4" t="inlineStr">
        <is>
          <t>HIGH_CONFIDENCE</t>
        </is>
      </c>
      <c r="I377" s="4" t="inlineStr"/>
      <c r="J377" s="4" t="inlineStr">
        <is>
          <t>Funktionsprüfung der Schnittstelle BMA – Aufzug kurzfristig veranlassen</t>
        </is>
      </c>
      <c r="K377" s="4" t="inlineStr">
        <is>
          <t>Wirk-Prinzip-Prüfung nach Prüfverordnung des Landes in den Prüfplan aufnehmen</t>
        </is>
      </c>
      <c r="L377" s="4" t="inlineStr">
        <is>
          <t>Prüfbericht 20.09.2026: Hoch auf Mittel. Der fehlende Nachweis der Wirk-Prinzip-Prüfung ist ein Dokumentationsmangel der Gebäudeseite; die Funktionsprüfung der Aufzugs-Brandfallsteuerung (8.21a) ist ebenfalls Mittel – beide Stufen sind jetzt gleich. [Prüfbericht: H07 – gefährdungsspezifische Maßnahmen statt generischer Schnittstellen-Texte] Freigegeben 2026-09-20.</t>
        </is>
      </c>
      <c r="M377" s="3" t="n"/>
      <c r="N377" s="3" t="n"/>
    </row>
    <row r="378">
      <c r="A378" s="2" t="inlineStr">
        <is>
          <t>MF-U09</t>
        </is>
      </c>
      <c r="B378" s="2" t="inlineStr">
        <is>
          <t>Brandmeldeanlage, Brandfall- und Evakuierungssteuerung nicht abgestimmt; Brandschutzeinrichtung behindert Betrieb oder Rettung</t>
        </is>
      </c>
      <c r="C378" s="2" t="inlineStr">
        <is>
          <t>Brandschutz und Gebäudeschnittstelle</t>
        </is>
      </c>
      <c r="D378" s="2" t="inlineStr">
        <is>
          <t>MF-U09-R3</t>
        </is>
      </c>
      <c r="E378" s="2" t="n">
        <v>100</v>
      </c>
      <c r="F378" s="2" t="inlineStr">
        <is>
          <t>15.8c Evakuierungs-/Sonderfunktion des Aufzugs im Brandschutzkonzept und in der Betriebsanweisung beschrieben (wer den Aufzug im Brandfall wie benutzen darf)? = Nein</t>
        </is>
      </c>
      <c r="G378" s="2" t="inlineStr">
        <is>
          <t>Mittel</t>
        </is>
      </c>
      <c r="H378" s="2" t="inlineStr">
        <is>
          <t>HIGH_CONFIDENCE</t>
        </is>
      </c>
      <c r="I378" s="2" t="inlineStr"/>
      <c r="J378" s="2" t="inlineStr">
        <is>
          <t>Betreiber unterrichten; bis zur Festlegung gilt der Aufzug im Brandfall als nicht benutzbar – Vorhandensein und Lesbarkeit des Verbotszeichens „Im Brandfall Aufzug nicht benutzen" (ASR A1.3 / ISO 7010 P020) an allen Haltestellen prüfen; nur bei Anlagen mit Evakuierungs- oder Feuerwehrfunktion zusätzlich Feuerwehr bzw. Brandschutzbeauftragten informieren</t>
        </is>
      </c>
      <c r="K378" s="2" t="inlineStr">
        <is>
          <t>Festlegung im Brandschutzkonzept und in der Betriebsanweisung treffen lassen (Benutzungsverbot im Brandfall bzw. – bei Evakuierungs- oder Feuerwehraufzügen – Evakuierungsbetrieb nach CEN/TS 81-76 bzw. DIN EN 81-72) mit Angabe, wer den Aufzug wie benutzen darf; fehlende Kennzeichnung nachrüsten</t>
        </is>
      </c>
      <c r="L378" s="2" t="inlineStr">
        <is>
          <t>Prüfbericht 20.09.2026: Hoch auf Mittel, nachdem die Frage auf die Festlegung des Betreibers (Brandschutzkonzept, Betriebsanweisung) umgestellt wurde. Regelprüfung 20.09.2026: Stufe Mittel bleibt, beide Maßnahmen neu gefasst (siehe MU['evak']): Der sicherheitsrelevante Kern ist die fehlende Festlegung und Kennzeichnung des Benutzungsverbots im Brandfall, nicht eine Evakuierungsfunktion, die die meisten Anlagen gar nicht haben. [Prüfbericht: H07 – gefährdungsspezifische Maßnahmen statt generischer Schnittstellen-Texte] Freigegeben 2026-09-20.</t>
        </is>
      </c>
      <c r="M378" s="3" t="n"/>
      <c r="N378" s="3" t="n"/>
    </row>
    <row r="379">
      <c r="A379" s="4" t="inlineStr">
        <is>
          <t>MF-U09</t>
        </is>
      </c>
      <c r="B379" s="4" t="inlineStr">
        <is>
          <t>Brandmeldeanlage, Brandfall- und Evakuierungssteuerung nicht abgestimmt; Brandschutzeinrichtung behindert Betrieb oder Rettung</t>
        </is>
      </c>
      <c r="C379" s="4" t="inlineStr">
        <is>
          <t>Brandschutz und Gebäudeschnittstelle</t>
        </is>
      </c>
      <c r="D379" s="4" t="inlineStr">
        <is>
          <t>MF-U09-R7</t>
        </is>
      </c>
      <c r="E379" s="4" t="n">
        <v>100</v>
      </c>
      <c r="F379" s="4" t="inlineStr">
        <is>
          <t>15.8d Behindert eine Brandschutzeinrichtung (Brandschutztür, Abschottung) den Aufzugsbetrieb oder die Personenrettung? = „Zugang zur Anlage, Notentriegelung, Schachttür oder Rettungsweg behindert – oder nicht sicher beurteilbar"</t>
        </is>
      </c>
      <c r="G379" s="4" t="inlineStr">
        <is>
          <t>Hoch</t>
        </is>
      </c>
      <c r="H379" s="4" t="inlineStr">
        <is>
          <t>HIGH_CONFIDENCE</t>
        </is>
      </c>
      <c r="I379" s="4" t="inlineStr"/>
      <c r="J379" s="4" t="inlineStr">
        <is>
          <t>Betreiber unterrichten; Zugang zu Triebwerksraum, Notentriegelung und Schachttür freiräumen bzw. sichern; ist die Personenrettung weiter behindert, Anlage bis zur Beseitigung außer Betrieb nehmen</t>
        </is>
      </c>
      <c r="K379" s="4" t="inlineStr">
        <is>
          <t>Brandschutzeinrichtung und Aufzug baulich bzw. technisch entflechten (Türfeststellanlage, geänderter Anschlag, Revisionsöffnung in der Abschottung) und das Ergebnis im Brandschutzkonzept fortschreiben</t>
        </is>
      </c>
      <c r="L379" s="4" t="inlineStr">
        <is>
          <t>Regelprüfung 20.09.2026: Bedingung auf die behinderte Personenrettung eingegrenzt – der nicht sicher beurteilbare Fall gehört ausdrücklich dazu (fail-closed). Die Regel bündelte vorher zwei Sachverhalte sehr unterschiedlicher Schwere. Außerdem kehrte die Maßnahmenlogik das TOP-Prinzip um: sofort wurde technisch beseitigt, mittelfristig blieb es bei einer vagen organisatorischen „Abstimmung", obwohl die Ursachenbeseitigung baulich-technisch ist. [Prüfbericht: H07 – gefährdungsspezifische Maßnahmen statt generischer Schnittstellen-Texte] Freigegeben 2026-09-20.</t>
        </is>
      </c>
      <c r="M379" s="3" t="n"/>
      <c r="N379" s="3" t="n"/>
    </row>
    <row r="380">
      <c r="A380" s="2" t="inlineStr">
        <is>
          <t>MF-U09</t>
        </is>
      </c>
      <c r="B380" s="2" t="inlineStr">
        <is>
          <t>Brandmeldeanlage, Brandfall- und Evakuierungssteuerung nicht abgestimmt; Brandschutzeinrichtung behindert Betrieb oder Rettung</t>
        </is>
      </c>
      <c r="C380" s="2" t="inlineStr">
        <is>
          <t>Brandschutz und Gebäudeschnittstelle</t>
        </is>
      </c>
      <c r="D380" s="2" t="inlineStr">
        <is>
          <t>MF-U09-R8</t>
        </is>
      </c>
      <c r="E380" s="2" t="n">
        <v>100</v>
      </c>
      <c r="F380" s="2" t="inlineStr">
        <is>
          <t>15.8d Behindert eine Brandschutzeinrichtung (Brandschutztür, Abschottung) den Aufzugsbetrieb oder die Personenrettung? = „Nur der Aufzugsbetrieb behindert, Rettungszugang und Rettungsweg nachweislich frei"</t>
        </is>
      </c>
      <c r="G380" s="2" t="inlineStr">
        <is>
          <t>Mittel</t>
        </is>
      </c>
      <c r="H380" s="2" t="inlineStr">
        <is>
          <t>INFERRED</t>
        </is>
      </c>
      <c r="I380" s="2" t="inlineStr"/>
      <c r="J380" s="2" t="inlineStr">
        <is>
          <t>Betreiber unterrichten; Behinderung des Aufzugsbetriebs dokumentieren und Freihaltung des Rettungszugangs bei jeder Begehung prüfen</t>
        </is>
      </c>
      <c r="K380" s="2" t="inlineStr">
        <is>
          <t>Brandschutzeinrichtung und Aufzug baulich bzw. technisch entflechten (Türfeststellanlage, geänderter Anschlag) und das Ergebnis im Brandschutzkonzept fortschreiben</t>
        </is>
      </c>
      <c r="L380" s="2" t="inlineStr">
        <is>
          <t>Regelprüfung 20.09.2026: Neue Regel für die reine Betriebsbehinderung bei nachweislich freiem Rettungszugang. Das ist kein unmittelbares Lebensrisiko und wurde mit Hoch überbewertet. [Prüfbericht: H07 – gefährdungsspezifische Maßnahmen statt generischer Schnittstellen-Texte] Freigegeben 2026-09-20.</t>
        </is>
      </c>
      <c r="M380" s="3" t="n"/>
      <c r="N380" s="3" t="n"/>
    </row>
    <row r="381">
      <c r="A381" s="4" t="inlineStr">
        <is>
          <t>MF-U09</t>
        </is>
      </c>
      <c r="B381" s="4" t="inlineStr">
        <is>
          <t>Brandmeldeanlage, Brandfall- und Evakuierungssteuerung nicht abgestimmt; Brandschutzeinrichtung behindert Betrieb oder Rettung</t>
        </is>
      </c>
      <c r="C381" s="4" t="inlineStr">
        <is>
          <t>Brandschutz und Gebäudeschnittstelle</t>
        </is>
      </c>
      <c r="D381" s="4" t="inlineStr">
        <is>
          <t>MF-U09-R6</t>
        </is>
      </c>
      <c r="E381" s="4" t="n">
        <v>1</v>
      </c>
      <c r="F381" s="4" t="inlineStr">
        <is>
          <t>15.8d Behindert eine Brandschutzeinrichtung (Brandschutztür, Abschottung) den Aufzugsbetrieb oder die Personenrettung? beantwortet</t>
        </is>
      </c>
      <c r="G381" s="4" t="inlineStr">
        <is>
          <t>Kein Risiko</t>
        </is>
      </c>
      <c r="H381" s="4" t="inlineStr">
        <is>
          <t>HIGH_CONFIDENCE</t>
        </is>
      </c>
      <c r="I381" s="4" t="inlineStr"/>
      <c r="J381" s="4" t="inlineStr">
        <is>
          <t>Zustand erhalten; bei der wiederkehrenden Prüfung und der Betreiberkontrolle erneut prüfen</t>
        </is>
      </c>
      <c r="K381" s="4" t="inlineStr"/>
      <c r="L381" s="4" t="inlineStr">
        <is>
          <t>Kein Risiko: keine Mangelregel trifft zu, alle Pflichtfragen beantwortet. Freigegeben 2026-09-20.</t>
        </is>
      </c>
      <c r="M381" s="3" t="n"/>
      <c r="N381" s="3" t="n"/>
    </row>
    <row r="382">
      <c r="A382" s="2" t="inlineStr">
        <is>
          <t>MF-U10</t>
        </is>
      </c>
      <c r="B382" s="2" t="inlineStr">
        <is>
          <t>Schachtentrauchung, Lüftung und RWA unklar oder verändert</t>
        </is>
      </c>
      <c r="C382" s="2" t="inlineStr">
        <is>
          <t>Brandschutz und Gebäudeschnittstelle</t>
        </is>
      </c>
      <c r="D382" s="2" t="inlineStr">
        <is>
          <t>MF-U10-R5</t>
        </is>
      </c>
      <c r="E382" s="2" t="n">
        <v>100</v>
      </c>
      <c r="F382" s="2" t="inlineStr">
        <is>
          <t>15.9a Zustand der Schachtentrauchung / RWA / Lüftungsöffnung in [„Entrauchung / RWA blockiert oder defekt", „Öffnungen verschlossen, verändert oder unzureichend"]</t>
        </is>
      </c>
      <c r="G382" s="2" t="inlineStr">
        <is>
          <t>Mittel</t>
        </is>
      </c>
      <c r="H382" s="2" t="inlineStr">
        <is>
          <t>HIGH_CONFIDENCE</t>
        </is>
      </c>
      <c r="I382" s="2" t="inlineStr"/>
      <c r="J382" s="2" t="inlineStr">
        <is>
          <t>Betreiber unterrichten und Funktionsprüfung durch die Fachfirma des Gewerks veranlassen</t>
        </is>
      </c>
      <c r="K382" s="2" t="inlineStr">
        <is>
          <t>Entrauchung instand setzen bzw. Öffnungsquerschnitt nach Brandschutzkonzept wiederherstellen und Prüfnachweis vorlegen lassen</t>
        </is>
      </c>
      <c r="L382" s="2" t="inlineStr">
        <is>
          <t>Regelprüfung 20.09.2026: Die frühere Hoch-Regel für „blockiert oder defekt" und die Mittel-Regel für „verschlossen oder verändert" sind zusammengefasst: Physikalisch ist das derselbe Zustand, die Abstufung Hoch/Mittel trennte nur die Ursache (Defekt gegenüber baulicher Veränderung), nicht das Risiko. Die Gefahr setzt in beiden Fällen das Brandereignis voraus – nach dem Stufenmaßstab Mittel, konsistent zu MF-U09-R1/R2. Eine Anhebung auf Hoch käme nur über die zusätzliche Feststellung in Betracht, dass die Entrauchung nach Brandschutzkonzept zwingend gefordert und vollständig unwirksam ist. Normbezug ist die Landesbauordnung bzw. das Brandschutzkonzept, nicht DIN EN 81-20 5.2.1.4.1 (Beleuchtung). [Prüfbericht: H07 – gefährdungsspezifische Maßnahmen statt generischer Schnittstellen-Texte] Freigegeben 2026-09-20.</t>
        </is>
      </c>
      <c r="M382" s="3" t="n"/>
      <c r="N382" s="3" t="n"/>
    </row>
    <row r="383">
      <c r="A383" s="4" t="inlineStr">
        <is>
          <t>MF-U10</t>
        </is>
      </c>
      <c r="B383" s="4" t="inlineStr">
        <is>
          <t>Schachtentrauchung, Lüftung und RWA unklar oder verändert</t>
        </is>
      </c>
      <c r="C383" s="4" t="inlineStr">
        <is>
          <t>Brandschutz und Gebäudeschnittstelle</t>
        </is>
      </c>
      <c r="D383" s="4" t="inlineStr">
        <is>
          <t>MF-U10-R3</t>
        </is>
      </c>
      <c r="E383" s="4" t="n">
        <v>100</v>
      </c>
      <c r="F383" s="4" t="inlineStr">
        <is>
          <t>15.9a Zustand der Schachtentrauchung / RWA / Lüftungsöffnung = „Funktion unklar oder kein Nachweis über Prüfung"</t>
        </is>
      </c>
      <c r="G383" s="4" t="inlineStr">
        <is>
          <t>Mittel</t>
        </is>
      </c>
      <c r="H383" s="4" t="inlineStr">
        <is>
          <t>HIGH_CONFIDENCE</t>
        </is>
      </c>
      <c r="I383" s="4" t="inlineStr"/>
      <c r="J383" s="4" t="inlineStr">
        <is>
          <t>Prüfnachweis beim Betreiber anfordern</t>
        </is>
      </c>
      <c r="K383" s="4" t="inlineStr">
        <is>
          <t>Wiederkehrende Prüfung der Entrauchung in den Prüfplan aufnehmen</t>
        </is>
      </c>
      <c r="L383" s="4" t="inlineStr">
        <is>
          <t>Regelprüfung 20.09.2026: Bedingung um den Fall „Funktion unklar" erweitert (Option geteilt). Stufe Mittel unverändert. [Prüfbericht: H07 – gefährdungsspezifische Maßnahmen statt generischer Schnittstellen-Texte] Freigegeben 2026-09-20.</t>
        </is>
      </c>
      <c r="M383" s="3" t="n"/>
      <c r="N383" s="3" t="n"/>
    </row>
    <row r="384">
      <c r="A384" s="2" t="inlineStr">
        <is>
          <t>MF-U10</t>
        </is>
      </c>
      <c r="B384" s="2" t="inlineStr">
        <is>
          <t>Schachtentrauchung, Lüftung und RWA unklar oder verändert</t>
        </is>
      </c>
      <c r="C384" s="2" t="inlineStr">
        <is>
          <t>Brandschutz und Gebäudeschnittstelle</t>
        </is>
      </c>
      <c r="D384" s="2" t="inlineStr">
        <is>
          <t>MF-U10-R4</t>
        </is>
      </c>
      <c r="E384" s="2" t="n">
        <v>1</v>
      </c>
      <c r="F384" s="2" t="inlineStr">
        <is>
          <t>15.9a Zustand der Schachtentrauchung / RWA / Lüftungsöffnung beantwortet</t>
        </is>
      </c>
      <c r="G384" s="2" t="inlineStr">
        <is>
          <t>Kein Risiko</t>
        </is>
      </c>
      <c r="H384" s="2" t="inlineStr">
        <is>
          <t>HIGH_CONFIDENCE</t>
        </is>
      </c>
      <c r="I384" s="2" t="inlineStr"/>
      <c r="J384" s="2" t="inlineStr">
        <is>
          <t>Zustand erhalten; bei der wiederkehrenden Prüfung und der Betreiberkontrolle erneut prüfen</t>
        </is>
      </c>
      <c r="K384" s="2" t="inlineStr"/>
      <c r="L384" s="2" t="inlineStr">
        <is>
          <t>Kein Risiko: keine Mangelregel trifft zu, alle Pflichtfragen beantwortet. Freigegeben 2026-09-20.</t>
        </is>
      </c>
      <c r="M384" s="3" t="n"/>
      <c r="N384" s="3" t="n"/>
    </row>
    <row r="385">
      <c r="A385" s="4" t="inlineStr">
        <is>
          <t>MF-U11</t>
        </is>
      </c>
      <c r="B385" s="4" t="inlineStr">
        <is>
          <t>Löschanlage / Sprinkler ohne Bewertung der Wechselwirkung mit dem Aufzug</t>
        </is>
      </c>
      <c r="C385" s="4" t="inlineStr">
        <is>
          <t>Brandschutz und Gebäudeschnittstelle</t>
        </is>
      </c>
      <c r="D385" s="4" t="inlineStr">
        <is>
          <t>MF-U11-R3</t>
        </is>
      </c>
      <c r="E385" s="4" t="n">
        <v>100</v>
      </c>
      <c r="F385" s="4" t="inlineStr">
        <is>
          <t>15.10a Ist sichergestellt, dass die Energieversorgung des Aufzugs vor Wasserbeaufschlagung abgeschaltet wird (Auslösekontakt der Löschanlage bzw. Abschaltung vorhanden)? = Nein</t>
        </is>
      </c>
      <c r="G385" s="4" t="inlineStr">
        <is>
          <t>Hoch</t>
        </is>
      </c>
      <c r="H385" s="4" t="inlineStr">
        <is>
          <t>HIGH_CONFIDENCE</t>
        </is>
      </c>
      <c r="I385" s="4" t="inlineStr"/>
      <c r="J385" s="4" t="inlineStr">
        <is>
          <t>Betreiber unterrichten; bis zur Klärung Steuerung gegen Wasserbeaufschlagung schützen oder Anlage stilllegen</t>
        </is>
      </c>
      <c r="K385" s="4" t="inlineStr">
        <is>
          <t>Abschaltung der Aufzugsenergie bei Auslösung der Löschanlage herstellen und die Schutzart der Steuerung sicherstellen</t>
        </is>
      </c>
      <c r="L385" s="4" t="inlineStr">
        <is>
          <t>Regelprüfung 20.09.2026: Bedingung auf den prüfbaren Sachverhalt umgestellt: Bewertet wurde vorher ein Dokumentationszustand („Wechselwirkung bewertet?"), vergeben wurde dafür Hoch. Das ist derselbe Fehlertyp, der bei 15.8c bereits korrigiert wurde – die fehlende Bewertung ist kein unmittelbares Lebensrisiko, das Risiko entsteht erst bei Auslösung der Löschanlage. Hoch ist jetzt der Feststellung vorbehalten, dass die Abschaltung vor Wasserbeaufschlagung tatsächlich fehlt. Die Mittelfristmaßnahme ist technisch gefasst (vorher „bewerten und umsetzen lassen" [ORGA], obwohl die Ursachenbeseitigung technisch ist). [Prüfbericht: H07 – gefährdungsspezifische Maßnahmen statt generischer Schnittstellen-Texte] Freigegeben 2026-09-20.</t>
        </is>
      </c>
      <c r="M385" s="3" t="n"/>
      <c r="N385" s="3" t="n"/>
    </row>
    <row r="386">
      <c r="A386" s="2" t="inlineStr">
        <is>
          <t>MF-U11</t>
        </is>
      </c>
      <c r="B386" s="2" t="inlineStr">
        <is>
          <t>Löschanlage / Sprinkler ohne Bewertung der Wechselwirkung mit dem Aufzug</t>
        </is>
      </c>
      <c r="C386" s="2" t="inlineStr">
        <is>
          <t>Brandschutz und Gebäudeschnittstelle</t>
        </is>
      </c>
      <c r="D386" s="2" t="inlineStr">
        <is>
          <t>MF-U11-R4</t>
        </is>
      </c>
      <c r="E386" s="2" t="n">
        <v>100</v>
      </c>
      <c r="F386" s="2" t="inlineStr">
        <is>
          <t>15.10b Wirksamkeit der Abschaltung geprüft und dokumentiert? = Nein</t>
        </is>
      </c>
      <c r="G386" s="2" t="inlineStr">
        <is>
          <t>Mittel</t>
        </is>
      </c>
      <c r="H386" s="2" t="inlineStr">
        <is>
          <t>HIGH_CONFIDENCE</t>
        </is>
      </c>
      <c r="I386" s="2" t="inlineStr"/>
      <c r="J386" s="2" t="inlineStr">
        <is>
          <t>Nachweis der Wirksamkeitsprüfung beim Betreiber anfordern</t>
        </is>
      </c>
      <c r="K386" s="2" t="inlineStr">
        <is>
          <t>Wirk-Prinzip-Prüfung der Abschaltung in den Prüfplan nach BetrSichV § 3 aufnehmen und dokumentieren</t>
        </is>
      </c>
      <c r="L386" s="2" t="inlineStr">
        <is>
          <t>Regelprüfung 20.09.2026: Neue Regel für den fehlenden Nachweis (neue Frage 15.10b). Beide Fragen sind Pflicht, damit die Nichtbeantwortung INCOMPLETE ergibt und nicht Kein Risiko. [Prüfbericht: H07 – gefährdungsspezifische Maßnahmen statt generischer Schnittstellen-Texte] Freigegeben 2026-09-20.</t>
        </is>
      </c>
      <c r="M386" s="3" t="n"/>
      <c r="N386" s="3" t="n"/>
    </row>
    <row r="387">
      <c r="A387" s="4" t="inlineStr">
        <is>
          <t>MF-U11</t>
        </is>
      </c>
      <c r="B387" s="4" t="inlineStr">
        <is>
          <t>Löschanlage / Sprinkler ohne Bewertung der Wechselwirkung mit dem Aufzug</t>
        </is>
      </c>
      <c r="C387" s="4" t="inlineStr">
        <is>
          <t>Brandschutz und Gebäudeschnittstelle</t>
        </is>
      </c>
      <c r="D387" s="4" t="inlineStr">
        <is>
          <t>MF-U11-R5</t>
        </is>
      </c>
      <c r="E387" s="4" t="n">
        <v>1</v>
      </c>
      <c r="F387" s="4" t="inlineStr">
        <is>
          <t>15.10a Ist sichergestellt, dass die Energieversorgung des Aufzugs vor Wasserbeaufschlagung abgeschaltet wird (Auslösekontakt der Löschanlage bzw. Abschaltung vorhanden)? beantwortet</t>
        </is>
      </c>
      <c r="G387" s="4" t="inlineStr">
        <is>
          <t>Kein Risiko</t>
        </is>
      </c>
      <c r="H387" s="4" t="inlineStr">
        <is>
          <t>HIGH_CONFIDENCE</t>
        </is>
      </c>
      <c r="I387" s="4" t="inlineStr"/>
      <c r="J387" s="4" t="inlineStr">
        <is>
          <t>Zustand erhalten; bei der wiederkehrenden Prüfung und der Betreiberkontrolle erneut prüfen</t>
        </is>
      </c>
      <c r="K387" s="4" t="inlineStr"/>
      <c r="L387" s="4" t="inlineStr">
        <is>
          <t>Kein Risiko: keine Mangelregel trifft zu, alle Pflichtfragen beantwortet. Freigegeben 2026-09-20.</t>
        </is>
      </c>
      <c r="M387" s="3" t="n"/>
      <c r="N387" s="3" t="n"/>
    </row>
    <row r="388">
      <c r="A388" s="2" t="inlineStr">
        <is>
          <t>MF-U12</t>
        </is>
      </c>
      <c r="B388" s="2" t="inlineStr">
        <is>
          <t>Fremdgewerke und Reinigungspersonal ohne Zugangs- und Schutzkonzept</t>
        </is>
      </c>
      <c r="C388" s="2" t="inlineStr">
        <is>
          <t>Umfeld und Gefahrstoffe</t>
        </is>
      </c>
      <c r="D388" s="2" t="inlineStr">
        <is>
          <t>MF-U12-R1</t>
        </is>
      </c>
      <c r="E388" s="2" t="n">
        <v>100</v>
      </c>
      <c r="F388" s="2" t="inlineStr">
        <is>
          <t>(15.36 Müssen Fremdgewerke (Lüftung, Elektro, Reinigung) für ihre Arbeiten in den Aufzugsbereich (Schacht, Triebwerksraum) eindringen? = Ja UND 15.36a Zugangs- und Schutzkonzept für Fremdgewerke / Reinigungspersonal vorhanden? = Nein)</t>
        </is>
      </c>
      <c r="G388" s="2" t="inlineStr">
        <is>
          <t>Hoch</t>
        </is>
      </c>
      <c r="H388" s="2" t="inlineStr">
        <is>
          <t>HIGH_CONFIDENCE</t>
        </is>
      </c>
      <c r="I388" s="2" t="inlineStr"/>
      <c r="J388" s="2" t="inlineStr">
        <is>
          <t>Fremdgewerke erst nach Einweisung und Freischaltung der Anlage in den Schacht oder Triebwerksraum lassen</t>
        </is>
      </c>
      <c r="K388" s="2" t="inlineStr">
        <is>
          <t>Zugangs- und Schutzkonzept für Fremdgewerke erstellen (Anmeldung, Freischaltung, Aufsicht durch Aufzugsfachpersonal)</t>
        </is>
      </c>
      <c r="L388" s="2" t="inlineStr">
        <is>
          <t>[Prüfbericht: H07 – gefährdungsspezifische Maßnahmen statt generischer Schnittstellen-Texte] Freigegeben 2026-09-20.</t>
        </is>
      </c>
      <c r="M388" s="3" t="n"/>
      <c r="N388" s="3" t="n"/>
    </row>
    <row r="389">
      <c r="A389" s="4" t="inlineStr">
        <is>
          <t>MF-U12</t>
        </is>
      </c>
      <c r="B389" s="4" t="inlineStr">
        <is>
          <t>Fremdgewerke und Reinigungspersonal ohne Zugangs- und Schutzkonzept</t>
        </is>
      </c>
      <c r="C389" s="4" t="inlineStr">
        <is>
          <t>Umfeld und Gefahrstoffe</t>
        </is>
      </c>
      <c r="D389" s="4" t="inlineStr">
        <is>
          <t>MF-U12-R3</t>
        </is>
      </c>
      <c r="E389" s="4" t="n">
        <v>1</v>
      </c>
      <c r="F389" s="4" t="inlineStr">
        <is>
          <t>15.36 Müssen Fremdgewerke (Lüftung, Elektro, Reinigung) für ihre Arbeiten in den Aufzugsbereich (Schacht, Triebwerksraum) eindringen? beantwortet</t>
        </is>
      </c>
      <c r="G389" s="4" t="inlineStr">
        <is>
          <t>Kein Risiko</t>
        </is>
      </c>
      <c r="H389" s="4" t="inlineStr">
        <is>
          <t>HIGH_CONFIDENCE</t>
        </is>
      </c>
      <c r="I389" s="4" t="inlineStr"/>
      <c r="J389" s="4" t="inlineStr">
        <is>
          <t>Zustand erhalten; bei der wiederkehrenden Prüfung und der Betreiberkontrolle erneut prüfen – Zugangs- und Schutzkonzept bei Änderungen der Gewerke fortschreiben, Unterweisungsnachweise stichprobenartig prüfen</t>
        </is>
      </c>
      <c r="K389" s="4" t="inlineStr"/>
      <c r="L389" s="4" t="inlineStr">
        <is>
          <t>Kein Risiko: keine Mangelregel trifft zu, alle Pflichtfragen beantwortet. Regelprüfung 20.09.2026: Erhaltungstext um die Fortschreibung des Zugangskonzepts ergänzt, die vorher in der entfallenen Niedrig-Regel R2 stand. Freigegeben 2026-09-20.</t>
        </is>
      </c>
      <c r="M389" s="3" t="n"/>
      <c r="N389" s="3" t="n"/>
    </row>
    <row r="390">
      <c r="A390" s="2" t="inlineStr">
        <is>
          <t>MF-U13</t>
        </is>
      </c>
      <c r="B390" s="2" t="inlineStr">
        <is>
          <t>Fehlende Prüfnachweise und unklare Zuständigkeiten an den Gewerkeschnittstellen</t>
        </is>
      </c>
      <c r="C390" s="2" t="inlineStr">
        <is>
          <t>Brandschutz und Gebäudeschnittstelle</t>
        </is>
      </c>
      <c r="D390" s="2" t="inlineStr">
        <is>
          <t>MF-U13-R1</t>
        </is>
      </c>
      <c r="E390" s="2" t="n">
        <v>100</v>
      </c>
      <c r="F390" s="2" t="inlineStr">
        <is>
          <t>15.37 Prüfnachweise der angrenzenden Gewerke (BMA, RWA, Ersatzstrom, Löschanlage) verfügbar? = Nein</t>
        </is>
      </c>
      <c r="G390" s="2" t="inlineStr">
        <is>
          <t>Mittel</t>
        </is>
      </c>
      <c r="H390" s="2" t="inlineStr">
        <is>
          <t>HIGH_CONFIDENCE</t>
        </is>
      </c>
      <c r="I390" s="2" t="inlineStr"/>
      <c r="J390" s="2" t="inlineStr">
        <is>
          <t>Fehlende Prüfnachweise beim Betreiber anfordern</t>
        </is>
      </c>
      <c r="K390" s="2" t="inlineStr">
        <is>
          <t>Übersicht der aufzugsexternen Sicherheitseinrichtungen mit Prüffristen führen (TRBS 3121 Abschnitt 3.2 Nr. 5)</t>
        </is>
      </c>
      <c r="L390" s="2" t="inlineStr">
        <is>
          <t>[Prüfbericht: H07 – gefährdungsspezifische Maßnahmen statt generischer Schnittstellen-Texte] Freigegeben 2026-09-20.</t>
        </is>
      </c>
      <c r="M390" s="3" t="n"/>
      <c r="N390" s="3" t="n"/>
    </row>
    <row r="391">
      <c r="A391" s="4" t="inlineStr">
        <is>
          <t>MF-U13</t>
        </is>
      </c>
      <c r="B391" s="4" t="inlineStr">
        <is>
          <t>Fehlende Prüfnachweise und unklare Zuständigkeiten an den Gewerkeschnittstellen</t>
        </is>
      </c>
      <c r="C391" s="4" t="inlineStr">
        <is>
          <t>Brandschutz und Gebäudeschnittstelle</t>
        </is>
      </c>
      <c r="D391" s="4" t="inlineStr">
        <is>
          <t>MF-U13-R2</t>
        </is>
      </c>
      <c r="E391" s="4" t="n">
        <v>100</v>
      </c>
      <c r="F391" s="4" t="inlineStr">
        <is>
          <t>15.38 Zuständigkeiten zwischen den Gewerken für Maßnahmen an den Schnittstellen geregelt? = Nein</t>
        </is>
      </c>
      <c r="G391" s="4" t="inlineStr">
        <is>
          <t>Mittel</t>
        </is>
      </c>
      <c r="H391" s="4" t="inlineStr">
        <is>
          <t>HIGH_CONFIDENCE</t>
        </is>
      </c>
      <c r="I391" s="4" t="inlineStr"/>
      <c r="J391" s="4" t="inlineStr">
        <is>
          <t>Ansprechpartner je Gewerk beim Betreiber erfragen</t>
        </is>
      </c>
      <c r="K391" s="4" t="inlineStr">
        <is>
          <t>Zuständigkeiten an den Schnittstellen schriftlich festlegen</t>
        </is>
      </c>
      <c r="L391" s="4" t="inlineStr">
        <is>
          <t>[Prüfbericht: H07 – gefährdungsspezifische Maßnahmen statt generischer Schnittstellen-Texte] Freigegeben 2026-09-20.</t>
        </is>
      </c>
      <c r="M391" s="3" t="n"/>
      <c r="N391" s="3" t="n"/>
    </row>
    <row r="392">
      <c r="A392" s="2" t="inlineStr">
        <is>
          <t>MF-U13</t>
        </is>
      </c>
      <c r="B392" s="2" t="inlineStr">
        <is>
          <t>Fehlende Prüfnachweise und unklare Zuständigkeiten an den Gewerkeschnittstellen</t>
        </is>
      </c>
      <c r="C392" s="2" t="inlineStr">
        <is>
          <t>Brandschutz und Gebäudeschnittstelle</t>
        </is>
      </c>
      <c r="D392" s="2" t="inlineStr">
        <is>
          <t>MF-U13-R3</t>
        </is>
      </c>
      <c r="E392" s="2" t="n">
        <v>1</v>
      </c>
      <c r="F392" s="2" t="inlineStr">
        <is>
          <t>15.37 Prüfnachweise der angrenzenden Gewerke (BMA, RWA, Ersatzstrom, Löschanlage) verfügbar? beantwortet</t>
        </is>
      </c>
      <c r="G392" s="2" t="inlineStr">
        <is>
          <t>Kein Risiko</t>
        </is>
      </c>
      <c r="H392" s="2" t="inlineStr">
        <is>
          <t>HIGH_CONFIDENCE</t>
        </is>
      </c>
      <c r="I392" s="2" t="inlineStr"/>
      <c r="J392" s="2" t="inlineStr">
        <is>
          <t>Zustand erhalten; bei der wiederkehrenden Prüfung und der Betreiberkontrolle erneut prüfen</t>
        </is>
      </c>
      <c r="K392" s="2" t="inlineStr"/>
      <c r="L392" s="2" t="inlineStr">
        <is>
          <t>Kein Risiko: keine Mangelregel trifft zu, alle Pflichtfragen beantwortet. Freigegeben 2026-09-20.</t>
        </is>
      </c>
      <c r="M392" s="3" t="n"/>
      <c r="N392" s="3" t="n"/>
    </row>
    <row r="393">
      <c r="A393" s="4" t="inlineStr">
        <is>
          <t>MF-U14</t>
        </is>
      </c>
      <c r="B393" s="4" t="inlineStr">
        <is>
          <t>Aufzugszugang grenzt an Fahrwege / Verkehrsflächen</t>
        </is>
      </c>
      <c r="C393" s="4" t="inlineStr">
        <is>
          <t>Umfeld und Gefahrstoffe</t>
        </is>
      </c>
      <c r="D393" s="4" t="inlineStr">
        <is>
          <t>MF-U14-R1</t>
        </is>
      </c>
      <c r="E393" s="4" t="n">
        <v>200</v>
      </c>
      <c r="F393" s="4" t="inlineStr">
        <is>
          <t>(15.27 Grenzt der Aufzugszugang unmittelbar an Fahrwege oder Verkehrsflächen (Tiefgarage, Anlieferung, Flurförderzeuge)? = Ja UND 4.9 Nutzung durch Personen mit eingeschränkter Mobilität (Rollstuhl, Rollator, Sehbehinderung) zu erwarten? = Ja)</t>
        </is>
      </c>
      <c r="G393" s="4" t="inlineStr">
        <is>
          <t>Hoch</t>
        </is>
      </c>
      <c r="H393" s="4" t="inlineStr">
        <is>
          <t>INFERRED</t>
        </is>
      </c>
      <c r="I393" s="4" t="inlineStr"/>
      <c r="J393" s="4" t="inlineStr">
        <is>
          <t>Wartebereich vor dem Aufzug gegen den Fahrverkehr abgrenzen (Markierung, Absperrung)</t>
        </is>
      </c>
      <c r="K393" s="4" t="inlineStr">
        <is>
          <t>Bauliche Trennung von Fußgänger- und Fahrbereich am Aufzugszugang</t>
        </is>
      </c>
      <c r="L393" s="4" t="inlineStr">
        <is>
          <t>Entschieden 2026-09-02: K-U05.</t>
        </is>
      </c>
      <c r="M393" s="3" t="n"/>
      <c r="N393" s="3" t="n"/>
    </row>
    <row r="394">
      <c r="A394" s="2" t="inlineStr">
        <is>
          <t>MF-U14</t>
        </is>
      </c>
      <c r="B394" s="2" t="inlineStr">
        <is>
          <t>Aufzugszugang grenzt an Fahrwege / Verkehrsflächen</t>
        </is>
      </c>
      <c r="C394" s="2" t="inlineStr">
        <is>
          <t>Umfeld und Gefahrstoffe</t>
        </is>
      </c>
      <c r="D394" s="2" t="inlineStr">
        <is>
          <t>MF-U14-R2</t>
        </is>
      </c>
      <c r="E394" s="2" t="n">
        <v>100</v>
      </c>
      <c r="F394" s="2" t="inlineStr">
        <is>
          <t>15.27 Grenzt der Aufzugszugang unmittelbar an Fahrwege oder Verkehrsflächen (Tiefgarage, Anlieferung, Flurförderzeuge)? = Ja</t>
        </is>
      </c>
      <c r="G394" s="2" t="inlineStr">
        <is>
          <t>Mittel</t>
        </is>
      </c>
      <c r="H394" s="2" t="inlineStr">
        <is>
          <t>INFERRED</t>
        </is>
      </c>
      <c r="I394" s="2" t="inlineStr"/>
      <c r="J394" s="2" t="inlineStr">
        <is>
          <t>Wartebereich vor dem Aufzug markieren, Betreiber informieren</t>
        </is>
      </c>
      <c r="K394" s="2" t="inlineStr">
        <is>
          <t>Bauliche oder organisatorische Trennung von Fußgänger- und Fahrbereich</t>
        </is>
      </c>
      <c r="L394" s="2" t="inlineStr">
        <is>
          <t>Entschieden 2026-09-02: K-U05.</t>
        </is>
      </c>
      <c r="M394" s="3" t="n"/>
      <c r="N394" s="3" t="n"/>
    </row>
    <row r="395">
      <c r="A395" s="4" t="inlineStr">
        <is>
          <t>MF-U14</t>
        </is>
      </c>
      <c r="B395" s="4" t="inlineStr">
        <is>
          <t>Aufzugszugang grenzt an Fahrwege / Verkehrsflächen</t>
        </is>
      </c>
      <c r="C395" s="4" t="inlineStr">
        <is>
          <t>Umfeld und Gefahrstoffe</t>
        </is>
      </c>
      <c r="D395" s="4" t="inlineStr">
        <is>
          <t>MF-U14-R3</t>
        </is>
      </c>
      <c r="E395" s="4" t="n">
        <v>1</v>
      </c>
      <c r="F395" s="4" t="inlineStr">
        <is>
          <t>15.27 Grenzt der Aufzugszugang unmittelbar an Fahrwege oder Verkehrsflächen (Tiefgarage, Anlieferung, Flurförderzeuge)? beantwortet</t>
        </is>
      </c>
      <c r="G395" s="4" t="inlineStr">
        <is>
          <t>Kein Risiko</t>
        </is>
      </c>
      <c r="H395" s="4" t="inlineStr">
        <is>
          <t>HIGH_CONFIDENCE</t>
        </is>
      </c>
      <c r="I395" s="4" t="inlineStr"/>
      <c r="J395" s="4" t="inlineStr">
        <is>
          <t>Zustand erhalten; bei der wiederkehrenden Prüfung und der Betreiberkontrolle erneut prüfen</t>
        </is>
      </c>
      <c r="K395" s="4" t="inlineStr"/>
      <c r="L395" s="4" t="inlineStr">
        <is>
          <t>Kein Risiko: keine Mangelregel trifft zu, alle Pflichtfragen beantwortet. Freigegeben 2026-09-20.</t>
        </is>
      </c>
      <c r="M395" s="3" t="n"/>
      <c r="N395" s="3" t="n"/>
    </row>
    <row r="396">
      <c r="A396" s="2" t="inlineStr">
        <is>
          <t>MF-U15</t>
        </is>
      </c>
      <c r="B396" s="2" t="inlineStr">
        <is>
          <t>Abgase und Emissionen im Aufstellbereich (Lärm und Ereignishistorie dokumentiert)</t>
        </is>
      </c>
      <c r="C396" s="2" t="inlineStr">
        <is>
          <t>Umfeld und Gefahrstoffe</t>
        </is>
      </c>
      <c r="D396" s="2" t="inlineStr">
        <is>
          <t>MF-U15-R3</t>
        </is>
      </c>
      <c r="E396" s="2" t="n">
        <v>150</v>
      </c>
      <c r="F396" s="2" t="inlineStr">
        <is>
          <t>(15.24 Abgase oder Emissionen im Aufstellbereich (Tiefgarage, Werkstatt, Notstromaggregat)? = Ja UND 15.24a Wirksame Lüftung oder Absaugung des Aufstellbereichs vorhanden und nachgewiesen (Garagenverordnung, ASR A3.6)? = Ja)</t>
        </is>
      </c>
      <c r="G396" s="2" t="inlineStr">
        <is>
          <t>Kein Risiko</t>
        </is>
      </c>
      <c r="H396" s="2" t="inlineStr">
        <is>
          <t>INFERRED</t>
        </is>
      </c>
      <c r="I396" s="2" t="inlineStr"/>
      <c r="J396" s="2" t="inlineStr">
        <is>
          <t>Zustand erhalten; Wirksamkeit der Lüftung bei der Betreiberkontrolle erneut prüfen</t>
        </is>
      </c>
      <c r="K396" s="2" t="inlineStr"/>
      <c r="L396" s="2" t="inlineStr">
        <is>
          <t>Regelprüfung 20.09.2026: Neue Kompensationsregel. Bei NONE-Aggregation ist die katalogtypische Form die Kompensationsregel, nicht die Einengung der Bedingung – R1 bleibt deshalb unverändert und greift, solange die Kompensation nicht erfüllt ist. Freigegeben 2026-09-20.</t>
        </is>
      </c>
      <c r="M396" s="3" t="n"/>
      <c r="N396" s="3" t="n"/>
    </row>
    <row r="397">
      <c r="A397" s="4" t="inlineStr">
        <is>
          <t>MF-U15</t>
        </is>
      </c>
      <c r="B397" s="4" t="inlineStr">
        <is>
          <t>Abgase und Emissionen im Aufstellbereich (Lärm und Ereignishistorie dokumentiert)</t>
        </is>
      </c>
      <c r="C397" s="4" t="inlineStr">
        <is>
          <t>Umfeld und Gefahrstoffe</t>
        </is>
      </c>
      <c r="D397" s="4" t="inlineStr">
        <is>
          <t>MF-U15-R1</t>
        </is>
      </c>
      <c r="E397" s="4" t="n">
        <v>100</v>
      </c>
      <c r="F397" s="4" t="inlineStr">
        <is>
          <t>15.24 Abgase oder Emissionen im Aufstellbereich (Tiefgarage, Werkstatt, Notstromaggregat)? = Ja</t>
        </is>
      </c>
      <c r="G397" s="4" t="inlineStr">
        <is>
          <t>Mittel</t>
        </is>
      </c>
      <c r="H397" s="4" t="inlineStr">
        <is>
          <t>INFERRED</t>
        </is>
      </c>
      <c r="I397" s="4" t="inlineStr"/>
      <c r="J397" s="4" t="inlineStr">
        <is>
          <t>Lüftung des Aufstellbereichs prüfen, Betreiber informieren</t>
        </is>
      </c>
      <c r="K397" s="4" t="inlineStr">
        <is>
          <t>Lüftung und Absaugung im Aufstellbereich technisch sicherstellen bzw. instand setzen; Fahrkorb- und Triebwerksraumlüftung prüfen</t>
        </is>
      </c>
      <c r="L397" s="4" t="inlineStr">
        <is>
          <t>Regelprüfung 20.09.2026: Bedingung und Stufe bleiben – für den echten Mangelfall (Emissionen ohne wirksame Lüftung) ist Mittel richtig, weil die Gesundheitsgefahr expositions- und dauerabhängig ist. Ohne Kompensationsfrage entstand aber bei einem großen Teil der Anlagen ein Dauerbefund Mittel ohne Mangel. Die Mittelfristmaßnahme ist außerdem als [TECH] gefasst – Lüftung und Absaugung sind technische Maßnahmen, die Kennzeichnung als [ORGA] war falsch. Freigegeben 2026-09-20.</t>
        </is>
      </c>
      <c r="M397" s="3" t="n"/>
      <c r="N397" s="3" t="n"/>
    </row>
    <row r="398">
      <c r="A398" s="2" t="inlineStr">
        <is>
          <t>MF-U15</t>
        </is>
      </c>
      <c r="B398" s="2" t="inlineStr">
        <is>
          <t>Abgase und Emissionen im Aufstellbereich (Lärm und Ereignishistorie dokumentiert)</t>
        </is>
      </c>
      <c r="C398" s="2" t="inlineStr">
        <is>
          <t>Umfeld und Gefahrstoffe</t>
        </is>
      </c>
      <c r="D398" s="2" t="inlineStr">
        <is>
          <t>MF-U15-R2</t>
        </is>
      </c>
      <c r="E398" s="2" t="n">
        <v>1</v>
      </c>
      <c r="F398" s="2" t="inlineStr">
        <is>
          <t>15.24 Abgase oder Emissionen im Aufstellbereich (Tiefgarage, Werkstatt, Notstromaggregat)? beantwortet</t>
        </is>
      </c>
      <c r="G398" s="2" t="inlineStr">
        <is>
          <t>Kein Risiko</t>
        </is>
      </c>
      <c r="H398" s="2" t="inlineStr">
        <is>
          <t>HIGH_CONFIDENCE</t>
        </is>
      </c>
      <c r="I398" s="2" t="inlineStr"/>
      <c r="J398" s="2" t="inlineStr">
        <is>
          <t>Zustand erhalten; bei der wiederkehrenden Prüfung und der Betreiberkontrolle erneut prüfen</t>
        </is>
      </c>
      <c r="K398" s="2" t="inlineStr"/>
      <c r="L398" s="2" t="inlineStr">
        <is>
          <t>Kein Risiko: keine Mangelregel trifft zu, alle Pflichtfragen beantwortet. Freigegeben 2026-09-20.</t>
        </is>
      </c>
      <c r="M398" s="3" t="n"/>
      <c r="N398" s="3" t="n"/>
    </row>
    <row r="399">
      <c r="A399" s="4" t="inlineStr">
        <is>
          <t>MF-SF01</t>
        </is>
      </c>
      <c r="B399" s="4" t="inlineStr">
        <is>
          <t>Feuerwehraufzug / gebäudeseitige Sonderfunktionen nicht nachgewiesen</t>
        </is>
      </c>
      <c r="C399" s="4" t="inlineStr">
        <is>
          <t>Sonderfunktionen</t>
        </is>
      </c>
      <c r="D399" s="4" t="inlineStr">
        <is>
          <t>MF-SF01-R1</t>
        </is>
      </c>
      <c r="E399" s="4" t="n">
        <v>100</v>
      </c>
      <c r="F399" s="4" t="inlineStr">
        <is>
          <t>16.1 Anforderungen und Unterlagen des Feuerwehraufzugs (EN 81-72, Brandschutzkonzept) vorhanden und erfüllt? = Nein</t>
        </is>
      </c>
      <c r="G399" s="4" t="inlineStr">
        <is>
          <t>Mittel</t>
        </is>
      </c>
      <c r="H399" s="4" t="inlineStr">
        <is>
          <t>HIGH_CONFIDENCE</t>
        </is>
      </c>
      <c r="I399" s="4" t="inlineStr"/>
      <c r="J399" s="4" t="inlineStr">
        <is>
          <t>Bei Beeinträchtigung einer erforderlichen Feuerwehrfunktion Nutzung/Sonderbetrieb bis zur Klärung absichern.</t>
        </is>
      </c>
      <c r="K399" s="4" t="inlineStr">
        <is>
          <t>Anforderung mit Brandschutz-/Feuerwehr-/Aufzugsfachplanung abstimmen und nachweisen.</t>
        </is>
      </c>
      <c r="L399" s="4" t="inlineStr">
        <is>
          <t>Entschieden 2026-09-02: K-SF1.</t>
        </is>
      </c>
      <c r="M399" s="3" t="n"/>
      <c r="N399" s="3" t="n"/>
    </row>
    <row r="400">
      <c r="A400" s="2" t="inlineStr">
        <is>
          <t>MF-SF01</t>
        </is>
      </c>
      <c r="B400" s="2" t="inlineStr">
        <is>
          <t>Feuerwehraufzug / gebäudeseitige Sonderfunktionen nicht nachgewiesen</t>
        </is>
      </c>
      <c r="C400" s="2" t="inlineStr">
        <is>
          <t>Sonderfunktionen</t>
        </is>
      </c>
      <c r="D400" s="2" t="inlineStr">
        <is>
          <t>MF-SF01-R2</t>
        </is>
      </c>
      <c r="E400" s="2" t="n">
        <v>100</v>
      </c>
      <c r="F400" s="2" t="inlineStr">
        <is>
          <t>16.2 Brandmeldeanlage und Feuerwehraufzugsfunktion aufeinander abgestimmt? = Nein</t>
        </is>
      </c>
      <c r="G400" s="2" t="inlineStr">
        <is>
          <t>Hoch</t>
        </is>
      </c>
      <c r="H400" s="2" t="inlineStr">
        <is>
          <t>HIGH_CONFIDENCE</t>
        </is>
      </c>
      <c r="I400" s="2" t="inlineStr"/>
      <c r="J400" s="2" t="inlineStr">
        <is>
          <t>Bei Beeinträchtigung einer erforderlichen Feuerwehrfunktion Nutzung/Sonderbetrieb bis zur Klärung absichern.</t>
        </is>
      </c>
      <c r="K400" s="2" t="inlineStr">
        <is>
          <t>Anforderung mit Brandschutz-/Feuerwehr-/Aufzugsfachplanung abstimmen und nachweisen.</t>
        </is>
      </c>
      <c r="L400" s="2" t="inlineStr">
        <is>
          <t>Entschieden 2026-09-02: K-SF1.</t>
        </is>
      </c>
      <c r="M400" s="3" t="n"/>
      <c r="N400" s="3" t="n"/>
    </row>
    <row r="401">
      <c r="A401" s="4" t="inlineStr">
        <is>
          <t>MF-SF01</t>
        </is>
      </c>
      <c r="B401" s="4" t="inlineStr">
        <is>
          <t>Feuerwehraufzug / gebäudeseitige Sonderfunktionen nicht nachgewiesen</t>
        </is>
      </c>
      <c r="C401" s="4" t="inlineStr">
        <is>
          <t>Sonderfunktionen</t>
        </is>
      </c>
      <c r="D401" s="4" t="inlineStr">
        <is>
          <t>MF-SF01-R3</t>
        </is>
      </c>
      <c r="E401" s="4" t="n">
        <v>100</v>
      </c>
      <c r="F401" s="4" t="inlineStr">
        <is>
          <t>16.3 Druckbelüftungs-/Rauchschutzanlagen für Schacht und Vorräume vorhanden und geprüft? = Nein</t>
        </is>
      </c>
      <c r="G401" s="4" t="inlineStr">
        <is>
          <t>Hoch</t>
        </is>
      </c>
      <c r="H401" s="4" t="inlineStr">
        <is>
          <t>HIGH_CONFIDENCE</t>
        </is>
      </c>
      <c r="I401" s="4" t="inlineStr"/>
      <c r="J401" s="4" t="inlineStr">
        <is>
          <t>Bei Beeinträchtigung einer erforderlichen Feuerwehrfunktion Nutzung/Sonderbetrieb bis zur Klärung absichern.</t>
        </is>
      </c>
      <c r="K401" s="4" t="inlineStr">
        <is>
          <t>Anforderung mit Brandschutz-/Feuerwehr-/Aufzugsfachplanung abstimmen und nachweisen.</t>
        </is>
      </c>
      <c r="L401" s="4" t="inlineStr">
        <is>
          <t>Entschieden 2026-09-02: K-SF1.</t>
        </is>
      </c>
      <c r="M401" s="3" t="n"/>
      <c r="N401" s="3" t="n"/>
    </row>
    <row r="402">
      <c r="A402" s="2" t="inlineStr">
        <is>
          <t>MF-SF01</t>
        </is>
      </c>
      <c r="B402" s="2" t="inlineStr">
        <is>
          <t>Feuerwehraufzug / gebäudeseitige Sonderfunktionen nicht nachgewiesen</t>
        </is>
      </c>
      <c r="C402" s="2" t="inlineStr">
        <is>
          <t>Sonderfunktionen</t>
        </is>
      </c>
      <c r="D402" s="2" t="inlineStr">
        <is>
          <t>MF-SF01-R4</t>
        </is>
      </c>
      <c r="E402" s="2" t="n">
        <v>100</v>
      </c>
      <c r="F402" s="2" t="inlineStr">
        <is>
          <t>16.4 Löschwasser-/Pumpeneinrichtungen mit Schnittstelle zum Aufzug berücksichtigt? = Nein</t>
        </is>
      </c>
      <c r="G402" s="2" t="inlineStr">
        <is>
          <t>Hoch</t>
        </is>
      </c>
      <c r="H402" s="2" t="inlineStr">
        <is>
          <t>HIGH_CONFIDENCE</t>
        </is>
      </c>
      <c r="I402" s="2" t="inlineStr"/>
      <c r="J402" s="2" t="inlineStr">
        <is>
          <t>Bei Beeinträchtigung einer erforderlichen Feuerwehrfunktion Nutzung/Sonderbetrieb bis zur Klärung absichern.</t>
        </is>
      </c>
      <c r="K402" s="2" t="inlineStr">
        <is>
          <t>Anforderung mit Brandschutz-/Feuerwehr-/Aufzugsfachplanung abstimmen und nachweisen.</t>
        </is>
      </c>
      <c r="L402" s="2" t="inlineStr">
        <is>
          <t>Entschieden 2026-09-02: K-SF1.</t>
        </is>
      </c>
      <c r="M402" s="3" t="n"/>
      <c r="N402" s="3" t="n"/>
    </row>
    <row r="403">
      <c r="A403" s="4" t="inlineStr">
        <is>
          <t>MF-SF01</t>
        </is>
      </c>
      <c r="B403" s="4" t="inlineStr">
        <is>
          <t>Feuerwehraufzug / gebäudeseitige Sonderfunktionen nicht nachgewiesen</t>
        </is>
      </c>
      <c r="C403" s="4" t="inlineStr">
        <is>
          <t>Sonderfunktionen</t>
        </is>
      </c>
      <c r="D403" s="4" t="inlineStr">
        <is>
          <t>MF-SF01-R5</t>
        </is>
      </c>
      <c r="E403" s="4" t="n">
        <v>100</v>
      </c>
      <c r="F403" s="4" t="inlineStr">
        <is>
          <t>16.5 Sicherheits-/Ersatzstromversorgung vorhanden und geprüft? = Nein</t>
        </is>
      </c>
      <c r="G403" s="4" t="inlineStr">
        <is>
          <t>Hoch</t>
        </is>
      </c>
      <c r="H403" s="4" t="inlineStr">
        <is>
          <t>HIGH_CONFIDENCE</t>
        </is>
      </c>
      <c r="I403" s="4" t="inlineStr"/>
      <c r="J403" s="4" t="inlineStr">
        <is>
          <t>Bei Beeinträchtigung einer erforderlichen Feuerwehrfunktion Nutzung/Sonderbetrieb bis zur Klärung absichern.</t>
        </is>
      </c>
      <c r="K403" s="4" t="inlineStr">
        <is>
          <t>Anforderung mit Brandschutz-/Feuerwehr-/Aufzugsfachplanung abstimmen und nachweisen.</t>
        </is>
      </c>
      <c r="L403" s="4" t="inlineStr">
        <is>
          <t>Entschieden 2026-09-02: K-SF1.</t>
        </is>
      </c>
      <c r="M403" s="3" t="n"/>
      <c r="N403" s="3" t="n"/>
    </row>
    <row r="404">
      <c r="A404" s="2" t="inlineStr">
        <is>
          <t>MF-SF01</t>
        </is>
      </c>
      <c r="B404" s="2" t="inlineStr">
        <is>
          <t>Feuerwehraufzug / gebäudeseitige Sonderfunktionen nicht nachgewiesen</t>
        </is>
      </c>
      <c r="C404" s="2" t="inlineStr">
        <is>
          <t>Sonderfunktionen</t>
        </is>
      </c>
      <c r="D404" s="2" t="inlineStr">
        <is>
          <t>MF-SF01-R6</t>
        </is>
      </c>
      <c r="E404" s="2" t="n">
        <v>100</v>
      </c>
      <c r="F404" s="2" t="inlineStr">
        <is>
          <t>16.6 Funktion des Aufzugs unter Ersatzstrombedingungen geprüft? = Nein</t>
        </is>
      </c>
      <c r="G404" s="2" t="inlineStr">
        <is>
          <t>Hoch</t>
        </is>
      </c>
      <c r="H404" s="2" t="inlineStr">
        <is>
          <t>HIGH_CONFIDENCE</t>
        </is>
      </c>
      <c r="I404" s="2" t="inlineStr"/>
      <c r="J404" s="2" t="inlineStr">
        <is>
          <t>Bei Beeinträchtigung einer erforderlichen Feuerwehrfunktion Nutzung/Sonderbetrieb bis zur Klärung absichern.</t>
        </is>
      </c>
      <c r="K404" s="2" t="inlineStr">
        <is>
          <t>Anforderung mit Brandschutz-/Feuerwehr-/Aufzugsfachplanung abstimmen und nachweisen.</t>
        </is>
      </c>
      <c r="L404" s="2" t="inlineStr">
        <is>
          <t>Entschieden 2026-09-02: K-SF1.</t>
        </is>
      </c>
      <c r="M404" s="3" t="n"/>
      <c r="N404" s="3" t="n"/>
    </row>
    <row r="405">
      <c r="A405" s="4" t="inlineStr">
        <is>
          <t>MF-SF01</t>
        </is>
      </c>
      <c r="B405" s="4" t="inlineStr">
        <is>
          <t>Feuerwehraufzug / gebäudeseitige Sonderfunktionen nicht nachgewiesen</t>
        </is>
      </c>
      <c r="C405" s="4" t="inlineStr">
        <is>
          <t>Sonderfunktionen</t>
        </is>
      </c>
      <c r="D405" s="4" t="inlineStr">
        <is>
          <t>MF-SF01-R7</t>
        </is>
      </c>
      <c r="E405" s="4" t="n">
        <v>100</v>
      </c>
      <c r="F405" s="4" t="inlineStr">
        <is>
          <t>16.7 Erforderliche Prüfnachweise der Fremdgewerke verfügbar? = Nein</t>
        </is>
      </c>
      <c r="G405" s="4" t="inlineStr">
        <is>
          <t>Mittel</t>
        </is>
      </c>
      <c r="H405" s="4" t="inlineStr">
        <is>
          <t>HIGH_CONFIDENCE</t>
        </is>
      </c>
      <c r="I405" s="4" t="inlineStr"/>
      <c r="J405" s="4" t="inlineStr">
        <is>
          <t>Bei Beeinträchtigung einer erforderlichen Feuerwehrfunktion Nutzung/Sonderbetrieb bis zur Klärung absichern.</t>
        </is>
      </c>
      <c r="K405" s="4" t="inlineStr">
        <is>
          <t>Anforderung mit Brandschutz-/Feuerwehr-/Aufzugsfachplanung abstimmen und nachweisen.</t>
        </is>
      </c>
      <c r="L405" s="4" t="inlineStr">
        <is>
          <t>Entschieden 2026-09-02: K-SF1.</t>
        </is>
      </c>
      <c r="M405" s="3" t="n"/>
      <c r="N405" s="3" t="n"/>
    </row>
    <row r="406">
      <c r="A406" s="2" t="inlineStr">
        <is>
          <t>MF-SF01</t>
        </is>
      </c>
      <c r="B406" s="2" t="inlineStr">
        <is>
          <t>Feuerwehraufzug / gebäudeseitige Sonderfunktionen nicht nachgewiesen</t>
        </is>
      </c>
      <c r="C406" s="2" t="inlineStr">
        <is>
          <t>Sonderfunktionen</t>
        </is>
      </c>
      <c r="D406" s="2" t="inlineStr">
        <is>
          <t>MF-SF01-R8</t>
        </is>
      </c>
      <c r="E406" s="2" t="n">
        <v>100</v>
      </c>
      <c r="F406" s="2" t="inlineStr">
        <is>
          <t>16.8 Schnittstellen zur Feuerwehr / Brandschutzdienststelle dokumentiert (Feuerwehrplan, Schlüsseldepot)? = Nein</t>
        </is>
      </c>
      <c r="G406" s="2" t="inlineStr">
        <is>
          <t>Mittel</t>
        </is>
      </c>
      <c r="H406" s="2" t="inlineStr">
        <is>
          <t>HIGH_CONFIDENCE</t>
        </is>
      </c>
      <c r="I406" s="2" t="inlineStr"/>
      <c r="J406" s="2" t="inlineStr">
        <is>
          <t>Bei Beeinträchtigung einer erforderlichen Feuerwehrfunktion Nutzung/Sonderbetrieb bis zur Klärung absichern.</t>
        </is>
      </c>
      <c r="K406" s="2" t="inlineStr">
        <is>
          <t>Anforderung mit Brandschutz-/Feuerwehr-/Aufzugsfachplanung abstimmen und nachweisen.</t>
        </is>
      </c>
      <c r="L406" s="2" t="inlineStr">
        <is>
          <t>Entschieden 2026-09-02: K-SF1.</t>
        </is>
      </c>
      <c r="M406" s="3" t="n"/>
      <c r="N406" s="3" t="n"/>
    </row>
    <row r="407">
      <c r="A407" s="4" t="inlineStr">
        <is>
          <t>MF-SF01</t>
        </is>
      </c>
      <c r="B407" s="4" t="inlineStr">
        <is>
          <t>Feuerwehraufzug / gebäudeseitige Sonderfunktionen nicht nachgewiesen</t>
        </is>
      </c>
      <c r="C407" s="4" t="inlineStr">
        <is>
          <t>Sonderfunktionen</t>
        </is>
      </c>
      <c r="D407" s="4" t="inlineStr">
        <is>
          <t>MF-SF01-R9</t>
        </is>
      </c>
      <c r="E407" s="4" t="n">
        <v>100</v>
      </c>
      <c r="F407" s="4" t="inlineStr">
        <is>
          <t>16.9 Betreiberorganisation auf den Sonderbetrieb abgestimmt (Zuständigkeit, Unterweisung, Übungen)? = Nein</t>
        </is>
      </c>
      <c r="G407" s="4" t="inlineStr">
        <is>
          <t>Hoch</t>
        </is>
      </c>
      <c r="H407" s="4" t="inlineStr">
        <is>
          <t>HIGH_CONFIDENCE</t>
        </is>
      </c>
      <c r="I407" s="4" t="inlineStr"/>
      <c r="J407" s="4" t="inlineStr">
        <is>
          <t>Bei Beeinträchtigung einer erforderlichen Feuerwehrfunktion Nutzung/Sonderbetrieb bis zur Klärung absichern.</t>
        </is>
      </c>
      <c r="K407" s="4" t="inlineStr">
        <is>
          <t>Anforderung mit Brandschutz-/Feuerwehr-/Aufzugsfachplanung abstimmen und nachweisen.</t>
        </is>
      </c>
      <c r="L407" s="4" t="inlineStr">
        <is>
          <t>Entschieden 2026-09-02: K-SF1.</t>
        </is>
      </c>
      <c r="M407" s="3" t="n"/>
      <c r="N407" s="3" t="n"/>
    </row>
    <row r="408">
      <c r="A408" s="2" t="inlineStr">
        <is>
          <t>MF-SF01</t>
        </is>
      </c>
      <c r="B408" s="2" t="inlineStr">
        <is>
          <t>Feuerwehraufzug / gebäudeseitige Sonderfunktionen nicht nachgewiesen</t>
        </is>
      </c>
      <c r="C408" s="2" t="inlineStr">
        <is>
          <t>Sonderfunktionen</t>
        </is>
      </c>
      <c r="D408" s="2" t="inlineStr">
        <is>
          <t>MF-SF01-R10</t>
        </is>
      </c>
      <c r="E408" s="2" t="n">
        <v>100</v>
      </c>
      <c r="F408" s="2" t="inlineStr">
        <is>
          <t>16.10 Cyber-Auswirkungen auf die Feuerwehrfunktionen gesondert betrachtet? = Nein</t>
        </is>
      </c>
      <c r="G408" s="2" t="inlineStr">
        <is>
          <t>Mittel</t>
        </is>
      </c>
      <c r="H408" s="2" t="inlineStr">
        <is>
          <t>HIGH_CONFIDENCE</t>
        </is>
      </c>
      <c r="I408" s="2" t="inlineStr"/>
      <c r="J408" s="2" t="inlineStr">
        <is>
          <t>Bei Beeinträchtigung einer erforderlichen Feuerwehrfunktion Nutzung/Sonderbetrieb bis zur Klärung absichern.</t>
        </is>
      </c>
      <c r="K408" s="2" t="inlineStr">
        <is>
          <t>Anforderung mit Brandschutz-/Feuerwehr-/Aufzugsfachplanung abstimmen und nachweisen.</t>
        </is>
      </c>
      <c r="L408" s="2" t="inlineStr">
        <is>
          <t>Entschieden 2026-09-02: K-SF1.</t>
        </is>
      </c>
      <c r="M408" s="3" t="n"/>
      <c r="N408" s="3" t="n"/>
    </row>
    <row r="409">
      <c r="A409" s="4" t="inlineStr">
        <is>
          <t>MF-SF01</t>
        </is>
      </c>
      <c r="B409" s="4" t="inlineStr">
        <is>
          <t>Feuerwehraufzug / gebäudeseitige Sonderfunktionen nicht nachgewiesen</t>
        </is>
      </c>
      <c r="C409" s="4" t="inlineStr">
        <is>
          <t>Sonderfunktionen</t>
        </is>
      </c>
      <c r="D409" s="4" t="inlineStr">
        <is>
          <t>MF-SF01-R11</t>
        </is>
      </c>
      <c r="E409" s="4" t="n">
        <v>1</v>
      </c>
      <c r="F409" s="4" t="inlineStr">
        <is>
          <t>16.1 Anforderungen und Unterlagen des Feuerwehraufzugs (EN 81-72, Brandschutzkonzept) vorhanden und erfüllt? beantwortet</t>
        </is>
      </c>
      <c r="G409" s="4" t="inlineStr">
        <is>
          <t>Kein Risiko</t>
        </is>
      </c>
      <c r="H409" s="4" t="inlineStr">
        <is>
          <t>HIGH_CONFIDENCE</t>
        </is>
      </c>
      <c r="I409" s="4" t="inlineStr"/>
      <c r="J409" s="4" t="inlineStr">
        <is>
          <t>Zustand erhalten; bei der wiederkehrenden Prüfung und der Betreiberkontrolle erneut prüfen</t>
        </is>
      </c>
      <c r="K409" s="4" t="inlineStr"/>
      <c r="L409" s="4" t="inlineStr">
        <is>
          <t>Kein Risiko: keine Mangelregel trifft zu, alle Pflichtfragen beantwortet. Freigegeben 2026-09-20.</t>
        </is>
      </c>
      <c r="M409" s="3" t="n"/>
      <c r="N409" s="3" t="n"/>
    </row>
    <row r="410">
      <c r="A410" s="2" t="inlineStr">
        <is>
          <t>MF-D01</t>
        </is>
      </c>
      <c r="B410" s="2" t="inlineStr">
        <is>
          <t>Notfallplan unvollständig oder nicht vorhanden</t>
        </is>
      </c>
      <c r="C410" s="2" t="inlineStr">
        <is>
          <t>Notruf und Personenbefreiung</t>
        </is>
      </c>
      <c r="D410" s="2" t="inlineStr">
        <is>
          <t>MF-D01-R1</t>
        </is>
      </c>
      <c r="E410" s="2" t="n">
        <v>100</v>
      </c>
      <c r="F410" s="2" t="inlineStr">
        <is>
          <t>3.2 Notfallplan für die Anlage vorhanden und aktuell (Ansprechpartner, Befreiungsdienst, Meldewege)? = Nein</t>
        </is>
      </c>
      <c r="G410" s="2" t="inlineStr">
        <is>
          <t>Hoch</t>
        </is>
      </c>
      <c r="H410" s="2" t="inlineStr">
        <is>
          <t>INFERRED</t>
        </is>
      </c>
      <c r="I410" s="2" t="inlineStr"/>
      <c r="J410" s="2" t="inlineStr">
        <is>
          <t>Ansprechpartner und Befreiungsdienst mit Rufnummern am Aufzug aushängen</t>
        </is>
      </c>
      <c r="K410" s="2" t="inlineStr">
        <is>
          <t>Notfallplan nach BetrSichV Anh. 1 Nr. 4.1 erstellen und an der Anlage hinterlegen</t>
        </is>
      </c>
      <c r="L410" s="2" t="inlineStr">
        <is>
          <t>Entschieden 2026-09-02: K-D01.</t>
        </is>
      </c>
      <c r="M410" s="3" t="n"/>
      <c r="N410" s="3" t="n"/>
    </row>
    <row r="411">
      <c r="A411" s="4" t="inlineStr">
        <is>
          <t>MF-D01</t>
        </is>
      </c>
      <c r="B411" s="4" t="inlineStr">
        <is>
          <t>Notfallplan unvollständig oder nicht vorhanden</t>
        </is>
      </c>
      <c r="C411" s="4" t="inlineStr">
        <is>
          <t>Notruf und Personenbefreiung</t>
        </is>
      </c>
      <c r="D411" s="4" t="inlineStr">
        <is>
          <t>MF-D01-R2</t>
        </is>
      </c>
      <c r="E411" s="4" t="n">
        <v>1</v>
      </c>
      <c r="F411" s="4" t="inlineStr">
        <is>
          <t>3.2 Notfallplan für die Anlage vorhanden und aktuell (Ansprechpartner, Befreiungsdienst, Meldewege)? beantwortet</t>
        </is>
      </c>
      <c r="G411" s="4" t="inlineStr">
        <is>
          <t>Kein Risiko</t>
        </is>
      </c>
      <c r="H411" s="4" t="inlineStr">
        <is>
          <t>HIGH_CONFIDENCE</t>
        </is>
      </c>
      <c r="I411" s="4" t="inlineStr"/>
      <c r="J411" s="4" t="inlineStr">
        <is>
          <t>Zustand erhalten; bei der wiederkehrenden Prüfung und der Betreiberkontrolle erneut prüfen</t>
        </is>
      </c>
      <c r="K411" s="4" t="inlineStr"/>
      <c r="L411" s="4" t="inlineStr">
        <is>
          <t>Kein Risiko: keine Mangelregel trifft zu, alle Pflichtfragen beantwortet. Freigegeben 2026-09-20.</t>
        </is>
      </c>
      <c r="M411" s="3" t="n"/>
      <c r="N411" s="3" t="n"/>
    </row>
    <row r="412">
      <c r="A412" s="2" t="inlineStr">
        <is>
          <t>MF-D02</t>
        </is>
      </c>
      <c r="B412" s="2" t="inlineStr">
        <is>
          <t>Keine oder unpassende Notbefreiungsanleitung</t>
        </is>
      </c>
      <c r="C412" s="2" t="inlineStr">
        <is>
          <t>Notruf und Personenbefreiung</t>
        </is>
      </c>
      <c r="D412" s="2" t="inlineStr">
        <is>
          <t>MF-D02-R1</t>
        </is>
      </c>
      <c r="E412" s="2" t="n">
        <v>100</v>
      </c>
      <c r="F412" s="2" t="inlineStr">
        <is>
          <t>3.3 Anlagenbezogene Notbefreiungs-/Evakuierungsanleitung = „Nicht vorhanden"</t>
        </is>
      </c>
      <c r="G412" s="2" t="inlineStr">
        <is>
          <t>Hoch</t>
        </is>
      </c>
      <c r="H412" s="2" t="inlineStr">
        <is>
          <t>INFERRED</t>
        </is>
      </c>
      <c r="I412" s="2" t="inlineStr"/>
      <c r="J412" s="2" t="inlineStr">
        <is>
          <t>Personenbefreiung bis zur Bereitstellung nur durch das Wartungsunternehmen</t>
        </is>
      </c>
      <c r="K412" s="2" t="inlineStr">
        <is>
          <t>Anlagenbezogene Notbefreiungsanleitung vom Hersteller/Instandhalter beschaffen und im Triebwerksraum hinterlegen</t>
        </is>
      </c>
      <c r="L412" s="2" t="inlineStr">
        <is>
          <t>Entschieden 2026-09-02: K-M07.</t>
        </is>
      </c>
      <c r="M412" s="3" t="n"/>
      <c r="N412" s="3" t="n"/>
    </row>
    <row r="413">
      <c r="A413" s="4" t="inlineStr">
        <is>
          <t>MF-D02</t>
        </is>
      </c>
      <c r="B413" s="4" t="inlineStr">
        <is>
          <t>Keine oder unpassende Notbefreiungsanleitung</t>
        </is>
      </c>
      <c r="C413" s="4" t="inlineStr">
        <is>
          <t>Notruf und Personenbefreiung</t>
        </is>
      </c>
      <c r="D413" s="4" t="inlineStr">
        <is>
          <t>MF-D02-R2</t>
        </is>
      </c>
      <c r="E413" s="4" t="n">
        <v>100</v>
      </c>
      <c r="F413" s="4" t="inlineStr">
        <is>
          <t>3.3 Anlagenbezogene Notbefreiungs-/Evakuierungsanleitung = „Vorhanden, aber veraltet oder nicht zur Anlage passend"</t>
        </is>
      </c>
      <c r="G413" s="4" t="inlineStr">
        <is>
          <t>Mittel</t>
        </is>
      </c>
      <c r="H413" s="4" t="inlineStr">
        <is>
          <t>HIGH_CONFIDENCE</t>
        </is>
      </c>
      <c r="I413" s="4" t="inlineStr"/>
      <c r="J413" s="4" t="inlineStr">
        <is>
          <t>Anleitung bereitstellen und bekannt machen</t>
        </is>
      </c>
      <c r="K413" s="4" t="inlineStr">
        <is>
          <t>Aktuelle Notbefreiungsanleitung dauerhaft aushängen</t>
        </is>
      </c>
      <c r="L413" s="4" t="inlineStr">
        <is>
          <t>Entschieden 2026-09-02: K-M07.</t>
        </is>
      </c>
      <c r="M413" s="3" t="n"/>
      <c r="N413" s="3" t="n"/>
    </row>
    <row r="414">
      <c r="A414" s="2" t="inlineStr">
        <is>
          <t>MF-D02</t>
        </is>
      </c>
      <c r="B414" s="2" t="inlineStr">
        <is>
          <t>Keine oder unpassende Notbefreiungsanleitung</t>
        </is>
      </c>
      <c r="C414" s="2" t="inlineStr">
        <is>
          <t>Notruf und Personenbefreiung</t>
        </is>
      </c>
      <c r="D414" s="2" t="inlineStr">
        <is>
          <t>MF-D02-R3</t>
        </is>
      </c>
      <c r="E414" s="2" t="n">
        <v>1</v>
      </c>
      <c r="F414" s="2" t="inlineStr">
        <is>
          <t>3.3 Anlagenbezogene Notbefreiungs-/Evakuierungsanleitung beantwortet</t>
        </is>
      </c>
      <c r="G414" s="2" t="inlineStr">
        <is>
          <t>Kein Risiko</t>
        </is>
      </c>
      <c r="H414" s="2" t="inlineStr">
        <is>
          <t>HIGH_CONFIDENCE</t>
        </is>
      </c>
      <c r="I414" s="2" t="inlineStr"/>
      <c r="J414" s="2" t="inlineStr">
        <is>
          <t>Zustand erhalten; bei der wiederkehrenden Prüfung und der Betreiberkontrolle erneut prüfen</t>
        </is>
      </c>
      <c r="K414" s="2" t="inlineStr"/>
      <c r="L414" s="2" t="inlineStr">
        <is>
          <t>Kein Risiko: keine Mangelregel trifft zu, alle Pflichtfragen beantwortet. Freigegeben 2026-09-20.</t>
        </is>
      </c>
      <c r="M414" s="3" t="n"/>
      <c r="N414" s="3" t="n"/>
    </row>
    <row r="415">
      <c r="A415" s="4" t="inlineStr">
        <is>
          <t>MF-D03</t>
        </is>
      </c>
      <c r="B415" s="4" t="inlineStr">
        <is>
          <t>Wartungsunterlagen fehlen oder keine regelmäßige Instandhaltung</t>
        </is>
      </c>
      <c r="C415" s="4" t="inlineStr">
        <is>
          <t>Beschilderung und Unterlagen</t>
        </is>
      </c>
      <c r="D415" s="4" t="inlineStr">
        <is>
          <t>MF-D03-R1</t>
        </is>
      </c>
      <c r="E415" s="4" t="n">
        <v>100</v>
      </c>
      <c r="F415" s="4" t="inlineStr">
        <is>
          <t>3.10 Wird die Anlage regelmäßig durch ein Fachunternehmen instand gehalten (Wartungsvertrag)? = Nein</t>
        </is>
      </c>
      <c r="G415" s="4" t="inlineStr">
        <is>
          <t>Hoch</t>
        </is>
      </c>
      <c r="H415" s="4" t="inlineStr">
        <is>
          <t>INFERRED</t>
        </is>
      </c>
      <c r="I415" s="4" t="inlineStr"/>
      <c r="J415" s="4" t="inlineStr">
        <is>
          <t>Betreiber auf die Instandhaltungspflicht hinweisen; Zustand der Anlage prüfen</t>
        </is>
      </c>
      <c r="K415" s="4" t="inlineStr">
        <is>
          <t>Instandhaltungsvertrag mit einem Fachunternehmen abschließen (BetrSichV § 10)</t>
        </is>
      </c>
      <c r="L415" s="4" t="inlineStr">
        <is>
          <t>Entschieden 2026-09-02: K-D02.</t>
        </is>
      </c>
      <c r="M415" s="3" t="n"/>
      <c r="N415" s="3" t="n"/>
    </row>
    <row r="416">
      <c r="A416" s="2" t="inlineStr">
        <is>
          <t>MF-D03</t>
        </is>
      </c>
      <c r="B416" s="2" t="inlineStr">
        <is>
          <t>Wartungsunterlagen fehlen oder keine regelmäßige Instandhaltung</t>
        </is>
      </c>
      <c r="C416" s="2" t="inlineStr">
        <is>
          <t>Beschilderung und Unterlagen</t>
        </is>
      </c>
      <c r="D416" s="2" t="inlineStr">
        <is>
          <t>MF-D03-R2</t>
        </is>
      </c>
      <c r="E416" s="2" t="n">
        <v>100</v>
      </c>
      <c r="F416" s="2" t="inlineStr">
        <is>
          <t>3.9 Wartungsunterlagen und Prüfbuch vorhanden und aktuell? = Nein</t>
        </is>
      </c>
      <c r="G416" s="2" t="inlineStr">
        <is>
          <t>Mittel</t>
        </is>
      </c>
      <c r="H416" s="2" t="inlineStr">
        <is>
          <t>INFERRED</t>
        </is>
      </c>
      <c r="I416" s="2" t="inlineStr"/>
      <c r="J416" s="2" t="inlineStr">
        <is>
          <t>Vorhandene Unterlagen beim Instandhalter anfordern</t>
        </is>
      </c>
      <c r="K416" s="2" t="inlineStr">
        <is>
          <t>Prüfbuch und Wartungsnachweise an der Anlage oder beim Betreiber führen</t>
        </is>
      </c>
      <c r="L416" s="2" t="inlineStr">
        <is>
          <t>Freigegeben 2026-09-20.</t>
        </is>
      </c>
      <c r="M416" s="3" t="n"/>
      <c r="N416" s="3" t="n"/>
    </row>
    <row r="417">
      <c r="A417" s="4" t="inlineStr">
        <is>
          <t>MF-D03</t>
        </is>
      </c>
      <c r="B417" s="4" t="inlineStr">
        <is>
          <t>Wartungsunterlagen fehlen oder keine regelmäßige Instandhaltung</t>
        </is>
      </c>
      <c r="C417" s="4" t="inlineStr">
        <is>
          <t>Beschilderung und Unterlagen</t>
        </is>
      </c>
      <c r="D417" s="4" t="inlineStr">
        <is>
          <t>MF-D03-R3</t>
        </is>
      </c>
      <c r="E417" s="4" t="n">
        <v>1</v>
      </c>
      <c r="F417" s="4" t="inlineStr">
        <is>
          <t>3.9 Wartungsunterlagen und Prüfbuch vorhanden und aktuell? beantwortet</t>
        </is>
      </c>
      <c r="G417" s="4" t="inlineStr">
        <is>
          <t>Kein Risiko</t>
        </is>
      </c>
      <c r="H417" s="4" t="inlineStr">
        <is>
          <t>HIGH_CONFIDENCE</t>
        </is>
      </c>
      <c r="I417" s="4" t="inlineStr"/>
      <c r="J417" s="4" t="inlineStr">
        <is>
          <t>Zustand erhalten; bei der wiederkehrenden Prüfung und der Betreiberkontrolle erneut prüfen</t>
        </is>
      </c>
      <c r="K417" s="4" t="inlineStr"/>
      <c r="L417" s="4" t="inlineStr">
        <is>
          <t>Kein Risiko: keine Mangelregel trifft zu, alle Pflichtfragen beantwortet. Freigegeben 2026-09-20.</t>
        </is>
      </c>
      <c r="M417" s="3" t="n"/>
      <c r="N417" s="3" t="n"/>
    </row>
    <row r="418">
      <c r="A418" s="2" t="inlineStr">
        <is>
          <t>MF-D04</t>
        </is>
      </c>
      <c r="B418" s="2" t="inlineStr">
        <is>
          <t>Prüfplakette fehlt oder Prüffrist der ZÜS überschritten</t>
        </is>
      </c>
      <c r="C418" s="2" t="inlineStr">
        <is>
          <t>Beschilderung und Unterlagen</t>
        </is>
      </c>
      <c r="D418" s="2" t="inlineStr">
        <is>
          <t>MF-D04-R4</t>
        </is>
      </c>
      <c r="E418" s="2" t="n">
        <v>110</v>
      </c>
      <c r="F418" s="2" t="inlineStr">
        <is>
          <t>3.7 Letzte ZÜS-Hauptprüfung: Prüfbericht liegt vor und ohne offene sicherheitsrelevante Mängel? = „Prüfbericht liegt vor, aber mit offenen sicherheitsrelevanten Mängeln"</t>
        </is>
      </c>
      <c r="G418" s="2" t="inlineStr">
        <is>
          <t>Hoch</t>
        </is>
      </c>
      <c r="H418" s="2" t="inlineStr">
        <is>
          <t>HIGH_CONFIDENCE</t>
        </is>
      </c>
      <c r="I418" s="2" t="inlineStr"/>
      <c r="J418" s="2" t="inlineStr">
        <is>
          <t>Offene sicherheitsrelevante Mängel des ZÜS-Prüfberichts mit dem Betreiber und dem Instandhalter abarbeiten; bei Gefahr im Verzug Anlage stilllegen</t>
        </is>
      </c>
      <c r="K418" s="2" t="inlineStr">
        <is>
          <t>Mängel beseitigen lassen und die Nachprüfung durch die ZÜS veranlassen; Erledigung im Prüfbuch dokumentieren</t>
        </is>
      </c>
      <c r="L418" s="2" t="inlineStr">
        <is>
          <t>Prüfbericht 20.09.2026: Die Option „Prüfbericht liegt vor, aber mit offenen sicherheitsrelevanten Mängeln" wurde bisher von keiner Regel ausgewertet – festgestellte ZÜS-Mängel blieben im Bericht grün. Freigegeben 2026-09-20.</t>
        </is>
      </c>
      <c r="M418" s="3" t="n"/>
      <c r="N418" s="3" t="n"/>
    </row>
    <row r="419">
      <c r="A419" s="4" t="inlineStr">
        <is>
          <t>MF-D04</t>
        </is>
      </c>
      <c r="B419" s="4" t="inlineStr">
        <is>
          <t>Prüfplakette fehlt oder Prüffrist der ZÜS überschritten</t>
        </is>
      </c>
      <c r="C419" s="4" t="inlineStr">
        <is>
          <t>Beschilderung und Unterlagen</t>
        </is>
      </c>
      <c r="D419" s="4" t="inlineStr">
        <is>
          <t>MF-D04-R5</t>
        </is>
      </c>
      <c r="E419" s="4" t="n">
        <v>105</v>
      </c>
      <c r="F419" s="4" t="inlineStr">
        <is>
          <t>3.7 Letzte ZÜS-Hauptprüfung: Prüfbericht liegt vor und ohne offene sicherheitsrelevante Mängel? = „Nein – kein Prüfbericht verfügbar / unbekannt"</t>
        </is>
      </c>
      <c r="G419" s="4" t="inlineStr">
        <is>
          <t>Mittel</t>
        </is>
      </c>
      <c r="H419" s="4" t="inlineStr">
        <is>
          <t>INFERRED</t>
        </is>
      </c>
      <c r="I419" s="4" t="inlineStr"/>
      <c r="J419" s="4" t="inlineStr">
        <is>
          <t>Prüfbescheinigung der letzten Hauptprüfung beim Betreiber anfordern</t>
        </is>
      </c>
      <c r="K419" s="4" t="inlineStr">
        <is>
          <t>Prüfbescheinigungen nach BetrSichV § 17 Abs. 2 bei der Anlage vorhalten (TRBS 3121 Abschn. 3.2)</t>
        </is>
      </c>
      <c r="L419" s="4" t="inlineStr">
        <is>
          <t>Ohne Prüfbericht greift zugleich keine Nachweis-Vorbelegung – es ist vollständig zu erheben. Freigegeben 2026-09-20.</t>
        </is>
      </c>
      <c r="M419" s="3" t="n"/>
      <c r="N419" s="3" t="n"/>
    </row>
    <row r="420">
      <c r="A420" s="2" t="inlineStr">
        <is>
          <t>MF-D04</t>
        </is>
      </c>
      <c r="B420" s="2" t="inlineStr">
        <is>
          <t>Prüfplakette fehlt oder Prüffrist der ZÜS überschritten</t>
        </is>
      </c>
      <c r="C420" s="2" t="inlineStr">
        <is>
          <t>Beschilderung und Unterlagen</t>
        </is>
      </c>
      <c r="D420" s="2" t="inlineStr">
        <is>
          <t>MF-D04-R1</t>
        </is>
      </c>
      <c r="E420" s="2" t="n">
        <v>100</v>
      </c>
      <c r="F420" s="2" t="inlineStr">
        <is>
          <t>3.8 Prüffrist der wiederkehrenden Prüfung (ZÜS) überschritten? = Ja</t>
        </is>
      </c>
      <c r="G420" s="2" t="inlineStr">
        <is>
          <t>Hoch</t>
        </is>
      </c>
      <c r="H420" s="2" t="inlineStr">
        <is>
          <t>INFERRED</t>
        </is>
      </c>
      <c r="I420" s="2" t="inlineStr"/>
      <c r="J420" s="2" t="inlineStr">
        <is>
          <t>Betreiber informieren; Prüfung durch die ZÜS unverzüglich veranlassen</t>
        </is>
      </c>
      <c r="K420" s="2" t="inlineStr">
        <is>
          <t>Prüffristen im Prüfbuch führen und Wiedervorlage einrichten</t>
        </is>
      </c>
      <c r="L420" s="2" t="inlineStr">
        <is>
          <t>Entschieden 2026-09-02: K-D03.</t>
        </is>
      </c>
      <c r="M420" s="3" t="n"/>
      <c r="N420" s="3" t="n"/>
    </row>
    <row r="421">
      <c r="A421" s="4" t="inlineStr">
        <is>
          <t>MF-D04</t>
        </is>
      </c>
      <c r="B421" s="4" t="inlineStr">
        <is>
          <t>Prüfplakette fehlt oder Prüffrist der ZÜS überschritten</t>
        </is>
      </c>
      <c r="C421" s="4" t="inlineStr">
        <is>
          <t>Beschilderung und Unterlagen</t>
        </is>
      </c>
      <c r="D421" s="4" t="inlineStr">
        <is>
          <t>MF-D04-R2</t>
        </is>
      </c>
      <c r="E421" s="4" t="n">
        <v>100</v>
      </c>
      <c r="F421" s="4" t="inlineStr">
        <is>
          <t>3.6 Prüfplakette der ZÜS vorhanden und lesbar? = Nein</t>
        </is>
      </c>
      <c r="G421" s="4" t="inlineStr">
        <is>
          <t>Niedrig</t>
        </is>
      </c>
      <c r="H421" s="4" t="inlineStr">
        <is>
          <t>INFERRED</t>
        </is>
      </c>
      <c r="I421" s="4" t="inlineStr"/>
      <c r="J421" s="4" t="inlineStr">
        <is>
          <t>Prüfbescheinigung der letzten ZÜS-Prüfung einsehen und Plakette bei der prüfenden ZÜS anfordern</t>
        </is>
      </c>
      <c r="K421" s="4" t="inlineStr">
        <is>
          <t>Prüfplakette im Fahrkorb anbringen (BetrSichV § 17 Abs. 3)</t>
        </is>
      </c>
      <c r="L421" s="4" t="inlineStr">
        <is>
          <t>Regelprüfung 20.09.2026: Mittel auf Niedrig. Die fehlende oder unleserliche Plakette ist ein Kennzeichnungsmangel ohne eigenen Gefährdungsbeitrag; der sicherheitsrelevante Sachverhalt dahinter steht getrennt in 3.8 (Frist überschritten, Hoch) und 3.7 (kein Prüfbericht, Mittel). Die Plakette gibt die ZÜS aus – „nachbeschaffen" war missverständlich. Entschieden 2026-09-02: K-D03.</t>
        </is>
      </c>
      <c r="M421" s="3" t="n"/>
      <c r="N421" s="3" t="n"/>
    </row>
    <row r="422">
      <c r="A422" s="2" t="inlineStr">
        <is>
          <t>MF-D04</t>
        </is>
      </c>
      <c r="B422" s="2" t="inlineStr">
        <is>
          <t>Prüfplakette fehlt oder Prüffrist der ZÜS überschritten</t>
        </is>
      </c>
      <c r="C422" s="2" t="inlineStr">
        <is>
          <t>Beschilderung und Unterlagen</t>
        </is>
      </c>
      <c r="D422" s="2" t="inlineStr">
        <is>
          <t>MF-D04-R3</t>
        </is>
      </c>
      <c r="E422" s="2" t="n">
        <v>1</v>
      </c>
      <c r="F422" s="2" t="inlineStr">
        <is>
          <t>3.6 Prüfplakette der ZÜS vorhanden und lesbar? beantwortet</t>
        </is>
      </c>
      <c r="G422" s="2" t="inlineStr">
        <is>
          <t>Kein Risiko</t>
        </is>
      </c>
      <c r="H422" s="2" t="inlineStr">
        <is>
          <t>HIGH_CONFIDENCE</t>
        </is>
      </c>
      <c r="I422" s="2" t="inlineStr"/>
      <c r="J422" s="2" t="inlineStr">
        <is>
          <t>Zustand erhalten; bei der wiederkehrenden Prüfung und der Betreiberkontrolle erneut prüfen</t>
        </is>
      </c>
      <c r="K422" s="2" t="inlineStr"/>
      <c r="L422" s="2" t="inlineStr">
        <is>
          <t>Kein Risiko: keine Mangelregel trifft zu, alle Pflichtfragen beantwortet. Freigegeben 2026-09-20.</t>
        </is>
      </c>
      <c r="M422" s="3" t="n"/>
      <c r="N422" s="3" t="n"/>
    </row>
    <row r="423">
      <c r="A423" s="4" t="inlineStr">
        <is>
          <t>MF-D05</t>
        </is>
      </c>
      <c r="B423" s="4" t="inlineStr">
        <is>
          <t>Betreiberorganisation: beauftragte Person, Unterweisung, Betriebsanweisung, Zutrittsregelung</t>
        </is>
      </c>
      <c r="C423" s="4" t="inlineStr">
        <is>
          <t>Betreiberorganisation</t>
        </is>
      </c>
      <c r="D423" s="4" t="inlineStr">
        <is>
          <t>MF-D05-R1</t>
        </is>
      </c>
      <c r="E423" s="4" t="n">
        <v>100</v>
      </c>
      <c r="F423" s="4" t="inlineStr">
        <is>
          <t>E1 Beauftragte Person für die Aufzugsanlage (Aufzugswärter) schriftlich benannt? = Nein</t>
        </is>
      </c>
      <c r="G423" s="4" t="inlineStr">
        <is>
          <t>Mittel</t>
        </is>
      </c>
      <c r="H423" s="4" t="inlineStr">
        <is>
          <t>INFERRED</t>
        </is>
      </c>
      <c r="I423" s="4" t="inlineStr"/>
      <c r="J423" s="4" t="inlineStr">
        <is>
          <t>Betreiber auf die Pflicht zur Benennung einer beauftragten Person hinweisen</t>
        </is>
      </c>
      <c r="K423" s="4" t="inlineStr">
        <is>
          <t>Beauftragte Person schriftlich bestellen und anlagenbezogen einweisen (BetrSichV Anh. 1 Nr. 4)</t>
        </is>
      </c>
      <c r="L423" s="4" t="inlineStr">
        <is>
          <t>Entschieden 2026-09-02: K-D04.</t>
        </is>
      </c>
      <c r="M423" s="3" t="n"/>
      <c r="N423" s="3" t="n"/>
    </row>
    <row r="424">
      <c r="A424" s="2" t="inlineStr">
        <is>
          <t>MF-D05</t>
        </is>
      </c>
      <c r="B424" s="2" t="inlineStr">
        <is>
          <t>Betreiberorganisation: beauftragte Person, Unterweisung, Betriebsanweisung, Zutrittsregelung</t>
        </is>
      </c>
      <c r="C424" s="2" t="inlineStr">
        <is>
          <t>Betreiberorganisation</t>
        </is>
      </c>
      <c r="D424" s="2" t="inlineStr">
        <is>
          <t>MF-D05-R2</t>
        </is>
      </c>
      <c r="E424" s="2" t="n">
        <v>100</v>
      </c>
      <c r="F424" s="2" t="inlineStr">
        <is>
          <t>E2 Unterweisung der beauftragten Person dokumentiert? = Nein</t>
        </is>
      </c>
      <c r="G424" s="2" t="inlineStr">
        <is>
          <t>Mittel</t>
        </is>
      </c>
      <c r="H424" s="2" t="inlineStr">
        <is>
          <t>INFERRED</t>
        </is>
      </c>
      <c r="I424" s="2" t="inlineStr"/>
      <c r="J424" s="2" t="inlineStr">
        <is>
          <t>Unterweisung nachholen</t>
        </is>
      </c>
      <c r="K424" s="2" t="inlineStr">
        <is>
          <t>Unterweisung jährlich wiederholen und dokumentieren</t>
        </is>
      </c>
      <c r="L424" s="2" t="inlineStr">
        <is>
          <t>Entschieden 2026-09-02: K-D04.</t>
        </is>
      </c>
      <c r="M424" s="3" t="n"/>
      <c r="N424" s="3" t="n"/>
    </row>
    <row r="425">
      <c r="A425" s="4" t="inlineStr">
        <is>
          <t>MF-D05</t>
        </is>
      </c>
      <c r="B425" s="4" t="inlineStr">
        <is>
          <t>Betreiberorganisation: beauftragte Person, Unterweisung, Betriebsanweisung, Zutrittsregelung</t>
        </is>
      </c>
      <c r="C425" s="4" t="inlineStr">
        <is>
          <t>Betreiberorganisation</t>
        </is>
      </c>
      <c r="D425" s="4" t="inlineStr">
        <is>
          <t>MF-D05-R3</t>
        </is>
      </c>
      <c r="E425" s="4" t="n">
        <v>100</v>
      </c>
      <c r="F425" s="4" t="inlineStr">
        <is>
          <t>E3 Betriebsanweisung für die Anlage vorhanden und ausgehängt? = Nein</t>
        </is>
      </c>
      <c r="G425" s="4" t="inlineStr">
        <is>
          <t>Mittel</t>
        </is>
      </c>
      <c r="H425" s="4" t="inlineStr">
        <is>
          <t>INFERRED</t>
        </is>
      </c>
      <c r="I425" s="4" t="inlineStr"/>
      <c r="J425" s="4" t="inlineStr">
        <is>
          <t>Vorläufige Betriebsanweisung mit Verhalten bei Störung und Personeneinschluss aushängen</t>
        </is>
      </c>
      <c r="K425" s="4" t="inlineStr">
        <is>
          <t>Anlagenbezogene Betriebsanweisung nach BetrSichV § 12 erstellen</t>
        </is>
      </c>
      <c r="L425" s="4" t="inlineStr">
        <is>
          <t>Entschieden 2026-09-02: K-D04.</t>
        </is>
      </c>
      <c r="M425" s="3" t="n"/>
      <c r="N425" s="3" t="n"/>
    </row>
    <row r="426">
      <c r="A426" s="2" t="inlineStr">
        <is>
          <t>MF-D05</t>
        </is>
      </c>
      <c r="B426" s="2" t="inlineStr">
        <is>
          <t>Betreiberorganisation: beauftragte Person, Unterweisung, Betriebsanweisung, Zutrittsregelung</t>
        </is>
      </c>
      <c r="C426" s="2" t="inlineStr">
        <is>
          <t>Betreiberorganisation</t>
        </is>
      </c>
      <c r="D426" s="2" t="inlineStr">
        <is>
          <t>MF-D05-R4</t>
        </is>
      </c>
      <c r="E426" s="2" t="n">
        <v>100</v>
      </c>
      <c r="F426" s="2" t="inlineStr">
        <is>
          <t>E4 Zutritt zum Triebwerksraum / Steuerschrank organisatorisch geregelt (Schlüsselverwaltung, nur befugte Personen)? = Nein</t>
        </is>
      </c>
      <c r="G426" s="2" t="inlineStr">
        <is>
          <t>Mittel</t>
        </is>
      </c>
      <c r="H426" s="2" t="inlineStr">
        <is>
          <t>INFERRED</t>
        </is>
      </c>
      <c r="I426" s="2" t="inlineStr"/>
      <c r="J426" s="2" t="inlineStr">
        <is>
          <t>Triebwerksraum abschließen, Schlüsselausgabe nur an befugte Personen</t>
        </is>
      </c>
      <c r="K426" s="2" t="inlineStr">
        <is>
          <t>Zutrittsregelung in der Betriebsanweisung festlegen</t>
        </is>
      </c>
      <c r="L426" s="2" t="inlineStr">
        <is>
          <t>Entschieden 2026-09-02: K-D04.</t>
        </is>
      </c>
      <c r="M426" s="3" t="n"/>
      <c r="N426" s="3" t="n"/>
    </row>
    <row r="427">
      <c r="A427" s="4" t="inlineStr">
        <is>
          <t>MF-D05</t>
        </is>
      </c>
      <c r="B427" s="4" t="inlineStr">
        <is>
          <t>Betreiberorganisation: beauftragte Person, Unterweisung, Betriebsanweisung, Zutrittsregelung</t>
        </is>
      </c>
      <c r="C427" s="4" t="inlineStr">
        <is>
          <t>Betreiberorganisation</t>
        </is>
      </c>
      <c r="D427" s="4" t="inlineStr">
        <is>
          <t>MF-D05-R5</t>
        </is>
      </c>
      <c r="E427" s="4" t="n">
        <v>1</v>
      </c>
      <c r="F427" s="4" t="inlineStr">
        <is>
          <t>E1 Beauftragte Person für die Aufzugsanlage (Aufzugswärter) schriftlich benannt? beantwortet</t>
        </is>
      </c>
      <c r="G427" s="4" t="inlineStr">
        <is>
          <t>Kein Risiko</t>
        </is>
      </c>
      <c r="H427" s="4" t="inlineStr">
        <is>
          <t>HIGH_CONFIDENCE</t>
        </is>
      </c>
      <c r="I427" s="4" t="inlineStr"/>
      <c r="J427" s="4" t="inlineStr">
        <is>
          <t>Zustand erhalten; bei der wiederkehrenden Prüfung und der Betreiberkontrolle erneut prüfen</t>
        </is>
      </c>
      <c r="K427" s="4" t="inlineStr"/>
      <c r="L427" s="4" t="inlineStr">
        <is>
          <t>Kein Risiko: keine Mangelregel trifft zu, alle Pflichtfragen beantwortet. Freigegeben 2026-09-20.</t>
        </is>
      </c>
      <c r="M427" s="3" t="n"/>
      <c r="N427" s="3" t="n"/>
    </row>
    <row r="428">
      <c r="A428" s="2" t="inlineStr">
        <is>
          <t>MF-D06</t>
        </is>
      </c>
      <c r="B428" s="2" t="inlineStr">
        <is>
          <t>Ausstattung passt nicht zum Regelwerk des Inverkehrbringens (Konformitätsmangel)</t>
        </is>
      </c>
      <c r="C428" s="2" t="inlineStr">
        <is>
          <t>Beschilderung und Unterlagen</t>
        </is>
      </c>
      <c r="D428" s="2" t="inlineStr">
        <is>
          <t>MF-D06-R7</t>
        </is>
      </c>
      <c r="E428" s="2" t="n">
        <v>300</v>
      </c>
      <c r="F428" s="2" t="inlineStr">
        <is>
          <t>((1.28 Regelwerk bei Inverkehrbringen / letzter Modernisierung in [„DIN EN 81-20 (ab 2017)"] ODER (1.28 Regelwerk bei Inverkehrbringen / letzter Modernisierung = „Unbekannt / keine Unterlagen" UND 1.24 Baujahr der Anlage ≥ 2017)) UND 8.6 Fahrkorbabschlusstür vorhanden? = Nein)</t>
        </is>
      </c>
      <c r="G428" s="2" t="inlineStr">
        <is>
          <t>Hoch</t>
        </is>
      </c>
      <c r="H428" s="2" t="inlineStr">
        <is>
          <t>HIGH_CONFIDENCE</t>
        </is>
      </c>
      <c r="I428" s="2" t="inlineStr"/>
      <c r="J428" s="2" t="inlineStr">
        <is>
          <t>Betreiber unterrichten; Aufzug für den Personentransport sperren; Errichter und Konformitätserklärung prüfen</t>
        </is>
      </c>
      <c r="K428" s="2" t="inlineStr">
        <is>
          <t>Fahrkorbabschlusstür nachrüsten und die Konformität der Anlage durch den Errichter nachweisen lassen (DIN EN 81-20 5.4.6)</t>
        </is>
      </c>
      <c r="L428" s="2" t="inlineStr">
        <is>
          <t>Fahrkorbtür ist seit EN 81-1/2 (1999) gefordert und in EN 81-20 unverändert – an einer nach EN 81-20 in Verkehr gebrachten Anlage ist ihr Fehlen ein Konformitätsmangel, keine Nachrüstfrage. Regelprüfung 20.09.2026: Bedingung vom Baujahr auf das Errichtungsregelwerk (1.28) umgestellt – die durchgreifend modernisierte Altanlage wurde sonst nicht erfasst. Sofortmaßnahme „nur mit eingewiesenen Personen betreiben" gestrichen: sie widersprach MF-T06-R1 (Sperren) und nahm eine Kompensation vorweg, die nur dort und nur beim Lastenaufzug zulässig ist. Freigegeben 2026-09-20.</t>
        </is>
      </c>
      <c r="M428" s="3" t="n"/>
      <c r="N428" s="3" t="n"/>
    </row>
    <row r="429">
      <c r="A429" s="4" t="inlineStr">
        <is>
          <t>MF-D06</t>
        </is>
      </c>
      <c r="B429" s="4" t="inlineStr">
        <is>
          <t>Ausstattung passt nicht zum Regelwerk des Inverkehrbringens (Konformitätsmangel)</t>
        </is>
      </c>
      <c r="C429" s="4" t="inlineStr">
        <is>
          <t>Beschilderung und Unterlagen</t>
        </is>
      </c>
      <c r="D429" s="4" t="inlineStr">
        <is>
          <t>MF-D06-R8</t>
        </is>
      </c>
      <c r="E429" s="4" t="n">
        <v>250</v>
      </c>
      <c r="F429" s="4" t="inlineStr">
        <is>
          <t>((1.28 Regelwerk bei Inverkehrbringen / letzter Modernisierung in [„DIN EN 81-20 (ab 2017)"] ODER (1.28 Regelwerk bei Inverkehrbringen / letzter Modernisierung in [„DIN EN 81-1 / 81-2 (1999–2017)"] UND 1.24 Baujahr der Anlage ≥ 2012) ODER (1.28 Regelwerk bei Inverkehrbringen / letzter Modernisierung = „Unbekannt / keine Unterlagen" UND 1.24 Baujahr der Anlage ≥ 2012)) UND 4.5 UCM-Schutz (unbeabsichtigte Fahrkorbbewegung, A3 / EN 81-20 5.6.7) vorhanden? = Nein)</t>
        </is>
      </c>
      <c r="G429" s="4" t="inlineStr">
        <is>
          <t>Hoch</t>
        </is>
      </c>
      <c r="H429" s="4" t="inlineStr">
        <is>
          <t>HIGH_CONFIDENCE</t>
        </is>
      </c>
      <c r="I429" s="4" t="inlineStr"/>
      <c r="J429" s="4" t="inlineStr">
        <is>
          <t>Betreiber unverzüglich unterrichten; Nachregulieren und Voraböffnen mit offener Tür sowie die Haltegenauigkeit prüfen; bei Wegsacken oder Anfahren mit offener Tür Anlage stilllegen; Konformitätserklärung und Baumusterprüfung beim Errichter anfordern</t>
        </is>
      </c>
      <c r="K429" s="4" t="inlineStr">
        <is>
          <t>UCM-Schutz nachrüsten und die Konformität nachweisen lassen (EN 81-1/2 + A3 bzw. DIN EN 81-20 5.6.7)</t>
        </is>
      </c>
      <c r="L429" s="4" t="inlineStr">
        <is>
          <t>EN 81-1/2 + A3 (UCM) ist seit 2012 verbindlich, EN 81-20 durchgehend. Regelprüfung 20.09.2026: Bedingung auf das Errichtungsregelwerk umgestellt; die Sofortmaßnahme „Unterlagen anfordern" hatte für eine Hoch-Regel keine Schutzwirkung. Die Kompensationen aus MF-K12 (Zweikreisbremse, Bremsüberwachung, statisch bestimmte Lagerung) heilen den Konformitätsmangel nicht und bleiben dort. Freigegeben 2026-09-20.</t>
        </is>
      </c>
      <c r="M429" s="3" t="n"/>
      <c r="N429" s="3" t="n"/>
    </row>
    <row r="430">
      <c r="A430" s="2" t="inlineStr">
        <is>
          <t>MF-D06</t>
        </is>
      </c>
      <c r="B430" s="2" t="inlineStr">
        <is>
          <t>Ausstattung passt nicht zum Regelwerk des Inverkehrbringens (Konformitätsmangel)</t>
        </is>
      </c>
      <c r="C430" s="2" t="inlineStr">
        <is>
          <t>Beschilderung und Unterlagen</t>
        </is>
      </c>
      <c r="D430" s="2" t="inlineStr">
        <is>
          <t>MF-D06-R9</t>
        </is>
      </c>
      <c r="E430" s="2" t="n">
        <v>200</v>
      </c>
      <c r="F430" s="2" t="inlineStr">
        <is>
          <t>((1.28 Regelwerk bei Inverkehrbringen / letzter Modernisierung in [„DIN EN 81-1 / 81-2 (1999–2017)", „DIN EN 81-20 (ab 2017)"] ODER (1.28 Regelwerk bei Inverkehrbringen / letzter Modernisierung = „Unbekannt / keine Unterlagen" UND 1.24 Baujahr der Anlage ≥ 1999)) UND NICHT (1.28 Regelwerk bei Inverkehrbringen / letzter Modernisierung in [„DIN EN 81-20 (ab 2017)"] ODER (1.28 Regelwerk bei Inverkehrbringen / letzter Modernisierung = „Unbekannt / keine Unterlagen" UND 1.24 Baujahr der Anlage ≥ 2017)) UND 8.6 Fahrkorbabschlusstür vorhanden? = Nein)</t>
        </is>
      </c>
      <c r="G430" s="2" t="inlineStr">
        <is>
          <t>Mittel</t>
        </is>
      </c>
      <c r="H430" s="2" t="inlineStr">
        <is>
          <t>HIGH_CONFIDENCE</t>
        </is>
      </c>
      <c r="I430" s="2" t="inlineStr"/>
      <c r="J430" s="2" t="inlineStr">
        <is>
          <t>Unterlagen zum Inverkehrbringen prüfen (Regelwerk und Ausstattung passen nicht zusammen)</t>
        </is>
      </c>
      <c r="K430" s="2" t="inlineStr">
        <is>
          <t>Fahrkorbabschlusstür nachrüsten (DIN EN 81-1/2 5.4, EN 81-80 5.5.2)</t>
        </is>
      </c>
      <c r="L430" s="2" t="inlineStr">
        <is>
          <t>Ab Geltung der Aufzugsrichtlinie (01.07.1999) ist die Fahrkorbtür gefordert. Vor 1999 in Verkehr gebrachte Anlagen ohne Fahrkorbtür sind dagegen ein Nachrüstfall nach EN 81-80, kein Konformitätsmangel. Regelprüfung 20.09.2026: Bedingung auf das Errichtungsregelwerk umgestellt und gegen R1 abgegrenzt – vorher lösten bei Baujahr ab 2017 beide Regeln aus und der Bericht führte denselben Befund zweimal mit verschiedenen Begründungen. Freigegeben 2026-09-20.</t>
        </is>
      </c>
      <c r="M430" s="3" t="n"/>
      <c r="N430" s="3" t="n"/>
    </row>
    <row r="431">
      <c r="A431" s="4" t="inlineStr">
        <is>
          <t>MF-D06</t>
        </is>
      </c>
      <c r="B431" s="4" t="inlineStr">
        <is>
          <t>Ausstattung passt nicht zum Regelwerk des Inverkehrbringens (Konformitätsmangel)</t>
        </is>
      </c>
      <c r="C431" s="4" t="inlineStr">
        <is>
          <t>Beschilderung und Unterlagen</t>
        </is>
      </c>
      <c r="D431" s="4" t="inlineStr">
        <is>
          <t>MF-D06-R4</t>
        </is>
      </c>
      <c r="E431" s="4" t="n">
        <v>150</v>
      </c>
      <c r="F431" s="4" t="inlineStr">
        <is>
          <t>(1.24 Baujahr der Anlage ≥ 2017 UND 1.28 Regelwerk bei Inverkehrbringen / letzter Modernisierung = „TRA 200 / TRA 102 (vor 1999)")</t>
        </is>
      </c>
      <c r="G431" s="4" t="inlineStr">
        <is>
          <t>Mittel</t>
        </is>
      </c>
      <c r="H431" s="4" t="inlineStr">
        <is>
          <t>INFERRED</t>
        </is>
      </c>
      <c r="I431" s="4" t="inlineStr"/>
      <c r="J431" s="4" t="inlineStr">
        <is>
          <t>Angaben klären: Baujahr ab 2017, aber Regelwerk TRA angegeben</t>
        </is>
      </c>
      <c r="K431" s="4" t="inlineStr">
        <is>
          <t>Baujahr und Regelwerk anhand der Anlagendokumentation berichtigen</t>
        </is>
      </c>
      <c r="L431" s="4" t="inlineStr">
        <is>
          <t>Freigegeben 2026-09-20.</t>
        </is>
      </c>
      <c r="M431" s="3" t="n"/>
      <c r="N431" s="3" t="n"/>
    </row>
    <row r="432">
      <c r="A432" s="2" t="inlineStr">
        <is>
          <t>MF-D06</t>
        </is>
      </c>
      <c r="B432" s="2" t="inlineStr">
        <is>
          <t>Ausstattung passt nicht zum Regelwerk des Inverkehrbringens (Konformitätsmangel)</t>
        </is>
      </c>
      <c r="C432" s="2" t="inlineStr">
        <is>
          <t>Beschilderung und Unterlagen</t>
        </is>
      </c>
      <c r="D432" s="2" t="inlineStr">
        <is>
          <t>MF-D06-R5</t>
        </is>
      </c>
      <c r="E432" s="2" t="n">
        <v>140</v>
      </c>
      <c r="F432" s="2" t="inlineStr">
        <is>
          <t>(1.24 Baujahr der Anlage ≤ 1998 UND 1.28 Regelwerk bei Inverkehrbringen / letzter Modernisierung = „DIN EN 81-20 (ab 2017)")</t>
        </is>
      </c>
      <c r="G432" s="2" t="inlineStr">
        <is>
          <t>Niedrig</t>
        </is>
      </c>
      <c r="H432" s="2" t="inlineStr">
        <is>
          <t>INFERRED</t>
        </is>
      </c>
      <c r="I432" s="2" t="inlineStr"/>
      <c r="J432" s="2" t="inlineStr">
        <is>
          <t>Prüfen, ob die Anlage durchgreifend modernisiert wurde</t>
        </is>
      </c>
      <c r="K432" s="2" t="inlineStr">
        <is>
          <t>Umfang der Modernisierung dokumentieren; sonst Baujahr oder Regelwerk berichtigen</t>
        </is>
      </c>
      <c r="L432" s="2" t="inlineStr">
        <is>
          <t>Kein Fehler: Eine alte Anlage kann nach einer wesentlichen Veränderung neu in Verkehr gebracht worden sein. Dann gehört der Umfang in die Unterlagen. Freigegeben 2026-09-20.</t>
        </is>
      </c>
      <c r="M432" s="3" t="n"/>
      <c r="N432" s="3" t="n"/>
    </row>
    <row r="433">
      <c r="A433" s="4" t="inlineStr">
        <is>
          <t>MF-D06</t>
        </is>
      </c>
      <c r="B433" s="4" t="inlineStr">
        <is>
          <t>Ausstattung passt nicht zum Regelwerk des Inverkehrbringens (Konformitätsmangel)</t>
        </is>
      </c>
      <c r="C433" s="4" t="inlineStr">
        <is>
          <t>Beschilderung und Unterlagen</t>
        </is>
      </c>
      <c r="D433" s="4" t="inlineStr">
        <is>
          <t>MF-D06-R6</t>
        </is>
      </c>
      <c r="E433" s="4" t="n">
        <v>1</v>
      </c>
      <c r="F433" s="4" t="inlineStr">
        <is>
          <t>1.24 Baujahr der Anlage beantwortet</t>
        </is>
      </c>
      <c r="G433" s="4" t="inlineStr">
        <is>
          <t>Kein Risiko</t>
        </is>
      </c>
      <c r="H433" s="4" t="inlineStr">
        <is>
          <t>INFERRED</t>
        </is>
      </c>
      <c r="I433" s="4" t="inlineStr"/>
      <c r="J433" s="4" t="inlineStr">
        <is>
          <t>Zustand erhalten; bei der wiederkehrenden Prüfung und der Betreiberkontrolle erneut prüfen</t>
        </is>
      </c>
      <c r="K433" s="4" t="inlineStr"/>
      <c r="L433" s="4" t="inlineStr">
        <is>
          <t>Freigegeben 2026-09-20.</t>
        </is>
      </c>
      <c r="M433" s="3" t="n"/>
      <c r="N433" s="3" t="n"/>
    </row>
  </sheetData>
  <autoFilter ref="A1:N433"/>
  <dataValidations count="1">
    <dataValidation sqref="M2:M433" showDropDown="0" showInputMessage="0" showErrorMessage="0" allowBlank="1" type="list">
      <formula1>"OK,Ändern"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10" customWidth="1" min="1" max="1"/>
    <col width="44" customWidth="1" min="2" max="2"/>
    <col width="24" customWidth="1" min="3" max="3"/>
    <col width="28" customWidth="1" min="4" max="4"/>
    <col width="11" customWidth="1" min="5" max="5"/>
    <col width="40" customWidth="1" min="6" max="6"/>
    <col width="26" customWidth="1" min="7" max="7"/>
    <col width="70" customWidth="1" min="8" max="8"/>
    <col width="40" customWidth="1" min="9" max="9"/>
    <col width="12" customWidth="1" min="10" max="10"/>
    <col width="8" customWidth="1" min="11" max="11"/>
  </cols>
  <sheetData>
    <row r="1" ht="30" customHeight="1">
      <c r="A1" s="1" t="inlineStr">
        <is>
          <t>Code</t>
        </is>
      </c>
      <c r="B1" s="1" t="inlineStr">
        <is>
          <t>Titel</t>
        </is>
      </c>
      <c r="C1" s="1" t="inlineStr">
        <is>
          <t>Baugruppe</t>
        </is>
      </c>
      <c r="D1" s="1" t="inlineStr">
        <is>
          <t>Erhebungsbereich</t>
        </is>
      </c>
      <c r="E1" s="1" t="inlineStr">
        <is>
          <t>Aggregation</t>
        </is>
      </c>
      <c r="F1" s="1" t="inlineStr">
        <is>
          <t>Gefährdungsfaktor</t>
        </is>
      </c>
      <c r="G1" s="1" t="inlineStr">
        <is>
          <t>Personengruppen</t>
        </is>
      </c>
      <c r="H1" s="1" t="inlineStr">
        <is>
          <t>Fragen (Rolle · Pflicht)</t>
        </is>
      </c>
      <c r="I1" s="1" t="inlineStr">
        <is>
          <t>Norm-/Quellenbezug</t>
        </is>
      </c>
      <c r="J1" s="1" t="inlineStr">
        <is>
          <t>Klärung</t>
        </is>
      </c>
      <c r="K1" s="1" t="inlineStr">
        <is>
          <t>Regeln</t>
        </is>
      </c>
    </row>
    <row r="2">
      <c r="A2" s="2" t="inlineStr">
        <is>
          <t>MF-Z01</t>
        </is>
      </c>
      <c r="B2" s="2" t="inlineStr">
        <is>
          <t>Unzureichende Beleuchtung an den Zuwegen zum Triebwerks-/Steuerungsraum</t>
        </is>
      </c>
      <c r="C2" s="2" t="inlineStr">
        <is>
          <t>Beleuchtung</t>
        </is>
      </c>
      <c r="D2" s="2" t="inlineStr">
        <is>
          <t>Z – Zugang zum Triebwerks-/Steuerungsraum</t>
        </is>
      </c>
      <c r="E2" s="2" t="inlineStr">
        <is>
          <t>MAXIMUM</t>
        </is>
      </c>
      <c r="F2" s="2" t="inlineStr">
        <is>
          <t>Gefährdung durch Arbeitsumgebungsbedingungen (unzureichende Beleuchtung)</t>
        </is>
      </c>
      <c r="G2" s="2" t="inlineStr">
        <is>
          <t>Beauftragte Person, Wartungspersonal</t>
        </is>
      </c>
      <c r="H2" s="2" t="inlineStr">
        <is>
          <t>5.1 Beleuchtung an den Zuwegen zum Triebwerks-/Steuerungsraum vorhanden? [Auslöser · Pflicht]
5.2 Beleuchtung an den Zuwegen ausreichend (mind. 50 Lux, funktionsfähig, Leuchten an geeigneter Stelle)? [Auslöser · bedingt Pflicht]
5.2a Defekte Leuchten oder Leuchtkörper an den Zuwegen? [Auslöser · bedingt Pflicht]</t>
        </is>
      </c>
      <c r="I2" s="2" t="inlineStr">
        <is>
          <t>ASR A3.4</t>
        </is>
      </c>
      <c r="J2" s="2" t="inlineStr"/>
      <c r="K2" s="2" t="n">
        <v>4</v>
      </c>
    </row>
    <row r="3">
      <c r="A3" s="4" t="inlineStr">
        <is>
          <t>MF-Z02</t>
        </is>
      </c>
      <c r="B3" s="4" t="inlineStr">
        <is>
          <t>Unsicherer Verkehrsweg zum Triebwerks-/Steuerungsraum (Rutschen, Stolpern, Enge)</t>
        </is>
      </c>
      <c r="C3" s="4" t="inlineStr">
        <is>
          <t>Zugang und Verkehrswege</t>
        </is>
      </c>
      <c r="D3" s="4" t="inlineStr">
        <is>
          <t>Z – Zugang zum Triebwerks-/Steuerungsraum</t>
        </is>
      </c>
      <c r="E3" s="4" t="inlineStr">
        <is>
          <t>MAXIMUM</t>
        </is>
      </c>
      <c r="F3" s="4" t="inlineStr">
        <is>
          <t>Mechanische Gefährdung durch Stolpern, Rutschen, Stürzen</t>
        </is>
      </c>
      <c r="G3" s="4" t="inlineStr">
        <is>
          <t>Beauftragte Person, Wartungspersonal</t>
        </is>
      </c>
      <c r="H3" s="4" t="inlineStr">
        <is>
          <t>5.3 Sicherer, freier Verkehrsweg zum Triebwerks-/Steuerungsraum (trocken, sauber, ohne Stolperstellen)? [Auslöser · Pflicht]
5.3a Verkehrsweg rutschig, glatt oder verschmutzt? [Auslöser · bedingt Pflicht]
5.3b Stolperstellen auf dem Verkehrsweg? [Auslöser · bedingt Pflicht]
5.4 Enge oder niedrige Durchgänge (Breite &lt; 0,60 m oder Höhe &lt; 2,00 m)? [Dokumentation]</t>
        </is>
      </c>
      <c r="I3" s="4" t="inlineStr">
        <is>
          <t>DIN EN 81-20 5.2.2.1</t>
        </is>
      </c>
      <c r="J3" s="4" t="inlineStr"/>
      <c r="K3" s="4" t="n">
        <v>4</v>
      </c>
    </row>
    <row r="4">
      <c r="A4" s="2" t="inlineStr">
        <is>
          <t>MF-Z03</t>
        </is>
      </c>
      <c r="B4" s="2" t="inlineStr">
        <is>
          <t>Unsicherer Aufstieg (Treppe, Leiter) zum Triebwerksraum</t>
        </is>
      </c>
      <c r="C4" s="2" t="inlineStr">
        <is>
          <t>Zugang und Verkehrswege</t>
        </is>
      </c>
      <c r="D4" s="2" t="inlineStr">
        <is>
          <t>Z – Zugang zum Triebwerks-/Steuerungsraum</t>
        </is>
      </c>
      <c r="E4" s="2" t="inlineStr">
        <is>
          <t>MAXIMUM</t>
        </is>
      </c>
      <c r="F4" s="2" t="inlineStr">
        <is>
          <t>Mechanische Gefährdung durch Absturz</t>
        </is>
      </c>
      <c r="G4" s="2" t="inlineStr">
        <is>
          <t>Beauftragte Person, Wartungspersonal</t>
        </is>
      </c>
      <c r="H4" s="2" t="inlineStr">
        <is>
          <t>4.7 Eigener Triebwerks-/Maschinenraum vorhanden? [Filter]
5.5 Art des Aufstiegs zum Triebwerksraum [Auslöser · Pflicht]
5.6 Bruch- oder Kippgefahr am Aufstieg (beschädigte Stufen, lose Leiter, fehlende Befestigung)? [Auslöser · bedingt Pflicht]</t>
        </is>
      </c>
      <c r="I4" s="2" t="inlineStr">
        <is>
          <t>DIN EN 81-20 5.2.2.2; ASR A1.8</t>
        </is>
      </c>
      <c r="J4" s="2" t="inlineStr">
        <is>
          <t>K-Z04</t>
        </is>
      </c>
      <c r="K4" s="2" t="n">
        <v>6</v>
      </c>
    </row>
    <row r="5">
      <c r="A5" s="4" t="inlineStr">
        <is>
          <t>MF-Z04</t>
        </is>
      </c>
      <c r="B5" s="4" t="inlineStr">
        <is>
          <t>Absturzgefahr im Zugangsbereich (Dachfläche, Absturzkante, Übersteigen)</t>
        </is>
      </c>
      <c r="C5" s="4" t="inlineStr">
        <is>
          <t>Zugang und Verkehrswege</t>
        </is>
      </c>
      <c r="D5" s="4" t="inlineStr">
        <is>
          <t>Z – Zugang zum Triebwerks-/Steuerungsraum</t>
        </is>
      </c>
      <c r="E5" s="4" t="inlineStr">
        <is>
          <t>MAXIMUM</t>
        </is>
      </c>
      <c r="F5" s="4" t="inlineStr">
        <is>
          <t>Mechanische Gefährdung durch Absturz</t>
        </is>
      </c>
      <c r="G5" s="4" t="inlineStr">
        <is>
          <t>Beauftragte Person, Wartungspersonal</t>
        </is>
      </c>
      <c r="H5" s="4" t="inlineStr">
        <is>
          <t>5.7 Führt der Zugang über eine Dachfläche, Dachkante, Empore oder eine andere Absturzkante? [Auslöser · Pflicht]
5.7a Absturzkante durch Geländer oder Umwehrung dauerhaft gesichert? [Kompensation · bedingt Pflicht]
5.7b Verkehrsweg an der Absturzkante festgelegt, gekennzeichnet und mit ausreichendem Sicherheitsabstand zur Absturzkante geführt (auf Dachflächen mindestens 2,00 m nach ASR A2.1)? [Kompensation · bedingt Pflicht]
5.8 Muss ein Treppenauge, eine Brüstung oder ein Fenster überstiegen werden? [Auslöser · Pflicht]</t>
        </is>
      </c>
      <c r="I5" s="4" t="inlineStr">
        <is>
          <t>ASR A2.1</t>
        </is>
      </c>
      <c r="J5" s="4" t="inlineStr"/>
      <c r="K5" s="4" t="n">
        <v>4</v>
      </c>
    </row>
    <row r="6">
      <c r="A6" s="2" t="inlineStr">
        <is>
          <t>MF-Z05</t>
        </is>
      </c>
      <c r="B6" s="2" t="inlineStr">
        <is>
          <t>Einschließen im Zugangsbereich / Triebwerksraum (keine Panikfunktion)</t>
        </is>
      </c>
      <c r="C6" s="2" t="inlineStr">
        <is>
          <t>Zugang und Verkehrswege</t>
        </is>
      </c>
      <c r="D6" s="2" t="inlineStr">
        <is>
          <t>Z – Zugang zum Triebwerks-/Steuerungsraum</t>
        </is>
      </c>
      <c r="E6" s="2" t="inlineStr">
        <is>
          <t>NONE</t>
        </is>
      </c>
      <c r="F6" s="2" t="inlineStr">
        <is>
          <t>Sonstige Gefährdung durch Einschließen von Personen</t>
        </is>
      </c>
      <c r="G6" s="2" t="inlineStr">
        <is>
          <t>Beauftragte Person, Wartungspersonal</t>
        </is>
      </c>
      <c r="H6" s="2" t="inlineStr">
        <is>
          <t>4.7 Eigener Triebwerks-/Maschinenraum vorhanden? [Filter]
5.9 Lässt sich der Zugangsbereich / Triebwerksraum jederzeit von innen verlassen? [Auslöser · Pflicht]</t>
        </is>
      </c>
      <c r="I6" s="2" t="inlineStr">
        <is>
          <t>DIN EN 81-20 5.2.3.3</t>
        </is>
      </c>
      <c r="J6" s="2" t="inlineStr"/>
      <c r="K6" s="2" t="n">
        <v>3</v>
      </c>
    </row>
    <row r="7">
      <c r="A7" s="4" t="inlineStr">
        <is>
          <t>MF-Z06</t>
        </is>
      </c>
      <c r="B7" s="4" t="inlineStr">
        <is>
          <t>Zugang über fremde Räume, erschwerter Material- und Werkzeugtransport</t>
        </is>
      </c>
      <c r="C7" s="4" t="inlineStr">
        <is>
          <t>Zugang und Verkehrswege</t>
        </is>
      </c>
      <c r="D7" s="4" t="inlineStr">
        <is>
          <t>Z – Zugang zum Triebwerks-/Steuerungsraum</t>
        </is>
      </c>
      <c r="E7" s="4" t="inlineStr">
        <is>
          <t>MAXIMUM</t>
        </is>
      </c>
      <c r="F7" s="4" t="inlineStr">
        <is>
          <t>Physische Belastung / ergonomische Gefährdung</t>
        </is>
      </c>
      <c r="G7" s="4" t="inlineStr">
        <is>
          <t>Beauftragte Person, Wartungspersonal</t>
        </is>
      </c>
      <c r="H7" s="4" t="inlineStr">
        <is>
          <t>5.10 Führt der Zugang durch fremde Räume? [Auslöser · Pflicht]
5.11 Erschwert die Art des Zugangs den Transport von Material und Werkzeug (z. B. nur über Leiter, Dachluke, enge Wendeltreppe)? [Auslöser · Pflicht]</t>
        </is>
      </c>
      <c r="I7" s="4" t="inlineStr">
        <is>
          <t>DIN EN 81-20 5.2.2.1</t>
        </is>
      </c>
      <c r="J7" s="4" t="inlineStr"/>
      <c r="K7" s="4" t="n">
        <v>4</v>
      </c>
    </row>
    <row r="8">
      <c r="A8" s="2" t="inlineStr">
        <is>
          <t>MF-Z07</t>
        </is>
      </c>
      <c r="B8" s="2" t="inlineStr">
        <is>
          <t>Fehlende oder unzureichende Zugangstür zum Triebwerks-/Maschinenraum bzw. nicht abschließbarer Steuerschrank</t>
        </is>
      </c>
      <c r="C8" s="2" t="inlineStr">
        <is>
          <t>Zugang und Verkehrswege</t>
        </is>
      </c>
      <c r="D8" s="2" t="inlineStr">
        <is>
          <t>Z – Zugang zum Triebwerks-/Steuerungsraum</t>
        </is>
      </c>
      <c r="E8" s="2" t="inlineStr">
        <is>
          <t>MAXIMUM</t>
        </is>
      </c>
      <c r="F8" s="2" t="inlineStr">
        <is>
          <t>Sonstige Gefährdung durch Einschließen von Personen</t>
        </is>
      </c>
      <c r="G8" s="2" t="inlineStr">
        <is>
          <t>Beauftragte Person, Wartungspersonal, Nutzer</t>
        </is>
      </c>
      <c r="H8" s="2" t="inlineStr">
        <is>
          <t>4.7 Eigener Triebwerks-/Maschinenraum vorhanden? [Modifier · Pflicht]
5.12 Zugangstür zum Triebwerks-/Maschinenraum vorhanden? [Auslöser · bedingt Pflicht]
5.14 Ohne Triebwerksraum: Steuerschrank (an der Haltestelle oder im Schacht) abschließbar, Zutritt nur für befugte Personen? [Auslöser · bedingt Pflicht]
5.12a Zugangstür abschließbar (Zutritt nur für befugte Personen)? [Auslöser · bedingt Pflicht]
5.12b Zugangstür unbeschädigt und leichtgängig? [Auslöser · bedingt Pflicht]
5.12c Durchgangsmaß der Zugangstür ausreichend (mind. 1,80 m hoch, 0,60 m breit)? [Auslöser · bedingt Pflicht]</t>
        </is>
      </c>
      <c r="I8" s="2" t="inlineStr">
        <is>
          <t>DIN EN 81-20 5.2.3.3; DIN EN 81-20 5.2.6</t>
        </is>
      </c>
      <c r="J8" s="2" t="inlineStr"/>
      <c r="K8" s="2" t="n">
        <v>6</v>
      </c>
    </row>
    <row r="9">
      <c r="A9" s="4" t="inlineStr">
        <is>
          <t>MF-Z08</t>
        </is>
      </c>
      <c r="B9" s="4" t="inlineStr">
        <is>
          <t>Fehlende oder versperrte Flucht- und Rettungswege im Bereich des Triebwerks-/Steuerungsraums</t>
        </is>
      </c>
      <c r="C9" s="4" t="inlineStr">
        <is>
          <t>Zugang und Verkehrswege</t>
        </is>
      </c>
      <c r="D9" s="4" t="inlineStr">
        <is>
          <t>Z – Zugang zum Triebwerks-/Steuerungsraum</t>
        </is>
      </c>
      <c r="E9" s="4" t="inlineStr">
        <is>
          <t>MAXIMUM</t>
        </is>
      </c>
      <c r="F9" s="4" t="inlineStr">
        <is>
          <t>Gefährdung durch fehlende oder versperrte Flucht- und Rettungswege</t>
        </is>
      </c>
      <c r="G9" s="4" t="inlineStr">
        <is>
          <t>Beauftragte Person, Wartungspersonal</t>
        </is>
      </c>
      <c r="H9" s="4" t="inlineStr">
        <is>
          <t>5.13 Flucht- und Rettungsweg vom Triebwerks-/Steuerungsraum frei und benutzbar? [Auslöser · Pflicht]
5.13a Flucht- und Rettungsweg gekennzeichnet und beleuchtet? [Auslöser · bedingt Pflicht]
5.13b Fluchtweg durch Lagerung eingeengt? [Auslöser · bedingt Pflicht]</t>
        </is>
      </c>
      <c r="I9" s="4" t="inlineStr">
        <is>
          <t>ASR A2.3; ArbStättV § 4</t>
        </is>
      </c>
      <c r="J9" s="4" t="inlineStr">
        <is>
          <t>K-Z02</t>
        </is>
      </c>
      <c r="K9" s="4" t="n">
        <v>4</v>
      </c>
    </row>
    <row r="10">
      <c r="A10" s="2" t="inlineStr">
        <is>
          <t>MF-Z09</t>
        </is>
      </c>
      <c r="B10" s="2" t="inlineStr">
        <is>
          <t>Zugang zur Anlage für die Personenbefreiung nicht jederzeit gewährleistet</t>
        </is>
      </c>
      <c r="C10" s="2" t="inlineStr">
        <is>
          <t>Notruf und Personenbefreiung</t>
        </is>
      </c>
      <c r="D10" s="2" t="inlineStr">
        <is>
          <t>Z – Zugang zum Triebwerks-/Steuerungsraum</t>
        </is>
      </c>
      <c r="E10" s="2" t="inlineStr">
        <is>
          <t>NONE</t>
        </is>
      </c>
      <c r="F10" s="2" t="inlineStr">
        <is>
          <t>Sonstige Gefährdung durch fehlende oder unzureichende Notfallorganisation</t>
        </is>
      </c>
      <c r="G10" s="2" t="inlineStr">
        <is>
          <t>Nutzer, Beauftragte Person</t>
        </is>
      </c>
      <c r="H10" s="2" t="inlineStr">
        <is>
          <t>3.4 Zugang zur Anlage für die Personenbefreiung jederzeit gewährleistet? [Auslöser · Pflicht]</t>
        </is>
      </c>
      <c r="I10" s="2" t="inlineStr">
        <is>
          <t>BetrSichV Anh. 1 Nr. 4.1; TRBS 3121 3.1.3; TRBS 3121 3.7.3</t>
        </is>
      </c>
      <c r="J10" s="2" t="inlineStr">
        <is>
          <t>K-Z01</t>
        </is>
      </c>
      <c r="K10" s="2" t="n">
        <v>4</v>
      </c>
    </row>
    <row r="11">
      <c r="A11" s="4" t="inlineStr">
        <is>
          <t>MF-M01</t>
        </is>
      </c>
      <c r="B11" s="4" t="inlineStr">
        <is>
          <t>Unzureichende Beleuchtung im Triebwerks-/Maschinenraum</t>
        </is>
      </c>
      <c r="C11" s="4" t="inlineStr">
        <is>
          <t>Beleuchtung</t>
        </is>
      </c>
      <c r="D11" s="4" t="inlineStr">
        <is>
          <t>M – Triebwerks-/Maschinenraum und Steuerung</t>
        </is>
      </c>
      <c r="E11" s="4" t="inlineStr">
        <is>
          <t>MAXIMUM</t>
        </is>
      </c>
      <c r="F11" s="4" t="inlineStr">
        <is>
          <t>Gefährdung durch Arbeitsumgebungsbedingungen (unzureichende Beleuchtung)</t>
        </is>
      </c>
      <c r="G11" s="4" t="inlineStr">
        <is>
          <t>Beauftragte Person, Wartungspersonal</t>
        </is>
      </c>
      <c r="H11" s="4" t="inlineStr">
        <is>
          <t>4.7 Eigener Triebwerks-/Maschinenraum vorhanden? [Filter]
5.20 Beleuchtung im Triebwerks-/Maschinenraum vorhanden? [Auslöser · Pflicht]
5.21 Beleuchtungsstärke an den Arbeitsflächen (Antrieb, Steuerschrank) mind. 200 Lux, Leuchten funktionsfähig? [Auslöser · bedingt Pflicht]
5.22 Leuchten an geeigneter Stelle (Arbeitsflächen nicht abgeschattet)? [Auslöser · bedingt Pflicht]
5.23 Leuchten im Kopfbereich mit Splitterschutz / bruchsicher? [Auslöser · bedingt Pflicht]</t>
        </is>
      </c>
      <c r="I11" s="4" t="inlineStr">
        <is>
          <t>DIN EN 81-20 5.2.1.4.2; ArbStättV Anh. 3.4; ASR A3.4</t>
        </is>
      </c>
      <c r="J11" s="4" t="inlineStr"/>
      <c r="K11" s="4" t="n">
        <v>5</v>
      </c>
    </row>
    <row r="12">
      <c r="A12" s="2" t="inlineStr">
        <is>
          <t>MF-M02</t>
        </is>
      </c>
      <c r="B12" s="2" t="inlineStr">
        <is>
          <t>Unzureichender Schutz gegen elektrischen Schlag (offene Schalttafel, offene Kontakte, fehlende Berührungssicherheit)</t>
        </is>
      </c>
      <c r="C12" s="2" t="inlineStr">
        <is>
          <t>Steuerung und Elektrik</t>
        </is>
      </c>
      <c r="D12" s="2" t="inlineStr">
        <is>
          <t>M – Triebwerks-/Maschinenraum und Steuerung</t>
        </is>
      </c>
      <c r="E12" s="2" t="inlineStr">
        <is>
          <t>MAXIMUM</t>
        </is>
      </c>
      <c r="F12" s="2" t="inlineStr">
        <is>
          <t>Elektrische Gefährdung durch Berühren spannungsführender Teile</t>
        </is>
      </c>
      <c r="G12" s="2" t="inlineStr">
        <is>
          <t>Beauftragte Person, Wartungspersonal</t>
        </is>
      </c>
      <c r="H12" s="2" t="inlineStr">
        <is>
          <t>5.30 Alle spannungsführenden Teile berührungssicher (Abdeckungen vorhanden, Schaltschrank geschlossen)? [Auslöser · Pflicht]
5.31 Offene Schalttafel ohne Schaltschrank vorhanden? [Auslöser · bedingt Pflicht]
5.32 Offene Kontakte oder Schalter an Maschine, Kopierwerk oder Begrenzer? [Auslöser · bedingt Pflicht]
5.33 Nicht berührungssichere Bauteile im Schaltschrank (bei geöffneter Tür erreichbar)? [Auslöser · bedingt Pflicht]
5.34 Warnkennzeichnung für offene elektrische Kontakte vorhanden? [Auslöser · bedingt Pflicht]
5.35 Nachweis der elektrischen Prüfung der AUFZUGSANLAGE nach DGUV Vorschrift 3 vorhanden (Steuerung, Antrieb, Leitungen der Anlage; Prüfplakette / Protokoll aktuell)? [Auslöser · Pflicht]</t>
        </is>
      </c>
      <c r="I12" s="2" t="inlineStr">
        <is>
          <t>DIN EN 81-20 5.10.1.2; DGUV Vorschrift 3; TRBS 3121 Anh. 1 Nr. 21 (Schutz gegen elektrischen Schlag und Kennzeichnung)</t>
        </is>
      </c>
      <c r="J12" s="2" t="inlineStr">
        <is>
          <t>K-M01, K-M08</t>
        </is>
      </c>
      <c r="K12" s="2" t="n">
        <v>7</v>
      </c>
    </row>
    <row r="13">
      <c r="A13" s="4" t="inlineStr">
        <is>
          <t>MF-M03</t>
        </is>
      </c>
      <c r="B13" s="4" t="inlineStr">
        <is>
          <t>Fehlender oder unzureichender Schutz an drehenden Teilen (Treibscheibe, Umlenkrollen, Begrenzer)</t>
        </is>
      </c>
      <c r="C13" s="4" t="inlineStr">
        <is>
          <t>Triebwerksraum – Ausstattung</t>
        </is>
      </c>
      <c r="D13" s="4" t="inlineStr">
        <is>
          <t>M – Triebwerks-/Maschinenraum und Steuerung</t>
        </is>
      </c>
      <c r="E13" s="4" t="inlineStr">
        <is>
          <t>MAXIMUM</t>
        </is>
      </c>
      <c r="F13" s="4" t="inlineStr">
        <is>
          <t>Mechanische Gefährdung durch rotierende Teile (Erfassen, Einziehen)</t>
        </is>
      </c>
      <c r="G13" s="4" t="inlineStr">
        <is>
          <t>Wartungspersonal</t>
        </is>
      </c>
      <c r="H13" s="4" t="inlineStr">
        <is>
          <t>3.1 Aufzugsart [Filter]
5.40 Einzugsschutz an Treibscheibe, Umlenkrollen und Kopierwerk vorhanden? [Auslöser · Pflicht]
5.41 Einzugsschutz am Geschwindigkeitsbegrenzer vorhanden? [Auslöser · Pflicht]
5.42 Abdeckung der Einzugstellen insgesamt [Auslöser · Pflicht]</t>
        </is>
      </c>
      <c r="I13" s="4" t="inlineStr">
        <is>
          <t>DIN EN 81-20 5.9.3.1</t>
        </is>
      </c>
      <c r="J13" s="4" t="inlineStr"/>
      <c r="K13" s="4" t="n">
        <v>5</v>
      </c>
    </row>
    <row r="14">
      <c r="A14" s="2" t="inlineStr">
        <is>
          <t>MF-M04</t>
        </is>
      </c>
      <c r="B14" s="2" t="inlineStr">
        <is>
          <t>Unzureichende Raumhöhe, Bewegungs- und Freiflächen im Triebwerksraum</t>
        </is>
      </c>
      <c r="C14" s="2" t="inlineStr">
        <is>
          <t>Triebwerksraum – Ausstattung</t>
        </is>
      </c>
      <c r="D14" s="2" t="inlineStr">
        <is>
          <t>M – Triebwerks-/Maschinenraum und Steuerung</t>
        </is>
      </c>
      <c r="E14" s="2" t="inlineStr">
        <is>
          <t>MAXIMUM</t>
        </is>
      </c>
      <c r="F14" s="2" t="inlineStr">
        <is>
          <t>Physische Belastung / ergonomische Gefährdung</t>
        </is>
      </c>
      <c r="G14" s="2" t="inlineStr">
        <is>
          <t>Beauftragte Person, Wartungspersonal</t>
        </is>
      </c>
      <c r="H14" s="2" t="inlineStr">
        <is>
          <t>4.7 Eigener Triebwerks-/Maschinenraum vorhanden? [Filter]
5.43 Lichte Höhe im Gehbereich mind. 1,80 m? [Auslöser · Pflicht]
5.44 Freifläche für Notbetrieb/Handrad mind. 0,50 m × 0,60 m vor dem Antrieb vorhanden? [Auslöser · Pflicht]
5.45 Bewegungsflächen durch Lagerung eingeengt? [Auslöser · Pflicht]</t>
        </is>
      </c>
      <c r="I14" s="2" t="inlineStr">
        <is>
          <t>DIN EN 81-20 5.2.6.3.2</t>
        </is>
      </c>
      <c r="J14" s="2" t="inlineStr"/>
      <c r="K14" s="2" t="n">
        <v>4</v>
      </c>
    </row>
    <row r="15">
      <c r="A15" s="4" t="inlineStr">
        <is>
          <t>MF-M05</t>
        </is>
      </c>
      <c r="B15" s="4" t="inlineStr">
        <is>
          <t>Unterschiedliche Ebenen, Podeste und Bodenöffnungen im Triebwerksraum ungesichert</t>
        </is>
      </c>
      <c r="C15" s="4" t="inlineStr">
        <is>
          <t>Triebwerksraum – Ausstattung</t>
        </is>
      </c>
      <c r="D15" s="4" t="inlineStr">
        <is>
          <t>M – Triebwerks-/Maschinenraum und Steuerung</t>
        </is>
      </c>
      <c r="E15" s="4" t="inlineStr">
        <is>
          <t>MAXIMUM</t>
        </is>
      </c>
      <c r="F15" s="4" t="inlineStr">
        <is>
          <t>Mechanische Gefährdung durch Absturz</t>
        </is>
      </c>
      <c r="G15" s="4" t="inlineStr">
        <is>
          <t>Beauftragte Person, Wartungspersonal</t>
        </is>
      </c>
      <c r="H15" s="4" t="inlineStr">
        <is>
          <t>4.7 Eigener Triebwerks-/Maschinenraum vorhanden? [Filter]
5.46 Niveauunterschiede über 0,50 m im Raum vorhanden? [Auslöser · Pflicht]
5.46a Niveauunterschied durch Treppe oder Leiter überwindbar? [Kompensation · bedingt Pflicht]
5.46b Podest mit Absturzhöhe über 1,00 m ohne Geländer? [Auslöser · bedingt Pflicht]
5.47 Ungesicherte Bodenöffnung oder Vertiefung im Raum? [Auslöser · Pflicht]</t>
        </is>
      </c>
      <c r="I15" s="4" t="inlineStr">
        <is>
          <t>DIN EN 81-20 5.2.6.3.2.4</t>
        </is>
      </c>
      <c r="J15" s="4" t="inlineStr"/>
      <c r="K15" s="4" t="n">
        <v>4</v>
      </c>
    </row>
    <row r="16">
      <c r="A16" s="2" t="inlineStr">
        <is>
          <t>MF-M06</t>
        </is>
      </c>
      <c r="B16" s="2" t="inlineStr">
        <is>
          <t>Rutschiger, verschmutzter oder ölverunreinigter Boden im Triebwerksraum</t>
        </is>
      </c>
      <c r="C16" s="2" t="inlineStr">
        <is>
          <t>Triebwerksraum – Ausstattung</t>
        </is>
      </c>
      <c r="D16" s="2" t="inlineStr">
        <is>
          <t>M – Triebwerks-/Maschinenraum und Steuerung</t>
        </is>
      </c>
      <c r="E16" s="2" t="inlineStr">
        <is>
          <t>MAXIMUM</t>
        </is>
      </c>
      <c r="F16" s="2" t="inlineStr">
        <is>
          <t>Mechanische Gefährdung durch Stolpern, Rutschen, Stürzen</t>
        </is>
      </c>
      <c r="G16" s="2" t="inlineStr">
        <is>
          <t>Beauftragte Person, Wartungspersonal</t>
        </is>
      </c>
      <c r="H16" s="2" t="inlineStr">
        <is>
          <t>4.7 Eigener Triebwerks-/Maschinenraum vorhanden? [Filter]
5.48 Boden rutschhemmend und sauber? [Auslöser · Pflicht]
5.49 Boden ölfest gestrichen und unbeschädigt? [Auslöser · Pflicht]
5.50 Ausgetretenes Öl / Hydrauliköl ohne Auffangmöglichkeit? [Auslöser · Pflicht]</t>
        </is>
      </c>
      <c r="I16" s="2" t="inlineStr">
        <is>
          <t>DIN EN 81-20 5.2.1.9</t>
        </is>
      </c>
      <c r="J16" s="2" t="inlineStr"/>
      <c r="K16" s="2" t="n">
        <v>4</v>
      </c>
    </row>
    <row r="17">
      <c r="A17" s="4" t="inlineStr">
        <is>
          <t>MF-M07</t>
        </is>
      </c>
      <c r="B17" s="4" t="inlineStr">
        <is>
          <t>Fehlender, nicht abschließbarer oder nicht gekennzeichneter Hauptschalter</t>
        </is>
      </c>
      <c r="C17" s="4" t="inlineStr">
        <is>
          <t>Steuerung und Elektrik</t>
        </is>
      </c>
      <c r="D17" s="4" t="inlineStr">
        <is>
          <t>M – Triebwerks-/Maschinenraum und Steuerung</t>
        </is>
      </c>
      <c r="E17" s="4" t="inlineStr">
        <is>
          <t>MAXIMUM</t>
        </is>
      </c>
      <c r="F17" s="4" t="inlineStr">
        <is>
          <t>Elektrische Gefährdung durch Berühren spannungsführender Teile</t>
        </is>
      </c>
      <c r="G17" s="4" t="inlineStr">
        <is>
          <t>Wartungspersonal</t>
        </is>
      </c>
      <c r="H17" s="4" t="inlineStr">
        <is>
          <t>5.51 Hauptschalter vorhanden und Wirkung nachvollziehbar? [Auslöser · Pflicht]
5.51a Hauptschalter abschließbar? [Auslöser · bedingt Pflicht]
5.51b Hauptschalter eindeutig gekennzeichnet? [Auslöser · bedingt Pflicht]</t>
        </is>
      </c>
      <c r="I17" s="4" t="inlineStr">
        <is>
          <t>DIN EN 81-20 5.10.5.1; DGUV Vorschrift 3; TRBS 3121 Anh. 1 Nr. 21 (Schutz gegen elektrischen Schlag und Kennzeichnung)</t>
        </is>
      </c>
      <c r="J17" s="4" t="inlineStr">
        <is>
          <t>K-M02, K-M08</t>
        </is>
      </c>
      <c r="K17" s="4" t="n">
        <v>4</v>
      </c>
    </row>
    <row r="18">
      <c r="A18" s="2" t="inlineStr">
        <is>
          <t>MF-M08</t>
        </is>
      </c>
      <c r="B18" s="2" t="inlineStr">
        <is>
          <t>Unzureichende elektromechanische Bremse (Einkreisbremse, keine Überwachung)</t>
        </is>
      </c>
      <c r="C18" s="2" t="inlineStr">
        <is>
          <t>Antrieb, Bremse und Hydraulik</t>
        </is>
      </c>
      <c r="D18" s="2" t="inlineStr">
        <is>
          <t>M – Triebwerks-/Maschinenraum und Steuerung</t>
        </is>
      </c>
      <c r="E18" s="2" t="inlineStr">
        <is>
          <t>MAXIMUM</t>
        </is>
      </c>
      <c r="F18" s="2" t="inlineStr">
        <is>
          <t>Mechanische Gefährdung durch Überlastung und unkontrollierte Bewegung</t>
        </is>
      </c>
      <c r="G18" s="2" t="inlineStr">
        <is>
          <t>Nutzer, Wartungspersonal</t>
        </is>
      </c>
      <c r="H18" s="2" t="inlineStr">
        <is>
          <t>3.1 Aufzugsart [Filter]
6.2 Zweikreisbremse (redundante Betriebsbremse) vorhanden? [Auslöser · Pflicht]
6.2a Bremse elektrisch überwacht (Bremskontrollschalter)? [Auslöser · bedingt Pflicht]
8.27 Türüberbrückung (SR-Modul) für Nachregulieren / Voraböffnen mit offener Tür vorhanden? [Modifier · bedingt Pflicht]</t>
        </is>
      </c>
      <c r="I18" s="2" t="inlineStr">
        <is>
          <t>DIN EN 81-20 5.9.2.2.2; TRBS 3121 Anh. 1 Nr. 16 (UCM und Aufwärts-Übergeschwindigkeit bei Seilaufzügen)</t>
        </is>
      </c>
      <c r="J18" s="2" t="inlineStr">
        <is>
          <t>K-M09</t>
        </is>
      </c>
      <c r="K18" s="2" t="n">
        <v>3</v>
      </c>
    </row>
    <row r="19">
      <c r="A19" s="4" t="inlineStr">
        <is>
          <t>MF-M09</t>
        </is>
      </c>
      <c r="B19" s="4" t="inlineStr">
        <is>
          <t>Fehlender Schutz des Antriebsmotors gegen Überhitzen</t>
        </is>
      </c>
      <c r="C19" s="4" t="inlineStr">
        <is>
          <t>Antrieb, Bremse und Hydraulik</t>
        </is>
      </c>
      <c r="D19" s="4" t="inlineStr">
        <is>
          <t>M – Triebwerks-/Maschinenraum und Steuerung</t>
        </is>
      </c>
      <c r="E19" s="4" t="inlineStr">
        <is>
          <t>NONE</t>
        </is>
      </c>
      <c r="F19" s="4" t="inlineStr">
        <is>
          <t>Brand- und Explosionsgefährdung</t>
        </is>
      </c>
      <c r="G19" s="4" t="inlineStr">
        <is>
          <t>Nutzer, Wartungspersonal</t>
        </is>
      </c>
      <c r="H19" s="4" t="inlineStr">
        <is>
          <t>6.3 Schutz gegen Überhitzen des Antriebsmotors vorhanden? [Auslöser · Pflicht]</t>
        </is>
      </c>
      <c r="I19" s="4" t="inlineStr">
        <is>
          <t>DIN EN 81-20 5.10.4.3</t>
        </is>
      </c>
      <c r="J19" s="4" t="inlineStr">
        <is>
          <t>K-M03</t>
        </is>
      </c>
      <c r="K19" s="4" t="n">
        <v>2</v>
      </c>
    </row>
    <row r="20">
      <c r="A20" s="2" t="inlineStr">
        <is>
          <t>MF-M10</t>
        </is>
      </c>
      <c r="B20" s="2" t="inlineStr">
        <is>
          <t>Fehlende unabhängige Fahrschütze / Abschaltwege</t>
        </is>
      </c>
      <c r="C20" s="2" t="inlineStr">
        <is>
          <t>Steuerung und Elektrik</t>
        </is>
      </c>
      <c r="D20" s="2" t="inlineStr">
        <is>
          <t>M – Triebwerks-/Maschinenraum und Steuerung</t>
        </is>
      </c>
      <c r="E20" s="2" t="inlineStr">
        <is>
          <t>NONE</t>
        </is>
      </c>
      <c r="F20" s="2" t="inlineStr">
        <is>
          <t>Mechanische Gefährdung durch Überlastung und unkontrollierte Bewegung</t>
        </is>
      </c>
      <c r="G20" s="2" t="inlineStr">
        <is>
          <t>Nutzer</t>
        </is>
      </c>
      <c r="H20" s="2" t="inlineStr">
        <is>
          <t>3.1 Aufzugsart [Filter]
6.4 Zwei unabhängige Fahrschütze / Abschaltwege vorhanden? [Auslöser · Pflicht]
6.4a Bei nur einem Schütz: selbstüberwachende Steuerung mit Baumusterprüfung? [Kompensation · bedingt Pflicht]</t>
        </is>
      </c>
      <c r="I20" s="2" t="inlineStr">
        <is>
          <t>DIN EN 81-20 5.9.2.5; TRBS 3121 Anh. 1 Nr. 20 (Redundante Abschaltung des Antriebs)</t>
        </is>
      </c>
      <c r="J20" s="2" t="inlineStr">
        <is>
          <t>K-M04</t>
        </is>
      </c>
      <c r="K20" s="2" t="n">
        <v>3</v>
      </c>
    </row>
    <row r="21">
      <c r="A21" s="4" t="inlineStr">
        <is>
          <t>MF-M11</t>
        </is>
      </c>
      <c r="B21" s="4" t="inlineStr">
        <is>
          <t>Fehlende Laufzeitüberwachung des Antriebs</t>
        </is>
      </c>
      <c r="C21" s="4" t="inlineStr">
        <is>
          <t>Steuerung und Elektrik</t>
        </is>
      </c>
      <c r="D21" s="4" t="inlineStr">
        <is>
          <t>M – Triebwerks-/Maschinenraum und Steuerung</t>
        </is>
      </c>
      <c r="E21" s="4" t="inlineStr">
        <is>
          <t>NONE</t>
        </is>
      </c>
      <c r="F21" s="4" t="inlineStr">
        <is>
          <t>Brand- und Explosionsgefährdung</t>
        </is>
      </c>
      <c r="G21" s="4" t="inlineStr">
        <is>
          <t>Nutzer</t>
        </is>
      </c>
      <c r="H21" s="4" t="inlineStr">
        <is>
          <t>6.5 Motor-Laufzeitüberwachung vorhanden? [Auslöser · Pflicht]</t>
        </is>
      </c>
      <c r="I21" s="4" t="inlineStr">
        <is>
          <t>DIN EN 81-20 5.9.2.6.2</t>
        </is>
      </c>
      <c r="J21" s="4" t="inlineStr"/>
      <c r="K21" s="4" t="n">
        <v>2</v>
      </c>
    </row>
    <row r="22">
      <c r="A22" s="2" t="inlineStr">
        <is>
          <t>MF-M12</t>
        </is>
      </c>
      <c r="B22" s="2" t="inlineStr">
        <is>
          <t>Fehlender Schutz gegen Phasenumkehr / Phasenausfall</t>
        </is>
      </c>
      <c r="C22" s="2" t="inlineStr">
        <is>
          <t>Steuerung und Elektrik</t>
        </is>
      </c>
      <c r="D22" s="2" t="inlineStr">
        <is>
          <t>M – Triebwerks-/Maschinenraum und Steuerung</t>
        </is>
      </c>
      <c r="E22" s="2" t="inlineStr">
        <is>
          <t>NONE</t>
        </is>
      </c>
      <c r="F22" s="2" t="inlineStr">
        <is>
          <t>Mechanische Gefährdung durch Überlastung und unkontrollierte Bewegung</t>
        </is>
      </c>
      <c r="G22" s="2" t="inlineStr">
        <is>
          <t>Nutzer</t>
        </is>
      </c>
      <c r="H22" s="2" t="inlineStr">
        <is>
          <t>6.1 Antriebssystem / Regelung [Filter]
6.6 Schutz gegen Phasenumkehr / Phasenausfall vorhanden? [Auslöser · Pflicht]</t>
        </is>
      </c>
      <c r="I22" s="2" t="inlineStr">
        <is>
          <t>DIN EN 81-20 5.10.7</t>
        </is>
      </c>
      <c r="J22" s="2" t="inlineStr">
        <is>
          <t>K-M05</t>
        </is>
      </c>
      <c r="K22" s="2" t="n">
        <v>2</v>
      </c>
    </row>
    <row r="23">
      <c r="A23" s="4" t="inlineStr">
        <is>
          <t>MF-M13</t>
        </is>
      </c>
      <c r="B23" s="4" t="inlineStr">
        <is>
          <t>Unzureichende Hydraulikeinrichtungen (Absperrventil, Rohrbruchsicherung, Absinken)</t>
        </is>
      </c>
      <c r="C23" s="4" t="inlineStr">
        <is>
          <t>Antrieb, Bremse und Hydraulik</t>
        </is>
      </c>
      <c r="D23" s="4" t="inlineStr">
        <is>
          <t>M – Triebwerks-/Maschinenraum und Steuerung</t>
        </is>
      </c>
      <c r="E23" s="4" t="inlineStr">
        <is>
          <t>MAXIMUM</t>
        </is>
      </c>
      <c r="F23" s="4" t="inlineStr">
        <is>
          <t>Mechanische Gefährdung durch Überlastung und unkontrollierte Bewegung</t>
        </is>
      </c>
      <c r="G23" s="4" t="inlineStr">
        <is>
          <t>Nutzer, Wartungspersonal</t>
        </is>
      </c>
      <c r="H23" s="4" t="inlineStr">
        <is>
          <t>3.1 Aufzugsart [Filter]
6.10 Absperrventil am Hydraulikaggregat vorhanden? [Auslöser · Pflicht]
6.10a Absperrventil gut zugänglich (ohne Hilfsmittel, ohne Umbauten erreichbar und bedienbar)? [Auslöser · bedingt Pflicht]
6.10b Absperrventil dauerhaft gekennzeichnet (Funktion, Wirkrichtung)? [Auslöser · bedingt Pflicht]
6.11 Rohrbruchsicherungsventil (Leitungsbruchventil) vorhanden? [Auslöser · Pflicht]
6.11a Zulässige Absturzsicherung statt Leitungsbruchventil [Kompensation · bedingt Pflicht]
6.12 Einrichtung gegen Absinken (Kolbenabsinkverhinderung / Nachholsteuerung) vorhanden? [Auslöser · Pflicht]
6.13 Sinkt der Fahrkorb im Stillstand merklich ab? [Auslöser · Pflicht]</t>
        </is>
      </c>
      <c r="I23" s="4" t="inlineStr">
        <is>
          <t>DIN EN 81-20 5.6.1.3; DIN EN 81-20 5.6.7; TRBS 3121 Anh. 1 Nr. 17 (Absturz-, Übergeschwindigkeits- und Absinkschutz Hydraulik)</t>
        </is>
      </c>
      <c r="J23" s="4" t="inlineStr"/>
      <c r="K23" s="4" t="n">
        <v>9</v>
      </c>
    </row>
    <row r="24">
      <c r="A24" s="2" t="inlineStr">
        <is>
          <t>MF-M14</t>
        </is>
      </c>
      <c r="B24" s="2" t="inlineStr">
        <is>
          <t>Fehlende oder unzureichende Hebezeuge / Anschlagpunkte im Triebwerksraum</t>
        </is>
      </c>
      <c r="C24" s="2" t="inlineStr">
        <is>
          <t>Triebwerksraum – Ausstattung</t>
        </is>
      </c>
      <c r="D24" s="2" t="inlineStr">
        <is>
          <t>M – Triebwerks-/Maschinenraum und Steuerung</t>
        </is>
      </c>
      <c r="E24" s="2" t="inlineStr">
        <is>
          <t>MAXIMUM</t>
        </is>
      </c>
      <c r="F24" s="2" t="inlineStr">
        <is>
          <t>Mechanische Gefährdung durch herabfallende oder kippende Lasten</t>
        </is>
      </c>
      <c r="G24" s="2" t="inlineStr">
        <is>
          <t>Wartungspersonal</t>
        </is>
      </c>
      <c r="H24" s="2" t="inlineStr">
        <is>
          <t>4.7 Eigener Triebwerks-/Maschinenraum vorhanden? [Filter]
5.52 Anschlagpunkte / Hebezeuge zum Anheben schwerer Teile vorhanden? [Auslöser · Pflicht]
5.52a Tragfähigkeit der Anschlagpunkte angegeben? [Auslöser · bedingt Pflicht]
5.52b Prüfung der Anschlagpunkte dokumentiert? [Auslöser · bedingt Pflicht]</t>
        </is>
      </c>
      <c r="I24" s="2" t="inlineStr">
        <is>
          <t>DIN EN 81-20 5.2.1.7</t>
        </is>
      </c>
      <c r="J24" s="2" t="inlineStr"/>
      <c r="K24" s="2" t="n">
        <v>4</v>
      </c>
    </row>
    <row r="25">
      <c r="A25" s="4" t="inlineStr">
        <is>
          <t>MF-M15</t>
        </is>
      </c>
      <c r="B25" s="4" t="inlineStr">
        <is>
          <t>Fehlende oder unzureichende Einrichtung für Notbetrieb und Personenbefreiung</t>
        </is>
      </c>
      <c r="C25" s="4" t="inlineStr">
        <is>
          <t>Notruf und Personenbefreiung</t>
        </is>
      </c>
      <c r="D25" s="4" t="inlineStr">
        <is>
          <t>M – Triebwerks-/Maschinenraum und Steuerung</t>
        </is>
      </c>
      <c r="E25" s="4" t="inlineStr">
        <is>
          <t>MAXIMUM</t>
        </is>
      </c>
      <c r="F25" s="4" t="inlineStr">
        <is>
          <t>Sonstige Gefährdung durch fehlende oder unzureichende Notfallorganisation</t>
        </is>
      </c>
      <c r="G25" s="4" t="inlineStr">
        <is>
          <t>Nutzer, Beauftragte Person</t>
        </is>
      </c>
      <c r="H25" s="4" t="inlineStr">
        <is>
          <t>5.53 Einrichtung für Notbetrieb / Personenbefreiung vorhanden (Handrad, Bremslüfthebel, Evakuierungseinheit, Notablass)? [Auslöser · Pflicht]
5.53a Notbetriebseinrichtung gekennzeichnet (Fahrtrichtung, Bündigmarken)? [Auslöser · bedingt Pflicht]
5.53b Beauftragte Personen in die Personenbefreiung eingewiesen? [Auslöser · bedingt Pflicht]
E1 Beauftragte Person für die Aufzugsanlage (Aufzugswärter) schriftlich benannt? [Modifier]</t>
        </is>
      </c>
      <c r="I25" s="4" t="inlineStr">
        <is>
          <t>DIN EN 81-20 5.9.2.3; BetrSichV Anh. 1 Nr. 4.1; TRBS 3121 3.7.3</t>
        </is>
      </c>
      <c r="J25" s="4" t="inlineStr"/>
      <c r="K25" s="4" t="n">
        <v>4</v>
      </c>
    </row>
    <row r="26">
      <c r="A26" s="2" t="inlineStr">
        <is>
          <t>MF-M16</t>
        </is>
      </c>
      <c r="B26" s="2" t="inlineStr">
        <is>
          <t>Fehlender Potenzialausgleich / mangelhafte bauseitige Elektroinstallation</t>
        </is>
      </c>
      <c r="C26" s="2" t="inlineStr">
        <is>
          <t>Steuerung und Elektrik</t>
        </is>
      </c>
      <c r="D26" s="2" t="inlineStr">
        <is>
          <t>M – Triebwerks-/Maschinenraum und Steuerung</t>
        </is>
      </c>
      <c r="E26" s="2" t="inlineStr">
        <is>
          <t>MAXIMUM</t>
        </is>
      </c>
      <c r="F26" s="2" t="inlineStr">
        <is>
          <t>Elektrische Gefährdung durch Berühren spannungsführender Teile</t>
        </is>
      </c>
      <c r="G26" s="2" t="inlineStr">
        <is>
          <t>Beauftragte Person, Wartungspersonal</t>
        </is>
      </c>
      <c r="H26" s="2" t="inlineStr">
        <is>
          <t>5.38 Hauptpotenzialausgleich an der Aufzugskonstruktion vorhanden? [Auslöser · Pflicht]
5.36 Bauseitige Elektroinstallation im Raum (Steckdosen, Schalter, Leitungen) unbeschädigt? [Auslöser · Pflicht]
5.37 Prüfung der BAUSEITIGEN ortsfesten elektrischen Anlage des Raumes nachgewiesen (Zuleitung, Steckdosen, Raumbeleuchtung)? [Auslöser · Pflicht]</t>
        </is>
      </c>
      <c r="I26" s="2" t="inlineStr">
        <is>
          <t>DIN EN 81-20 5.10.1.1; DIN VDE 0100-410; DGUV Vorschrift 3</t>
        </is>
      </c>
      <c r="J26" s="2" t="inlineStr">
        <is>
          <t>K-M06</t>
        </is>
      </c>
      <c r="K26" s="2" t="n">
        <v>4</v>
      </c>
    </row>
    <row r="27">
      <c r="A27" s="4" t="inlineStr">
        <is>
          <t>MF-M17</t>
        </is>
      </c>
      <c r="B27" s="4" t="inlineStr">
        <is>
          <t>Fehlende Kennzeichnung elektrischer Einrichtungen, Stromlaufplan, Beschilderung und Betriebsanleitung</t>
        </is>
      </c>
      <c r="C27" s="4" t="inlineStr">
        <is>
          <t>Beschilderung und Unterlagen</t>
        </is>
      </c>
      <c r="D27" s="4" t="inlineStr">
        <is>
          <t>M – Triebwerks-/Maschinenraum und Steuerung</t>
        </is>
      </c>
      <c r="E27" s="4" t="inlineStr">
        <is>
          <t>MAXIMUM</t>
        </is>
      </c>
      <c r="F27" s="4" t="inlineStr">
        <is>
          <t>Gefährdung durch organisatorische Mängel (Unterlagen, Unterweisung, Zuständigkeit)</t>
        </is>
      </c>
      <c r="G27" s="4" t="inlineStr">
        <is>
          <t>Beauftragte Person, Wartungspersonal</t>
        </is>
      </c>
      <c r="H27" s="4" t="inlineStr">
        <is>
          <t>5.54 Elektrische Einrichtungen gekennzeichnet (Zuordnung im Notfall möglich)? [Auslöser · Pflicht]
5.55 Stromlaufplan / Schaltunterlagen [Auslöser · Pflicht]
5.56 Beschilderung vollständig (Schutzraum, Notablass, Entriegelungsschlüssel, Verhalten bei Personenbefreiung)? [Auslöser · Pflicht]
5.57 Betriebs-/Bedienungsanleitung der Anlage [Auslöser · Pflicht]</t>
        </is>
      </c>
      <c r="I27" s="4" t="inlineStr">
        <is>
          <t>DIN EN 81-20 7; DIN EN 81-20 5.10.1.3; BetrSichV § 12; TRBS 3121 Anh. 1 Nr. 21 (Schutz gegen elektrischen Schlag und Kennzeichnung)</t>
        </is>
      </c>
      <c r="J27" s="4" t="inlineStr">
        <is>
          <t>K-M08</t>
        </is>
      </c>
      <c r="K27" s="4" t="n">
        <v>5</v>
      </c>
    </row>
    <row r="28">
      <c r="A28" s="2" t="inlineStr">
        <is>
          <t>MF-M18</t>
        </is>
      </c>
      <c r="B28" s="2" t="inlineStr">
        <is>
          <t>Fehlende oder unzulängliche Sprechverbindung zwischen Fahrkorb und Triebwerksraum</t>
        </is>
      </c>
      <c r="C28" s="2" t="inlineStr">
        <is>
          <t>Notruf und Personenbefreiung</t>
        </is>
      </c>
      <c r="D28" s="2" t="inlineStr">
        <is>
          <t>M – Triebwerks-/Maschinenraum und Steuerung</t>
        </is>
      </c>
      <c r="E28" s="2" t="inlineStr">
        <is>
          <t>NONE</t>
        </is>
      </c>
      <c r="F28" s="2" t="inlineStr">
        <is>
          <t>Sonstige Gefährdung durch fehlende oder unzureichende Notfallorganisation</t>
        </is>
      </c>
      <c r="G28" s="2" t="inlineStr">
        <is>
          <t>Wartungspersonal, Beauftragte Person</t>
        </is>
      </c>
      <c r="H28" s="2" t="inlineStr">
        <is>
          <t>4.7 Eigener Triebwerks-/Maschinenraum vorhanden? [Filter]
5.58 Sprechverbindung zwischen Fahrkorb und Triebwerksraum/Steuerung [Filter]
5.58 Sprechverbindung zwischen Fahrkorb und Triebwerksraum/Steuerung [Auslöser · Pflicht]</t>
        </is>
      </c>
      <c r="I28" s="2" t="inlineStr">
        <is>
          <t>DIN EN 81-20 5.12.3</t>
        </is>
      </c>
      <c r="J28" s="2" t="inlineStr"/>
      <c r="K28" s="2" t="n">
        <v>3</v>
      </c>
    </row>
    <row r="29">
      <c r="A29" s="4" t="inlineStr">
        <is>
          <t>MF-M19</t>
        </is>
      </c>
      <c r="B29" s="4" t="inlineStr">
        <is>
          <t>Aufzugsfremde Einrichtungen im Triebwerksraum</t>
        </is>
      </c>
      <c r="C29" s="4" t="inlineStr">
        <is>
          <t>Triebwerksraum – Ausstattung</t>
        </is>
      </c>
      <c r="D29" s="4" t="inlineStr">
        <is>
          <t>M – Triebwerks-/Maschinenraum und Steuerung</t>
        </is>
      </c>
      <c r="E29" s="4" t="inlineStr">
        <is>
          <t>NONE</t>
        </is>
      </c>
      <c r="F29" s="4" t="inlineStr">
        <is>
          <t>Mechanische Gefährdung durch Stolpern, Rutschen, Stürzen</t>
        </is>
      </c>
      <c r="G29" s="4" t="inlineStr">
        <is>
          <t>Wartungspersonal</t>
        </is>
      </c>
      <c r="H29" s="4" t="inlineStr">
        <is>
          <t>4.7 Eigener Triebwerks-/Maschinenraum vorhanden? [Filter]
5.59 Triebwerksraum frei von aufzugsfremden Einrichtungen (Lager, Leitungen, Geräte Dritter)? [Auslöser · Pflicht]</t>
        </is>
      </c>
      <c r="I29" s="4" t="inlineStr">
        <is>
          <t>DIN EN 81-20 5.2.1.2; DIN EN 81-20 5.2.6.1</t>
        </is>
      </c>
      <c r="J29" s="4" t="inlineStr"/>
      <c r="K29" s="4" t="n">
        <v>2</v>
      </c>
    </row>
    <row r="30">
      <c r="A30" s="2" t="inlineStr">
        <is>
          <t>MF-M20</t>
        </is>
      </c>
      <c r="B30" s="2" t="inlineStr">
        <is>
          <t>Fehlender Not-Halt im zusätzlichen Rollenraum</t>
        </is>
      </c>
      <c r="C30" s="2" t="inlineStr">
        <is>
          <t>Steuerung und Elektrik</t>
        </is>
      </c>
      <c r="D30" s="2" t="inlineStr">
        <is>
          <t>M – Triebwerks-/Maschinenraum und Steuerung</t>
        </is>
      </c>
      <c r="E30" s="2" t="inlineStr">
        <is>
          <t>NONE</t>
        </is>
      </c>
      <c r="F30" s="2" t="inlineStr">
        <is>
          <t>Gefährdung durch unbeabsichtigtes Betätigen von Befehlsgebern</t>
        </is>
      </c>
      <c r="G30" s="2" t="inlineStr">
        <is>
          <t>Wartungspersonal</t>
        </is>
      </c>
      <c r="H30" s="2" t="inlineStr">
        <is>
          <t>4.7a Zusätzlicher Rollenraum vorhanden? [Filter]
5.24 Notbremsschalter im zusätzlichen Rollenraum vorhanden? [Auslöser · Pflicht]</t>
        </is>
      </c>
      <c r="I30" s="2" t="inlineStr">
        <is>
          <t>DIN EN 81-20 5.2.6.4.5; DIN EN 81-20 5.12.1.11; TRBS 3121 Anh. 1 Nr. 7 (Stoppeinrichtungen in Grube und Rollenraum)</t>
        </is>
      </c>
      <c r="J30" s="2" t="inlineStr"/>
      <c r="K30" s="2" t="n">
        <v>2</v>
      </c>
    </row>
    <row r="31">
      <c r="A31" s="4" t="inlineStr">
        <is>
          <t>MF-M21</t>
        </is>
      </c>
      <c r="B31" s="4" t="inlineStr">
        <is>
          <t>Fehlende oder unwirksame Notendschalter</t>
        </is>
      </c>
      <c r="C31" s="4" t="inlineStr">
        <is>
          <t>Sicherheitskomponenten</t>
        </is>
      </c>
      <c r="D31" s="4" t="inlineStr">
        <is>
          <t>M – Triebwerks-/Maschinenraum und Steuerung</t>
        </is>
      </c>
      <c r="E31" s="4" t="inlineStr">
        <is>
          <t>MAXIMUM</t>
        </is>
      </c>
      <c r="F31" s="4" t="inlineStr">
        <is>
          <t>Mechanische Gefährdung durch Stoß (fehlende Endbegrenzung, Aufprall)</t>
        </is>
      </c>
      <c r="G31" s="4" t="inlineStr">
        <is>
          <t>Nutzer, Wartungspersonal</t>
        </is>
      </c>
      <c r="H31" s="4" t="inlineStr">
        <is>
          <t>6.14 Notendschalter (Endbegrenzung hinter den Endhaltestellen) [Auslöser · Pflicht]
6.14a Getrennte Betätigungseinrichtungen für das betriebsmäßige Anhalten und für die Notendschalter? [Modifier · bedingt Pflicht]
6.14b Bei mittelbarer Betätigung (Seil, Riemen, Kette): Bruch oder Schlaffwerden hält das Triebwerk über eine elektrische Sicherheitseinrichtung an? [Modifier · bedingt Pflicht]</t>
        </is>
      </c>
      <c r="I31" s="4" t="inlineStr">
        <is>
          <t>DIN EN 81-20 5.12.2.1; DIN EN 81-20 5.12.2.2.1; DIN EN 81-20 5.12.2.2.3; DIN EN 81-20 5.12.2.2.4</t>
        </is>
      </c>
      <c r="J31" s="4" t="inlineStr"/>
      <c r="K31" s="4" t="n">
        <v>5</v>
      </c>
    </row>
    <row r="32">
      <c r="A32" s="2" t="inlineStr">
        <is>
          <t>MF-T01</t>
        </is>
      </c>
      <c r="B32" s="2" t="inlineStr">
        <is>
          <t>Unsichere Verriegelung der Schachttüren</t>
        </is>
      </c>
      <c r="C32" s="2" t="inlineStr">
        <is>
          <t>Türen und Verriegelung</t>
        </is>
      </c>
      <c r="D32" s="2" t="inlineStr">
        <is>
          <t>T – Schachttüren und Fahrkorbtür</t>
        </is>
      </c>
      <c r="E32" s="2" t="inlineStr">
        <is>
          <t>MAXIMUM</t>
        </is>
      </c>
      <c r="F32" s="2" t="inlineStr">
        <is>
          <t>Mechanische Gefährdung durch Absturz in den Schacht</t>
        </is>
      </c>
      <c r="G32" s="2" t="inlineStr">
        <is>
          <t>Nutzer</t>
        </is>
      </c>
      <c r="H32" s="2" t="inlineStr">
        <is>
          <t>7.1 Schachttürverriegelung vom Sicherheitskreis elektrisch überwacht? [Auslöser · Pflicht]
7.2 Fehlschließsicherung / Nachschließeinrichtung an den Schachttüren vorhanden? [Auslöser · Pflicht]</t>
        </is>
      </c>
      <c r="I32" s="2" t="inlineStr">
        <is>
          <t>DIN EN 81-20 5.3.9.1; TRBS 3121 Anh. 1 Nr. 11 (Schachttürverriegelung)</t>
        </is>
      </c>
      <c r="J32" s="2" t="inlineStr"/>
      <c r="K32" s="2" t="n">
        <v>3</v>
      </c>
    </row>
    <row r="33">
      <c r="A33" s="4" t="inlineStr">
        <is>
          <t>MF-T02</t>
        </is>
      </c>
      <c r="B33" s="4" t="inlineStr">
        <is>
          <t>Fehlende oder schlecht erreichbare Notentriegelung der Schachttüren</t>
        </is>
      </c>
      <c r="C33" s="4" t="inlineStr">
        <is>
          <t>Türen und Verriegelung</t>
        </is>
      </c>
      <c r="D33" s="4" t="inlineStr">
        <is>
          <t>T – Schachttüren und Fahrkorbtür</t>
        </is>
      </c>
      <c r="E33" s="4" t="inlineStr">
        <is>
          <t>MAXIMUM</t>
        </is>
      </c>
      <c r="F33" s="4" t="inlineStr">
        <is>
          <t>Sonstige Gefährdung durch fehlende oder unzureichende Notfallorganisation</t>
        </is>
      </c>
      <c r="G33" s="4" t="inlineStr">
        <is>
          <t>Nutzer, Beauftragte Person</t>
        </is>
      </c>
      <c r="H33" s="4" t="inlineStr">
        <is>
          <t>7.5 Notentriegelung an allen Schachttüren vorhanden? [Auslöser · Pflicht]
7.6 Passender Entriegelungsschlüssel (Dreikant) für die Personenbefreiung vor Ort hinterlegt? [Auslöser · Pflicht]
7.7 Notentriegelung erreichbar (max. 2,00 m über Boden im Türblatt bzw. 2,70 m im Rahmen mit langem Schlüssel)? [Auslöser · bedingt Pflicht]</t>
        </is>
      </c>
      <c r="I33" s="4" t="inlineStr">
        <is>
          <t>DIN EN 81-20 5.3.9.3; TRBS 3121 Anh. 1 Nr. 11 (Schachttürverriegelung)</t>
        </is>
      </c>
      <c r="J33" s="4" t="inlineStr">
        <is>
          <t>K-K06</t>
        </is>
      </c>
      <c r="K33" s="4" t="n">
        <v>4</v>
      </c>
    </row>
    <row r="34">
      <c r="A34" s="2" t="inlineStr">
        <is>
          <t>MF-T03</t>
        </is>
      </c>
      <c r="B34" s="2" t="inlineStr">
        <is>
          <t>Schachttüren nicht selbstschließend</t>
        </is>
      </c>
      <c r="C34" s="2" t="inlineStr">
        <is>
          <t>Türen und Verriegelung</t>
        </is>
      </c>
      <c r="D34" s="2" t="inlineStr">
        <is>
          <t>T – Schachttüren und Fahrkorbtür</t>
        </is>
      </c>
      <c r="E34" s="2" t="inlineStr">
        <is>
          <t>MAXIMUM</t>
        </is>
      </c>
      <c r="F34" s="2" t="inlineStr">
        <is>
          <t>Mechanische Gefährdung durch Absturz in den Schacht</t>
        </is>
      </c>
      <c r="G34" s="2" t="inlineStr">
        <is>
          <t>Nutzer</t>
        </is>
      </c>
      <c r="H34" s="2" t="inlineStr">
        <is>
          <t>7.3 Schachttüren selbstschließend (Feder oder Gewicht)? [Auslöser · Pflicht]
7.4 Schließt die Schachttür nach einer Notentriegelung selbsttätig? [Auslöser · Pflicht]</t>
        </is>
      </c>
      <c r="I34" s="2" t="inlineStr">
        <is>
          <t>DIN EN 81-20 5.3.9.3.4; TRBS 3121 Anh. 1 Nr. 12 (Selbstschließung von Schiebetüren)</t>
        </is>
      </c>
      <c r="J34" s="2" t="inlineStr"/>
      <c r="K34" s="2" t="n">
        <v>3</v>
      </c>
    </row>
    <row r="35">
      <c r="A35" s="4" t="inlineStr">
        <is>
          <t>MF-T04</t>
        </is>
      </c>
      <c r="B35" s="4" t="inlineStr">
        <is>
          <t>Ungeeignetes Glas oder fehlender Einzugsschutz an Türen mit Glas</t>
        </is>
      </c>
      <c r="C35" s="4" t="inlineStr">
        <is>
          <t>Türen und Verriegelung</t>
        </is>
      </c>
      <c r="D35" s="4" t="inlineStr">
        <is>
          <t>T – Schachttüren und Fahrkorbtür</t>
        </is>
      </c>
      <c r="E35" s="4" t="inlineStr">
        <is>
          <t>MAXIMUM</t>
        </is>
      </c>
      <c r="F35" s="4" t="inlineStr">
        <is>
          <t>Mechanische Gefährdung durch Bruch von Bauteilen und Einziehen an Glastüren</t>
        </is>
      </c>
      <c r="G35" s="4" t="inlineStr">
        <is>
          <t>Nutzer</t>
        </is>
      </c>
      <c r="H35" s="4" t="inlineStr">
        <is>
          <t>4.1 Schachttüren mit Glas? [Filter]
4.3 Fahrkorbtüren mit Glas? [optional]
7.8 Glaseinsätze in Schacht-/Fahrkorbtüren aus normgerechtem Glas (Verbundsicherheitsglas nach EN 81-20 5.3.5.3)? [Auslöser · Pflicht]
7.9 Ist das nicht normgerechte Glas ausschließlich Drahtglas (Gitterglas)? [Auslöser · Pflicht]
7.8a Glaseinsatz beschädigt, lose oder nicht sicher befestigt? [Auslöser · Pflicht]
7.9a Verglaste Türen als kraftbetätigte Schiebetüren ausgeführt? [Auslöser · Pflicht]
7.9b Glasflächen in den kraftbetätigten Schiebetüren größer als ein Sichtfenster nach DIN EN 81-20 5.3.7.2.1 a) (Breite über 150 mm)? [Auslöser · bedingt Pflicht]
7.10 Schutz gegen Einziehen von Kinderhänden an Glas-Schiebetüren vorhanden (Sensorleiste, Abstand, Beschichtung)? [Auslöser · bedingt Pflicht]</t>
        </is>
      </c>
      <c r="I35" s="4" t="inlineStr">
        <is>
          <t>DIN EN 81-20 5.3.5.3.5; DIN EN 81-20 5.3.5.3.6; DIN EN 81-20 5.3.5.3.7; TRBS 3121 Anh. 1 Nr. 9 (Glas und Sichtfenster in Schachttüren); TRBS 3121 Anh. 1 Nr. 10 (Schutz an kraftbetätigten Türen)</t>
        </is>
      </c>
      <c r="J35" s="4" t="inlineStr">
        <is>
          <t>K-T01</t>
        </is>
      </c>
      <c r="K35" s="4" t="n">
        <v>5</v>
      </c>
    </row>
    <row r="36">
      <c r="A36" s="2" t="inlineStr">
        <is>
          <t>MF-T05</t>
        </is>
      </c>
      <c r="B36" s="2" t="inlineStr">
        <is>
          <t>Unzureichende Feuerwiderstandsfähigkeit der Schachttüren</t>
        </is>
      </c>
      <c r="C36" s="2" t="inlineStr">
        <is>
          <t>Brandschutz und Gebäudeschnittstelle</t>
        </is>
      </c>
      <c r="D36" s="2" t="inlineStr">
        <is>
          <t>T – Schachttüren und Fahrkorbtür</t>
        </is>
      </c>
      <c r="E36" s="2" t="inlineStr">
        <is>
          <t>MAXIMUM</t>
        </is>
      </c>
      <c r="F36" s="2" t="inlineStr">
        <is>
          <t>Brand- und Explosionsgefährdung</t>
        </is>
      </c>
      <c r="G36" s="2" t="inlineStr">
        <is>
          <t>Nutzer</t>
        </is>
      </c>
      <c r="H36" s="2" t="inlineStr">
        <is>
          <t>7.11 Feuerwiderstandsfähigkeit der Schachttüren (EN 81-58 / bauaufsichtliche Anforderung) [Filter]
7.11 Feuerwiderstandsfähigkeit der Schachttüren (EN 81-58 / bauaufsichtliche Anforderung) [Auslöser · Pflicht]</t>
        </is>
      </c>
      <c r="I36" s="2" t="inlineStr">
        <is>
          <t>DIN EN 81-58; DIN EN 81-20 5.3.1.2</t>
        </is>
      </c>
      <c r="J36" s="2" t="inlineStr">
        <is>
          <t>K-K07</t>
        </is>
      </c>
      <c r="K36" s="2" t="n">
        <v>3</v>
      </c>
    </row>
    <row r="37">
      <c r="A37" s="4" t="inlineStr">
        <is>
          <t>MF-T06</t>
        </is>
      </c>
      <c r="B37" s="4" t="inlineStr">
        <is>
          <t>Fahrkorb ohne Abschlusstür oder ohne Schließkantensicherung</t>
        </is>
      </c>
      <c r="C37" s="4" t="inlineStr">
        <is>
          <t>Türen und Verriegelung</t>
        </is>
      </c>
      <c r="D37" s="4" t="inlineStr">
        <is>
          <t>T – Schachttüren und Fahrkorbtür</t>
        </is>
      </c>
      <c r="E37" s="4" t="inlineStr">
        <is>
          <t>NONE</t>
        </is>
      </c>
      <c r="F37" s="4" t="inlineStr">
        <is>
          <t>Mechanische Gefährdung durch bewegte Teile (Quetschen, Scheren, Einziehen)</t>
        </is>
      </c>
      <c r="G37" s="4" t="inlineStr">
        <is>
          <t>Nutzer</t>
        </is>
      </c>
      <c r="H37" s="4" t="inlineStr">
        <is>
          <t>8.6 Fahrkorbabschlusstür vorhanden? [Auslöser · Pflicht]
8.9 Ohne Fahrkorbtür: Sicherheitslichtgitter vorhanden? [Kompensation · bedingt Pflicht]
8.9a Ohne Fahrkorbtür: Scherengitter vorhanden? [Kompensation · bedingt Pflicht]
8.9b Ohne Fahrkorbtür: Lastenaufzug, der ausschließlich von eingewiesenen Personen benutzt wird (Einweisung dokumentiert)? [Kompensation · bedingt Pflicht]
2.1 Nutzungsart der Anlage [Modifier · bedingt Pflicht]
8.8 Schließkantensicherung der Fahrkorbtür [Auslöser · bedingt Pflicht]
8.7 Fahrkorbtür kraftbetätigt (automatisch)? [Auslöser · bedingt Pflicht]
4.9 Nutzung durch Personen mit eingeschränkter Mobilität (Rollstuhl, Rollator, Sehbehinderung) zu erwarten? [Modifier · Pflicht]
4.12 Nutzung durch unbeaufsichtigte Kinder zu erwarten (Schule, Kita, Wohnanlage)? [Modifier · Pflicht]</t>
        </is>
      </c>
      <c r="I37" s="4" t="inlineStr">
        <is>
          <t>DIN EN 81-20 5.3; DIN EN 81-20 5.3.6; TRBS 3121 Anh. 1 Nr. 10 (Schutz an kraftbetätigten Türen); TRBS 3121 Anh. 1 Nr. 14 (Fahrkorbabschlusstüren)</t>
        </is>
      </c>
      <c r="J37" s="4" t="inlineStr">
        <is>
          <t>K-K09, K-T02</t>
        </is>
      </c>
      <c r="K37" s="4" t="n">
        <v>10</v>
      </c>
    </row>
    <row r="38">
      <c r="A38" s="2" t="inlineStr">
        <is>
          <t>MF-T07</t>
        </is>
      </c>
      <c r="B38" s="2" t="inlineStr">
        <is>
          <t>Unzureichende Fläche unterhalb der Schachttürschwelle</t>
        </is>
      </c>
      <c r="C38" s="2" t="inlineStr">
        <is>
          <t>Türen und Verriegelung</t>
        </is>
      </c>
      <c r="D38" s="2" t="inlineStr">
        <is>
          <t>T – Schachttüren und Fahrkorbtür</t>
        </is>
      </c>
      <c r="E38" s="2" t="inlineStr">
        <is>
          <t>NONE</t>
        </is>
      </c>
      <c r="F38" s="2" t="inlineStr">
        <is>
          <t>Mechanische Gefährdung durch Absturz in den Schacht</t>
        </is>
      </c>
      <c r="G38" s="2" t="inlineStr">
        <is>
          <t>Nutzer, Beauftragte Person, Wartungspersonal</t>
        </is>
      </c>
      <c r="H38" s="2" t="inlineStr">
        <is>
          <t>7.12 Schachtwand unterhalb der Schachttürschwelle (vertikale Fläche zur Entriegelungszone) [Auslöser · Pflicht]</t>
        </is>
      </c>
      <c r="I38" s="2" t="inlineStr">
        <is>
          <t>DIN EN 81-20 5.2.5.3.2</t>
        </is>
      </c>
      <c r="J38" s="2" t="inlineStr"/>
      <c r="K38" s="2" t="n">
        <v>3</v>
      </c>
    </row>
    <row r="39">
      <c r="A39" s="4" t="inlineStr">
        <is>
          <t>MF-T08</t>
        </is>
      </c>
      <c r="B39" s="4" t="inlineStr">
        <is>
          <t>Türblatt kann aus der Führung fallen (fehlende Rückhalteeinrichtung)</t>
        </is>
      </c>
      <c r="C39" s="4" t="inlineStr">
        <is>
          <t>Türen und Verriegelung</t>
        </is>
      </c>
      <c r="D39" s="4" t="inlineStr">
        <is>
          <t>T – Schachttüren und Fahrkorbtür</t>
        </is>
      </c>
      <c r="E39" s="4" t="inlineStr">
        <is>
          <t>NONE</t>
        </is>
      </c>
      <c r="F39" s="4" t="inlineStr">
        <is>
          <t>Mechanische Gefährdung durch Absturz in den Schacht</t>
        </is>
      </c>
      <c r="G39" s="4" t="inlineStr">
        <is>
          <t>Nutzer, Wartungspersonal</t>
        </is>
      </c>
      <c r="H39" s="4" t="inlineStr">
        <is>
          <t>7.13 Rückhalteeinrichtungen an den horizontal bewegten Schacht-Schiebetüren vorhanden (Türblatt bleibt in seiner Lage, wenn ein Führungselement versagt)? [Auslöser · Pflicht]
7.13a Führungselemente, Hänger und Befestigungen der Türblätter unbeschädigt und ohne auffälliges Spiel? [Modifier · Pflicht]</t>
        </is>
      </c>
      <c r="I39" s="4" t="inlineStr">
        <is>
          <t>DIN EN 81-20 5.3.5.3.2</t>
        </is>
      </c>
      <c r="J39" s="4" t="inlineStr"/>
      <c r="K39" s="4" t="n">
        <v>4</v>
      </c>
    </row>
    <row r="40">
      <c r="A40" s="2" t="inlineStr">
        <is>
          <t>MF-T09</t>
        </is>
      </c>
      <c r="B40" s="2" t="inlineStr">
        <is>
          <t>Unzureichende Verbindung der Türblätter mehrteiliger Schachttüren</t>
        </is>
      </c>
      <c r="C40" s="2" t="inlineStr">
        <is>
          <t>Türen und Verriegelung</t>
        </is>
      </c>
      <c r="D40" s="2" t="inlineStr">
        <is>
          <t>T – Schachttüren und Fahrkorbtür</t>
        </is>
      </c>
      <c r="E40" s="2" t="inlineStr">
        <is>
          <t>NONE</t>
        </is>
      </c>
      <c r="F40" s="2" t="inlineStr">
        <is>
          <t>Mechanische Gefährdung durch Absturz in den Schacht</t>
        </is>
      </c>
      <c r="G40" s="2" t="inlineStr">
        <is>
          <t>Nutzer</t>
        </is>
      </c>
      <c r="H40" s="2" t="inlineStr">
        <is>
          <t>7.14 Schachttüren mehrteilig (Teleskop- oder Mitteltür mit mehreren Türblättern)? [Filter]
7.14a Verbindung der Türblätter mehrteiliger Schachttüren [Auslöser · bedingt Pflicht]</t>
        </is>
      </c>
      <c r="I40" s="2" t="inlineStr">
        <is>
          <t>DIN EN 81-20 5.3.11; DIN EN 81-20 5.3.11.3; TRBS 3121 Anh. 1 Nr. 11 (Schachttürverriegelung)</t>
        </is>
      </c>
      <c r="J40" s="2" t="inlineStr"/>
      <c r="K40" s="2" t="n">
        <v>3</v>
      </c>
    </row>
    <row r="41">
      <c r="A41" s="4" t="inlineStr">
        <is>
          <t>MF-K01</t>
        </is>
      </c>
      <c r="B41" s="4" t="inlineStr">
        <is>
          <t>Fehlende oder unzulängliche Notrufeinrichtung im Fahrkorb</t>
        </is>
      </c>
      <c r="C41" s="4" t="inlineStr">
        <is>
          <t>Notruf und Personenbefreiung</t>
        </is>
      </c>
      <c r="D41" s="4" t="inlineStr">
        <is>
          <t>K – Fahrkorb</t>
        </is>
      </c>
      <c r="E41" s="4" t="inlineStr">
        <is>
          <t>MAXIMUM</t>
        </is>
      </c>
      <c r="F41" s="4" t="inlineStr">
        <is>
          <t>Sonstige Gefährdung durch fehlende oder unzureichende Notfallorganisation</t>
        </is>
      </c>
      <c r="G41" s="4" t="inlineStr">
        <is>
          <t>Nutzer, Beauftragte Person</t>
        </is>
      </c>
      <c r="H41" s="4" t="inlineStr">
        <is>
          <t>8.1 Notrufeinrichtung im Fahrkorb vorhanden? [Auslöser · Pflicht]
8.2 Art der Notrufeinrichtung [Auslöser · bedingt Pflicht]
8.3 Nachweis: Notruf auf eine rund um die Uhr besetzte Stelle aufgeschaltet (Aufschaltbestätigung, Testruf)? [Auslöser · bedingt Pflicht]</t>
        </is>
      </c>
      <c r="I41" s="4" t="inlineStr">
        <is>
          <t>DIN EN 81-20 5.12.3; DIN EN 81-28; BetrSichV Anh. 1 Nr. 4.1</t>
        </is>
      </c>
      <c r="J41" s="4" t="inlineStr">
        <is>
          <t>K-K01</t>
        </is>
      </c>
      <c r="K41" s="4" t="n">
        <v>6</v>
      </c>
    </row>
    <row r="42">
      <c r="A42" s="2" t="inlineStr">
        <is>
          <t>MF-K02</t>
        </is>
      </c>
      <c r="B42" s="2" t="inlineStr">
        <is>
          <t>Fehlende oder unzulängliche Notbeleuchtung im Fahrkorb</t>
        </is>
      </c>
      <c r="C42" s="2" t="inlineStr">
        <is>
          <t>Beleuchtung</t>
        </is>
      </c>
      <c r="D42" s="2" t="inlineStr">
        <is>
          <t>K – Fahrkorb</t>
        </is>
      </c>
      <c r="E42" s="2" t="inlineStr">
        <is>
          <t>NONE</t>
        </is>
      </c>
      <c r="F42" s="2" t="inlineStr">
        <is>
          <t>Gefährdung durch Arbeitsumgebungsbedingungen (unzureichende Beleuchtung)</t>
        </is>
      </c>
      <c r="G42" s="2" t="inlineStr">
        <is>
          <t>Nutzer</t>
        </is>
      </c>
      <c r="H42" s="2" t="inlineStr">
        <is>
          <t>8.5 Notbeleuchtung im Fahrkorb [Auslöser · Pflicht]</t>
        </is>
      </c>
      <c r="I42" s="2" t="inlineStr">
        <is>
          <t>DIN EN 81-20 5.4.10.4</t>
        </is>
      </c>
      <c r="J42" s="2" t="inlineStr">
        <is>
          <t>K-K02</t>
        </is>
      </c>
      <c r="K42" s="2" t="n">
        <v>3</v>
      </c>
    </row>
    <row r="43">
      <c r="A43" s="4" t="inlineStr">
        <is>
          <t>MF-K03</t>
        </is>
      </c>
      <c r="B43" s="4" t="inlineStr">
        <is>
          <t>Unzureichende Haltegenauigkeit / Stufenbildung an den Haltestellen</t>
        </is>
      </c>
      <c r="C43" s="4" t="inlineStr">
        <is>
          <t>Antrieb, Bremse und Hydraulik</t>
        </is>
      </c>
      <c r="D43" s="4" t="inlineStr">
        <is>
          <t>K – Fahrkorb</t>
        </is>
      </c>
      <c r="E43" s="4" t="inlineStr">
        <is>
          <t>NONE</t>
        </is>
      </c>
      <c r="F43" s="4" t="inlineStr">
        <is>
          <t>Mechanische Gefährdung durch Stolpern, Rutschen, Stürzen</t>
        </is>
      </c>
      <c r="G43" s="4" t="inlineStr">
        <is>
          <t>Nutzer</t>
        </is>
      </c>
      <c r="H43" s="4" t="inlineStr">
        <is>
          <t>8.10 Größte Stufenbildung / Haltegenauigkeit an den Haltestellen [Auslöser · Pflicht]
4.9 Nutzung durch Personen mit eingeschränkter Mobilität (Rollstuhl, Rollator, Sehbehinderung) zu erwarten? [Modifier · Pflicht]
8.10m Stufenbildung gemessen [mm] [Dokumentation]</t>
        </is>
      </c>
      <c r="I43" s="4" t="inlineStr">
        <is>
          <t>DIN EN 81-20 5.12.1.1.4; TRBS 3121 Anh. 1 Nr. 1 (Anhalte- und Nachregulierungsgenauigkeit)</t>
        </is>
      </c>
      <c r="J43" s="4" t="inlineStr">
        <is>
          <t>K-K03, K-K10</t>
        </is>
      </c>
      <c r="K43" s="4" t="n">
        <v>4</v>
      </c>
    </row>
    <row r="44">
      <c r="A44" s="2" t="inlineStr">
        <is>
          <t>MF-K04</t>
        </is>
      </c>
      <c r="B44" s="2" t="inlineStr">
        <is>
          <t>Unzureichende Fahrkorbtürschürze</t>
        </is>
      </c>
      <c r="C44" s="2" t="inlineStr">
        <is>
          <t>Fahrkorb und Nutzung</t>
        </is>
      </c>
      <c r="D44" s="2" t="inlineStr">
        <is>
          <t>K – Fahrkorb</t>
        </is>
      </c>
      <c r="E44" s="2" t="inlineStr">
        <is>
          <t>NONE</t>
        </is>
      </c>
      <c r="F44" s="2" t="inlineStr">
        <is>
          <t>Mechanische Gefährdung durch Absturz in den Schacht</t>
        </is>
      </c>
      <c r="G44" s="2" t="inlineStr">
        <is>
          <t>Nutzer, Wartungspersonal</t>
        </is>
      </c>
      <c r="H44" s="2" t="inlineStr">
        <is>
          <t>8.12 Fahrkorbtürschürze [Auslöser · Pflicht]
8.13 Personenbefreiung ausschließlich durch fachkundige Personen (Betriebsanweisung, keine Selbstbefreiung durch Aufzugswärter)? [Kompensation · bedingt Pflicht]
8.12m Schürzenlänge gemessen [mm] [Dokumentation]</t>
        </is>
      </c>
      <c r="I44" s="2" t="inlineStr">
        <is>
          <t>DIN EN 81-20 5.4.5; TRBS 3121 Anh. 1 Nr. 13 (Fahrkorbschürze)</t>
        </is>
      </c>
      <c r="J44" s="2" t="inlineStr"/>
      <c r="K44" s="2" t="n">
        <v>4</v>
      </c>
    </row>
    <row r="45">
      <c r="A45" s="4" t="inlineStr">
        <is>
          <t>MF-K05</t>
        </is>
      </c>
      <c r="B45" s="4" t="inlineStr">
        <is>
          <t>Zu großer Abstand zwischen Fahrkorbschwelle und Schachtwand</t>
        </is>
      </c>
      <c r="C45" s="4" t="inlineStr">
        <is>
          <t>Fahrkorb und Nutzung</t>
        </is>
      </c>
      <c r="D45" s="4" t="inlineStr">
        <is>
          <t>K – Fahrkorb</t>
        </is>
      </c>
      <c r="E45" s="4" t="inlineStr">
        <is>
          <t>NONE</t>
        </is>
      </c>
      <c r="F45" s="4" t="inlineStr">
        <is>
          <t>Mechanische Gefährdung durch Absturz in den Schacht</t>
        </is>
      </c>
      <c r="G45" s="4" t="inlineStr">
        <is>
          <t>Nutzer</t>
        </is>
      </c>
      <c r="H45" s="4" t="inlineStr">
        <is>
          <t>8.14 Abstand Fahrkorbschwelle – Schachtwand über 150 mm? [Auslöser · Pflicht]
4.12 Nutzung durch unbeaufsichtigte Kinder zu erwarten (Schule, Kita, Wohnanlage)? [Modifier · bedingt Pflicht]
8.15 Fahrkorbtür-Verriegelung (Fahrkorbtür außerhalb der Entriegelungszone verriegelt)? [Kompensation · bedingt Pflicht]
8.15a Zusatzverriegelung an den Schachttüren vorhanden? [Kompensation · bedingt Pflicht]
8.14m Abstand gemessen [mm] [Dokumentation]</t>
        </is>
      </c>
      <c r="I45" s="4" t="inlineStr">
        <is>
          <t>DIN EN 81-20 5.2.5.3.1; TRBS 3121 Anh. 1 Nr. 19 (Verriegelung der Fahrkorbtür bei großem Schachtwandabstand)</t>
        </is>
      </c>
      <c r="J45" s="4" t="inlineStr">
        <is>
          <t>K-K04</t>
        </is>
      </c>
      <c r="K45" s="4" t="n">
        <v>5</v>
      </c>
    </row>
    <row r="46">
      <c r="A46" s="2" t="inlineStr">
        <is>
          <t>MF-K06</t>
        </is>
      </c>
      <c r="B46" s="2" t="inlineStr">
        <is>
          <t>Fehlende Kennzeichnung der Nennlast, unpassende Nutzfläche oder fehlende Überlastkontrolle</t>
        </is>
      </c>
      <c r="C46" s="2" t="inlineStr">
        <is>
          <t>Fahrkorb und Nutzung</t>
        </is>
      </c>
      <c r="D46" s="2" t="inlineStr">
        <is>
          <t>K – Fahrkorb</t>
        </is>
      </c>
      <c r="E46" s="2" t="inlineStr">
        <is>
          <t>MAXIMUM</t>
        </is>
      </c>
      <c r="F46" s="2" t="inlineStr">
        <is>
          <t>Mechanische Gefährdung durch Überlastung und unkontrollierte Bewegung</t>
        </is>
      </c>
      <c r="G46" s="2" t="inlineStr">
        <is>
          <t>Nutzer</t>
        </is>
      </c>
      <c r="H46" s="2" t="inlineStr">
        <is>
          <t>8.16 Nennlast und zulässige Personenzahl im Fahrkorb gekennzeichnet? [Auslöser · Pflicht]
8.17 Nutzfläche des Fahrkorbs passt zur Nennlast (Tabelle EN 81-20 5.4.2)? [Auslöser · Pflicht]
8.18 Überlastkontrolle / Lastmessung vorhanden? [Auslöser · Pflicht]
8.18a Funktion der Überlastkontrolle nachweislich geprüft? [Auslöser · bedingt Pflicht]
2.1 Nutzungsart der Anlage [Modifier · Pflicht]
4.10 Beladung mit Flurförderzeugen oder Transportwagen? [Dokumentation]</t>
        </is>
      </c>
      <c r="I46" s="2" t="inlineStr">
        <is>
          <t>DIN EN 81-20 5.4.2; DIN EN 81-20 5.12.1.2</t>
        </is>
      </c>
      <c r="J46" s="2" t="inlineStr">
        <is>
          <t>K-K05</t>
        </is>
      </c>
      <c r="K46" s="2" t="n">
        <v>6</v>
      </c>
    </row>
    <row r="47">
      <c r="A47" s="4" t="inlineStr">
        <is>
          <t>MF-K07</t>
        </is>
      </c>
      <c r="B47" s="4" t="inlineStr">
        <is>
          <t>Unzureichende Lüftung des Fahrkorbs</t>
        </is>
      </c>
      <c r="C47" s="4" t="inlineStr">
        <is>
          <t>Fahrkorb und Nutzung</t>
        </is>
      </c>
      <c r="D47" s="4" t="inlineStr">
        <is>
          <t>K – Fahrkorb</t>
        </is>
      </c>
      <c r="E47" s="4" t="inlineStr">
        <is>
          <t>NONE</t>
        </is>
      </c>
      <c r="F47" s="4" t="inlineStr">
        <is>
          <t>Gefährdung durch Arbeitsumgebungsbedingungen (Klima, Lärm, Emissionen)</t>
        </is>
      </c>
      <c r="G47" s="4" t="inlineStr">
        <is>
          <t>Nutzer</t>
        </is>
      </c>
      <c r="H47" s="4" t="inlineStr">
        <is>
          <t>8.19 Lüftung des Fahrkorbs [Auslöser · Pflicht]</t>
        </is>
      </c>
      <c r="I47" s="4" t="inlineStr">
        <is>
          <t>DIN EN 81-20 5.4.9</t>
        </is>
      </c>
      <c r="J47" s="4" t="inlineStr"/>
      <c r="K47" s="4" t="n">
        <v>4</v>
      </c>
    </row>
    <row r="48">
      <c r="A48" s="2" t="inlineStr">
        <is>
          <t>MF-K08</t>
        </is>
      </c>
      <c r="B48" s="2" t="inlineStr">
        <is>
          <t>Fehlende Brandfallsteuerung trotz Anforderung im Brandschutzkonzept</t>
        </is>
      </c>
      <c r="C48" s="2" t="inlineStr">
        <is>
          <t>Brandschutz und Gebäudeschnittstelle</t>
        </is>
      </c>
      <c r="D48" s="2" t="inlineStr">
        <is>
          <t>K – Fahrkorb</t>
        </is>
      </c>
      <c r="E48" s="2" t="inlineStr">
        <is>
          <t>MAXIMUM</t>
        </is>
      </c>
      <c r="F48" s="2" t="inlineStr">
        <is>
          <t>Brand- und Explosionsgefährdung</t>
        </is>
      </c>
      <c r="G48" s="2" t="inlineStr">
        <is>
          <t>Nutzer, Feuerwehr</t>
        </is>
      </c>
      <c r="H48" s="2" t="inlineStr">
        <is>
          <t>4.11 Fordert das Brandschutzkonzept des Gebäudes eine Brandfallsteuerung? [Filter]
8.21 Brandfallsteuerung vorhanden? [Auslöser · Pflicht]
8.21b Auslösung der Brandfallsteuerung [Auslöser · bedingt Pflicht]
8.21a Funktion der Brandfallsteuerung regelmäßig geprüft (Nachweis der Wartung/Prüfung der Aufzugsanlage)? [Auslöser · bedingt Pflicht]</t>
        </is>
      </c>
      <c r="I48" s="2" t="inlineStr">
        <is>
          <t>DIN EN 81-73; TRBS 3121 Anh. 4</t>
        </is>
      </c>
      <c r="J48" s="2" t="inlineStr"/>
      <c r="K48" s="2" t="n">
        <v>5</v>
      </c>
    </row>
    <row r="49">
      <c r="A49" s="4" t="inlineStr">
        <is>
          <t>MF-K09</t>
        </is>
      </c>
      <c r="B49" s="4" t="inlineStr">
        <is>
          <t>Fehlender Hinweis „Aufzug im Brandfall nicht benutzen"</t>
        </is>
      </c>
      <c r="C49" s="4" t="inlineStr">
        <is>
          <t>Brandschutz und Gebäudeschnittstelle</t>
        </is>
      </c>
      <c r="D49" s="4" t="inlineStr">
        <is>
          <t>K – Fahrkorb</t>
        </is>
      </c>
      <c r="E49" s="4" t="inlineStr">
        <is>
          <t>NONE</t>
        </is>
      </c>
      <c r="F49" s="4" t="inlineStr">
        <is>
          <t>Brand- und Explosionsgefährdung</t>
        </is>
      </c>
      <c r="G49" s="4" t="inlineStr">
        <is>
          <t>Nutzer</t>
        </is>
      </c>
      <c r="H49" s="4" t="inlineStr">
        <is>
          <t>8.20 Hinweisschild „Aufzug im Brandfall nicht benutzen" an allen Haltestellen vorhanden und lesbar? [Auslöser · Pflicht]</t>
        </is>
      </c>
      <c r="I49" s="4" t="inlineStr">
        <is>
          <t>DIN EN 81-73 5.3; DIN EN 81-20 7.2</t>
        </is>
      </c>
      <c r="J49" s="4" t="inlineStr"/>
      <c r="K49" s="4" t="n">
        <v>2</v>
      </c>
    </row>
    <row r="50">
      <c r="A50" s="2" t="inlineStr">
        <is>
          <t>MF-K10</t>
        </is>
      </c>
      <c r="B50" s="2" t="inlineStr">
        <is>
          <t>Eingeschränkte Zugänglichkeit für Personen mit eingeschränkter Mobilität</t>
        </is>
      </c>
      <c r="C50" s="2" t="inlineStr">
        <is>
          <t>Fahrkorb und Nutzung</t>
        </is>
      </c>
      <c r="D50" s="2" t="inlineStr">
        <is>
          <t>K – Fahrkorb</t>
        </is>
      </c>
      <c r="E50" s="2" t="inlineStr">
        <is>
          <t>MAXIMUM</t>
        </is>
      </c>
      <c r="F50" s="2" t="inlineStr">
        <is>
          <t>Mechanische Gefährdung durch Stolpern, Rutschen, Stürzen</t>
        </is>
      </c>
      <c r="G50" s="2" t="inlineStr">
        <is>
          <t>Nutzer</t>
        </is>
      </c>
      <c r="H50" s="2" t="inlineStr">
        <is>
          <t>4.9 Nutzung durch Personen mit eingeschränkter Mobilität (Rollstuhl, Rollator, Sehbehinderung) zu erwarten? [Filter]
4.9a Barrierefreie Ausführung gefordert (Baugenehmigung, Nutzungskonzept, öffentlich zugängliches Gebäude)? [Modifier · bedingt Pflicht]
8.22 Anlage nach DIN EN 81-70 barrierefrei ausgeführt? [Auslöser · Pflicht]
8.23 Bedienelemente in erreichbarer Höhe und ertastbar? [Auslöser · bedingt Pflicht]
8.24 Fahrkorbabmessungen für Rollstuhlnutzung ausreichend (mind. 1,00 m × 1,25 m, Fahrkorbtyp 1 nach DIN EN 81-70:2022-12)? [Auslöser · bedingt Pflicht]</t>
        </is>
      </c>
      <c r="I50" s="2" t="inlineStr">
        <is>
          <t>DIN EN 81-70</t>
        </is>
      </c>
      <c r="J50" s="2" t="inlineStr"/>
      <c r="K50" s="2" t="n">
        <v>5</v>
      </c>
    </row>
    <row r="51">
      <c r="A51" s="4" t="inlineStr">
        <is>
          <t>MF-K11</t>
        </is>
      </c>
      <c r="B51" s="4" t="inlineStr">
        <is>
          <t>Beschädigte Fahrkorbausstattung / Vandalismus</t>
        </is>
      </c>
      <c r="C51" s="4" t="inlineStr">
        <is>
          <t>Fahrkorb und Nutzung</t>
        </is>
      </c>
      <c r="D51" s="4" t="inlineStr">
        <is>
          <t>K – Fahrkorb</t>
        </is>
      </c>
      <c r="E51" s="4" t="inlineStr">
        <is>
          <t>MAXIMUM</t>
        </is>
      </c>
      <c r="F51" s="4" t="inlineStr">
        <is>
          <t>Mechanische Gefährdung durch Bruch von Bauteilen und Einziehen an Glastüren</t>
        </is>
      </c>
      <c r="G51" s="4" t="inlineStr">
        <is>
          <t>Nutzer</t>
        </is>
      </c>
      <c r="H51" s="4" t="inlineStr">
        <is>
          <t>8.25 Zustand der Fahrkorbausstattung [Auslöser · Pflicht]
8.26 Wiederholte Vandalismusschäden? [Auslöser · Pflicht]
8.26a Vandalismussichere Ausführung nach DIN EN 81-71? [Kompensation · bedingt Pflicht]</t>
        </is>
      </c>
      <c r="I51" s="4" t="inlineStr">
        <is>
          <t>DIN EN 81-71</t>
        </is>
      </c>
      <c r="J51" s="4" t="inlineStr"/>
      <c r="K51" s="4" t="n">
        <v>4</v>
      </c>
    </row>
    <row r="52">
      <c r="A52" s="2" t="inlineStr">
        <is>
          <t>MF-K12</t>
        </is>
      </c>
      <c r="B52" s="2" t="inlineStr">
        <is>
          <t>Fehlender Schutz gegen unbeabsichtigte Fahrkorbbewegung bei offenen Türen (UCM)</t>
        </is>
      </c>
      <c r="C52" s="2" t="inlineStr">
        <is>
          <t>Sicherheitskomponenten</t>
        </is>
      </c>
      <c r="D52" s="2" t="inlineStr">
        <is>
          <t>K – Fahrkorb</t>
        </is>
      </c>
      <c r="E52" s="2" t="inlineStr">
        <is>
          <t>NONE</t>
        </is>
      </c>
      <c r="F52" s="2" t="inlineStr">
        <is>
          <t>Mechanische Gefährdung durch unkontrollierte Bewegung bei geöffneten Türen</t>
        </is>
      </c>
      <c r="G52" s="2" t="inlineStr">
        <is>
          <t>Nutzer</t>
        </is>
      </c>
      <c r="H52" s="2" t="inlineStr">
        <is>
          <t>4.5 UCM-Schutz (unbeabsichtigte Fahrkorbbewegung, A3 / EN 81-20 5.6.7) vorhanden? [Auslöser · Pflicht]
8.27 Türüberbrückung (SR-Modul) für Nachregulieren / Voraböffnen mit offener Tür vorhanden? [Auslöser · bedingt Pflicht]
6.2 Zweikreisbremse (redundante Betriebsbremse) vorhanden? [Kompensation · bedingt Pflicht]
6.2a Bremse elektrisch überwacht (Bremskontrollschalter)? [Kompensation · bedingt Pflicht]
4.6 Antriebswelle statisch bestimmt gelagert (keine 3-Punkt-Lagerung)? [Kompensation · bedingt Pflicht]
3.1 Aufzugsart [Modifier · Pflicht]</t>
        </is>
      </c>
      <c r="I52" s="2" t="inlineStr">
        <is>
          <t>DIN EN 81-20 5.6.7; DIN EN 81-20 5.9.2.2.2; TRBS 3121 Anh. 1 Nr. 16 (UCM und Aufwärts-Übergeschwindigkeit bei Seilaufzügen)</t>
        </is>
      </c>
      <c r="J52" s="2" t="inlineStr">
        <is>
          <t>K-K08, K-K11, K-K12</t>
        </is>
      </c>
      <c r="K52" s="2" t="n">
        <v>5</v>
      </c>
    </row>
    <row r="53">
      <c r="A53" s="4" t="inlineStr">
        <is>
          <t>MF-K13</t>
        </is>
      </c>
      <c r="B53" s="4" t="inlineStr">
        <is>
          <t>Fehlender Schutz gegen Übergeschwindigkeit aufwärts / Sturz nach oben</t>
        </is>
      </c>
      <c r="C53" s="4" t="inlineStr">
        <is>
          <t>Sicherheitskomponenten</t>
        </is>
      </c>
      <c r="D53" s="4" t="inlineStr">
        <is>
          <t>K – Fahrkorb</t>
        </is>
      </c>
      <c r="E53" s="4" t="inlineStr">
        <is>
          <t>NONE</t>
        </is>
      </c>
      <c r="F53" s="4" t="inlineStr">
        <is>
          <t>Mechanische Gefährdung durch Beschleunigung und Abbremsung (kinetische Energie)</t>
        </is>
      </c>
      <c r="G53" s="4" t="inlineStr">
        <is>
          <t>Nutzer</t>
        </is>
      </c>
      <c r="H53" s="4" t="inlineStr">
        <is>
          <t>3.1 Aufzugsart [Filter]
3.1b Gegengewicht oder Ausgleichsgewicht vorhanden? [Filter]
8.28 Schutz gegen Übergeschwindigkeit aufwärts / Sturz nach oben [Auslöser · Pflicht]</t>
        </is>
      </c>
      <c r="I53" s="4" t="inlineStr">
        <is>
          <t>DIN EN 81-20 5.6.6; TRBS 3121 Anh. 1 Nr. 16 (UCM und Aufwärts-Übergeschwindigkeit bei Seilaufzügen)</t>
        </is>
      </c>
      <c r="J53" s="4" t="inlineStr"/>
      <c r="K53" s="4" t="n">
        <v>2</v>
      </c>
    </row>
    <row r="54">
      <c r="A54" s="2" t="inlineStr">
        <is>
          <t>MF-K14</t>
        </is>
      </c>
      <c r="B54" s="2" t="inlineStr">
        <is>
          <t>Statisch unbestimmt gelagerte Antriebswelle (3-Punkt-Lagerung)</t>
        </is>
      </c>
      <c r="C54" s="2" t="inlineStr">
        <is>
          <t>Antrieb, Bremse und Hydraulik</t>
        </is>
      </c>
      <c r="D54" s="2" t="inlineStr">
        <is>
          <t>K – Fahrkorb</t>
        </is>
      </c>
      <c r="E54" s="2" t="inlineStr">
        <is>
          <t>NONE</t>
        </is>
      </c>
      <c r="F54" s="2" t="inlineStr">
        <is>
          <t>Mechanische Gefährdung durch Beschleunigung und Abbremsung (kinetische Energie)</t>
        </is>
      </c>
      <c r="G54" s="2" t="inlineStr">
        <is>
          <t>Nutzer</t>
        </is>
      </c>
      <c r="H54" s="2" t="inlineStr">
        <is>
          <t>3.1 Aufzugsart [Filter]
4.6 Antriebswelle statisch bestimmt gelagert (keine 3-Punkt-Lagerung)? [Auslöser · Pflicht]
8.28 Schutz gegen Übergeschwindigkeit aufwärts / Sturz nach oben [Kompensation · bedingt Pflicht]</t>
        </is>
      </c>
      <c r="I54" s="2" t="inlineStr">
        <is>
          <t>DIN EN 81-20 5.9.2.2.2; TRBS 3121 Anh. 1 Nr. 16 (UCM und Aufwärts-Übergeschwindigkeit bei Seilaufzügen)</t>
        </is>
      </c>
      <c r="J54" s="2" t="inlineStr"/>
      <c r="K54" s="2" t="n">
        <v>3</v>
      </c>
    </row>
    <row r="55">
      <c r="A55" s="4" t="inlineStr">
        <is>
          <t>MF-K15</t>
        </is>
      </c>
      <c r="B55" s="4" t="inlineStr">
        <is>
          <t>Unzureichende Beleuchtung im Fahrkorb (Normalbetrieb)</t>
        </is>
      </c>
      <c r="C55" s="4" t="inlineStr">
        <is>
          <t>Beleuchtung</t>
        </is>
      </c>
      <c r="D55" s="4" t="inlineStr">
        <is>
          <t>K – Fahrkorb</t>
        </is>
      </c>
      <c r="E55" s="4" t="inlineStr">
        <is>
          <t>MAXIMUM</t>
        </is>
      </c>
      <c r="F55" s="4" t="inlineStr">
        <is>
          <t>Gefährdung durch Arbeitsumgebungsbedingungen (unzureichende Beleuchtung)</t>
        </is>
      </c>
      <c r="G55" s="4" t="inlineStr">
        <is>
          <t>Nutzer</t>
        </is>
      </c>
      <c r="H55" s="4" t="inlineStr">
        <is>
          <t>8.29 Beleuchtung im Fahrkorb (Normalbetrieb) [Auslöser · Pflicht]
8.29a Mindestens zwei parallel geschaltete Lampen im Fahrkorb? [Modifier · Pflicht]
8.29b Fahrkorb ständig beleuchtet (Ausnahme: Parken mit geschlossenen Türen)? [Modifier · Pflicht]</t>
        </is>
      </c>
      <c r="I55" s="4" t="inlineStr">
        <is>
          <t>DIN EN 81-20 5.4.10.1; DIN EN 81-20 5.4.10.2; DIN EN 81-20 5.4.10.3</t>
        </is>
      </c>
      <c r="J55" s="4" t="inlineStr"/>
      <c r="K55" s="4" t="n">
        <v>5</v>
      </c>
    </row>
    <row r="56">
      <c r="A56" s="2" t="inlineStr">
        <is>
          <t>MF-F01</t>
        </is>
      </c>
      <c r="B56" s="2" t="inlineStr">
        <is>
          <t>Fehlende oder unzureichende Absturzsicherung auf dem Fahrkorbdach</t>
        </is>
      </c>
      <c r="C56" s="2" t="inlineStr">
        <is>
          <t>Fahrkorbdach und Schachtkopf</t>
        </is>
      </c>
      <c r="D56" s="2" t="inlineStr">
        <is>
          <t>F – Fahrkorbdach und Schachtkopf</t>
        </is>
      </c>
      <c r="E56" s="2" t="inlineStr">
        <is>
          <t>MAXIMUM</t>
        </is>
      </c>
      <c r="F56" s="2" t="inlineStr">
        <is>
          <t>Mechanische Gefährdung durch Absturz in den Schacht</t>
        </is>
      </c>
      <c r="G56" s="2" t="inlineStr">
        <is>
          <t>Wartungspersonal</t>
        </is>
      </c>
      <c r="H56" s="2" t="inlineStr">
        <is>
          <t>9.1 Größter horizontaler Abstand Fahrkorbdachkante – Schachtwand [Auslöser · Pflicht]
9.2 Geländer auf dem Fahrkorbdach vorhanden? [Kompensation · bedingt Pflicht]
9.3 Geländerhöhe auf dem Fahrkorbdach [Kompensation · bedingt Pflicht]
9.4 Fußleiste (mind. 100 mm) am Rand des Fahrkorbdachs vorhanden? [Auslöser · Pflicht]
9.1m Abstand gemessen [mm] [Dokumentation]</t>
        </is>
      </c>
      <c r="I56" s="2" t="inlineStr">
        <is>
          <t>DIN EN 81-20 5.4.7.3; DIN EN 81-20 5.4.7.4; TRBS 3121 Anh. 1 Nr. 15 (Fahrkorbdachumwehrung)</t>
        </is>
      </c>
      <c r="J56" s="2" t="inlineStr">
        <is>
          <t>K-F01, K-F02</t>
        </is>
      </c>
      <c r="K56" s="2" t="n">
        <v>6</v>
      </c>
    </row>
    <row r="57">
      <c r="A57" s="4" t="inlineStr">
        <is>
          <t>MF-F02</t>
        </is>
      </c>
      <c r="B57" s="4" t="inlineStr">
        <is>
          <t>Einzugsgefahr an Rollen im Schachtkopf / auf dem Fahrkorbdach</t>
        </is>
      </c>
      <c r="C57" s="4" t="inlineStr">
        <is>
          <t>Fahrkorbdach und Schachtkopf</t>
        </is>
      </c>
      <c r="D57" s="4" t="inlineStr">
        <is>
          <t>F – Fahrkorbdach und Schachtkopf</t>
        </is>
      </c>
      <c r="E57" s="4" t="inlineStr">
        <is>
          <t>MAXIMUM</t>
        </is>
      </c>
      <c r="F57" s="4" t="inlineStr">
        <is>
          <t>Mechanische Gefährdung durch rotierende Teile (Erfassen, Einziehen)</t>
        </is>
      </c>
      <c r="G57" s="4" t="inlineStr">
        <is>
          <t>Wartungspersonal</t>
        </is>
      </c>
      <c r="H57" s="4" t="inlineStr">
        <is>
          <t>9.5 Einzugstellen im Schachtkopf / auf dem Fahrkorbdach vorhanden (Umlenkrollen, Heberrolle, Seilrollen)? [Auslöser · Pflicht]
9.5a Abdeckung der Einzugstellen [Auslöser · bedingt Pflicht]</t>
        </is>
      </c>
      <c r="I57" s="4" t="inlineStr">
        <is>
          <t>DIN EN 81-20 5.5.7</t>
        </is>
      </c>
      <c r="J57" s="4" t="inlineStr"/>
      <c r="K57" s="4" t="n">
        <v>3</v>
      </c>
    </row>
    <row r="58">
      <c r="A58" s="2" t="inlineStr">
        <is>
          <t>MF-F03</t>
        </is>
      </c>
      <c r="B58" s="2" t="inlineStr">
        <is>
          <t>Gefährdung durch Nachbaraufzug oder dessen Gegengewicht (Fahrkorbdach)</t>
        </is>
      </c>
      <c r="C58" s="2" t="inlineStr">
        <is>
          <t>Fahrkorbdach und Schachtkopf</t>
        </is>
      </c>
      <c r="D58" s="2" t="inlineStr">
        <is>
          <t>F – Fahrkorbdach und Schachtkopf</t>
        </is>
      </c>
      <c r="E58" s="2" t="inlineStr">
        <is>
          <t>NONE</t>
        </is>
      </c>
      <c r="F58" s="2" t="inlineStr">
        <is>
          <t>Mechanische Gefährdung durch bewegte Teile (Quetschen, Scheren, Einziehen)</t>
        </is>
      </c>
      <c r="G58" s="2" t="inlineStr">
        <is>
          <t>Wartungspersonal</t>
        </is>
      </c>
      <c r="H58" s="2" t="inlineStr">
        <is>
          <t>4.8 Mehrere Aufzüge in einem gemeinsamen Schacht? [Filter]
9.6 Abtrennung zum Nachbaraufzug / Nachbar-Gegengewicht im Bereich des Fahrkorbdachs [Auslöser · Pflicht]
9.6a Einrichtung zum automatischen Abschalten des Nachbaraufzugs bei Arbeiten im Fahrschacht vorhanden? [Kompensation · bedingt Pflicht]
9.6b Automatische Abschaltung in der Funktion geprüft, alle Nachbaranlagen erfasst und Wirkung bei Inspektionsbetrieb bestätigt? [Kompensation · bedingt Pflicht]</t>
        </is>
      </c>
      <c r="I58" s="2" t="inlineStr">
        <is>
          <t>DIN EN 81-20 5.2.5.5.2.2; TRBS 3121 Anh. 1 Nr. 4 (Benachbarte Aufzüge im Fahrschacht)</t>
        </is>
      </c>
      <c r="J58" s="2" t="inlineStr"/>
      <c r="K58" s="2" t="n">
        <v>7</v>
      </c>
    </row>
    <row r="59">
      <c r="A59" s="4" t="inlineStr">
        <is>
          <t>MF-F04</t>
        </is>
      </c>
      <c r="B59" s="4" t="inlineStr">
        <is>
          <t>Unzureichender Schutzraum / Kopffreiheit im Schachtkopf</t>
        </is>
      </c>
      <c r="C59" s="4" t="inlineStr">
        <is>
          <t>Fahrkorbdach und Schachtkopf</t>
        </is>
      </c>
      <c r="D59" s="4" t="inlineStr">
        <is>
          <t>F – Fahrkorbdach und Schachtkopf</t>
        </is>
      </c>
      <c r="E59" s="4" t="inlineStr">
        <is>
          <t>MAXIMUM</t>
        </is>
      </c>
      <c r="F59" s="4" t="inlineStr">
        <is>
          <t>Mechanische Gefährdung durch Quetschen zwischen Fahrkorb und Schacht</t>
        </is>
      </c>
      <c r="G59" s="4" t="inlineStr">
        <is>
          <t>Wartungspersonal</t>
        </is>
      </c>
      <c r="H59" s="4" t="inlineStr">
        <is>
          <t>9.7 Schutzraum im Schachtkopf [Auslöser · Pflicht]
9.7a Warnkennzeichnung zur reduzierten Kopffreiheit vorhanden? [Auslöser · bedingt Pflicht]</t>
        </is>
      </c>
      <c r="I59" s="4" t="inlineStr">
        <is>
          <t>DIN EN 81-20 5.2.5.7; DIN EN 81-20 5.2.5.8; TRBS 3121 Anh. 1 Nr. 5 (Schutzräume in Grube und Schachtkopf)</t>
        </is>
      </c>
      <c r="J59" s="4" t="inlineStr">
        <is>
          <t>K-F03, K-F05</t>
        </is>
      </c>
      <c r="K59" s="4" t="n">
        <v>5</v>
      </c>
    </row>
    <row r="60">
      <c r="A60" s="2" t="inlineStr">
        <is>
          <t>MF-F05</t>
        </is>
      </c>
      <c r="B60" s="2" t="inlineStr">
        <is>
          <t>Fehlende oder unzulängliche Inspektionssteuerung auf dem Fahrkorbdach</t>
        </is>
      </c>
      <c r="C60" s="2" t="inlineStr">
        <is>
          <t>Sicherheitskomponenten</t>
        </is>
      </c>
      <c r="D60" s="2" t="inlineStr">
        <is>
          <t>F – Fahrkorbdach und Schachtkopf</t>
        </is>
      </c>
      <c r="E60" s="2" t="inlineStr">
        <is>
          <t>MAXIMUM</t>
        </is>
      </c>
      <c r="F60" s="2" t="inlineStr">
        <is>
          <t>Gefährdung durch unbeabsichtigtes Betätigen von Befehlsgebern</t>
        </is>
      </c>
      <c r="G60" s="2" t="inlineStr">
        <is>
          <t>Wartungspersonal</t>
        </is>
      </c>
      <c r="H60" s="2" t="inlineStr">
        <is>
          <t>9.8 Inspektionssteuerung auf dem Fahrkorbdach vorhanden? [Auslöser · Pflicht]
9.8a Inspektionssteuerung gegen unbeabsichtigtes Betätigen geschützt? [Auslöser · bedingt Pflicht]
9.8b Inspektionssteuerung vom Zugang aus gut erreichbar? [Auslöser · bedingt Pflicht]
9.8c Inspektionsgeschwindigkeit max. 0,63 m/s? [Auslöser · bedingt Pflicht]</t>
        </is>
      </c>
      <c r="I60" s="2" t="inlineStr">
        <is>
          <t>DIN EN 81-20 5.12.1.5.1.1; DIN EN 81-20 5.12.1.5.2; TRBS 3121 Anh. 1 Nr. 22 (Inspektionssteuerung und Stoppeinrichtung auf dem Fahrkorbdach)</t>
        </is>
      </c>
      <c r="J60" s="2" t="inlineStr"/>
      <c r="K60" s="2" t="n">
        <v>5</v>
      </c>
    </row>
    <row r="61">
      <c r="A61" s="4" t="inlineStr">
        <is>
          <t>MF-F06</t>
        </is>
      </c>
      <c r="B61" s="4" t="inlineStr">
        <is>
          <t>Fehlender oder unwirksamer Not-Halt auf dem Fahrkorbdach</t>
        </is>
      </c>
      <c r="C61" s="4" t="inlineStr">
        <is>
          <t>Sicherheitskomponenten</t>
        </is>
      </c>
      <c r="D61" s="4" t="inlineStr">
        <is>
          <t>F – Fahrkorbdach und Schachtkopf</t>
        </is>
      </c>
      <c r="E61" s="4" t="inlineStr">
        <is>
          <t>MAXIMUM</t>
        </is>
      </c>
      <c r="F61" s="4" t="inlineStr">
        <is>
          <t>Gefährdung durch unbeabsichtigtes Betätigen von Befehlsgebern</t>
        </is>
      </c>
      <c r="G61" s="4" t="inlineStr">
        <is>
          <t>Wartungspersonal</t>
        </is>
      </c>
      <c r="H61" s="4" t="inlineStr">
        <is>
          <t>9.9 Notbremsschalter (Not-Halt) auf dem Fahrkorbdach vorhanden? [Auslöser · Pflicht]
9.9a Not-Halt vom Zugang aus erreichbar? [Auslöser · bedingt Pflicht]
9.9b Not-Halt wirksam (Funktion geprüft)? [Auslöser · bedingt Pflicht]</t>
        </is>
      </c>
      <c r="I61" s="4" t="inlineStr">
        <is>
          <t>DIN EN 81-20 5.4.8; DIN EN 81-20 5.12.1.11; TRBS 3121 Anh. 1 Nr. 22 (Inspektionssteuerung und Stoppeinrichtung auf dem Fahrkorbdach)</t>
        </is>
      </c>
      <c r="J61" s="4" t="inlineStr"/>
      <c r="K61" s="4" t="n">
        <v>4</v>
      </c>
    </row>
    <row r="62">
      <c r="A62" s="2" t="inlineStr">
        <is>
          <t>MF-F07</t>
        </is>
      </c>
      <c r="B62" s="2" t="inlineStr">
        <is>
          <t>Nicht tragfähiges Fahrkorbdach oder unüberwachte Dachklappe</t>
        </is>
      </c>
      <c r="C62" s="2" t="inlineStr">
        <is>
          <t>Fahrkorbdach und Schachtkopf</t>
        </is>
      </c>
      <c r="D62" s="2" t="inlineStr">
        <is>
          <t>F – Fahrkorbdach und Schachtkopf</t>
        </is>
      </c>
      <c r="E62" s="2" t="inlineStr">
        <is>
          <t>MAXIMUM</t>
        </is>
      </c>
      <c r="F62" s="2" t="inlineStr">
        <is>
          <t>Mechanische Gefährdung durch Absturz in den Schacht</t>
        </is>
      </c>
      <c r="G62" s="2" t="inlineStr">
        <is>
          <t>Wartungspersonal</t>
        </is>
      </c>
      <c r="H62" s="2" t="inlineStr">
        <is>
          <t>9.10 Fahrkorbdach tragfähig (200 kg auf 0,30 m × 0,30 m)? [Auslöser · Pflicht]
9.11 Klappe / Notausstieg im Fahrkorbdach vorhanden? [Auslöser · Pflicht]
9.11a Klappe elektrisch überwacht (Sicherheitskreis)? [Auslöser · bedingt Pflicht]
1.28 Regelwerk bei Inverkehrbringen / letzter Modernisierung [Dokumentation]</t>
        </is>
      </c>
      <c r="I62" s="2" t="inlineStr">
        <is>
          <t>DIN EN 81-20 5.4.7.1; DIN EN 81-20 5.4.6.2</t>
        </is>
      </c>
      <c r="J62" s="2" t="inlineStr"/>
      <c r="K62" s="2" t="n">
        <v>3</v>
      </c>
    </row>
    <row r="63">
      <c r="A63" s="4" t="inlineStr">
        <is>
          <t>MF-F08</t>
        </is>
      </c>
      <c r="B63" s="4" t="inlineStr">
        <is>
          <t>Fehlende Notbeleuchtung auf dem Fahrkorbdach</t>
        </is>
      </c>
      <c r="C63" s="4" t="inlineStr">
        <is>
          <t>Beleuchtung</t>
        </is>
      </c>
      <c r="D63" s="4" t="inlineStr">
        <is>
          <t>F – Fahrkorbdach und Schachtkopf</t>
        </is>
      </c>
      <c r="E63" s="4" t="inlineStr">
        <is>
          <t>NONE</t>
        </is>
      </c>
      <c r="F63" s="4" t="inlineStr">
        <is>
          <t>Gefährdung durch Arbeitsumgebungsbedingungen (unzureichende Beleuchtung)</t>
        </is>
      </c>
      <c r="G63" s="4" t="inlineStr">
        <is>
          <t>Wartungspersonal</t>
        </is>
      </c>
      <c r="H63" s="4" t="inlineStr">
        <is>
          <t>9.12 Notbeleuchtung auf dem Fahrkorbdach (mind. 5 Lux, 1 h) vorhanden? [Auslöser · Pflicht]</t>
        </is>
      </c>
      <c r="I63" s="4" t="inlineStr">
        <is>
          <t>DIN EN 81-20 5.4.10.4</t>
        </is>
      </c>
      <c r="J63" s="4" t="inlineStr">
        <is>
          <t>K-F04</t>
        </is>
      </c>
      <c r="K63" s="4" t="n">
        <v>2</v>
      </c>
    </row>
    <row r="64">
      <c r="A64" s="2" t="inlineStr">
        <is>
          <t>MF-F09</t>
        </is>
      </c>
      <c r="B64" s="2" t="inlineStr">
        <is>
          <t>Fehlender Notruf auf dem Fahrkorbdach</t>
        </is>
      </c>
      <c r="C64" s="2" t="inlineStr">
        <is>
          <t>Notruf und Personenbefreiung</t>
        </is>
      </c>
      <c r="D64" s="2" t="inlineStr">
        <is>
          <t>F – Fahrkorbdach und Schachtkopf</t>
        </is>
      </c>
      <c r="E64" s="2" t="inlineStr">
        <is>
          <t>NONE</t>
        </is>
      </c>
      <c r="F64" s="2" t="inlineStr">
        <is>
          <t>Sonstige Gefährdung durch fehlende oder unzureichende Notfallorganisation</t>
        </is>
      </c>
      <c r="G64" s="2" t="inlineStr">
        <is>
          <t>Wartungspersonal</t>
        </is>
      </c>
      <c r="H64" s="2" t="inlineStr">
        <is>
          <t>9.13 Eindeutig erkennbarer Auslöser für den (Fern-)Notruf auf dem Fahrkorbdach vorhanden? [Auslöser · Pflicht]</t>
        </is>
      </c>
      <c r="I64" s="2" t="inlineStr">
        <is>
          <t>DIN EN 81-20 5.12.3.2</t>
        </is>
      </c>
      <c r="J64" s="2" t="inlineStr"/>
      <c r="K64" s="2" t="n">
        <v>2</v>
      </c>
    </row>
    <row r="65">
      <c r="A65" s="4" t="inlineStr">
        <is>
          <t>MF-S01</t>
        </is>
      </c>
      <c r="B65" s="4" t="inlineStr">
        <is>
          <t>Unzureichende Schachtbeleuchtung</t>
        </is>
      </c>
      <c r="C65" s="4" t="inlineStr">
        <is>
          <t>Beleuchtung</t>
        </is>
      </c>
      <c r="D65" s="4" t="inlineStr">
        <is>
          <t>S – Schacht</t>
        </is>
      </c>
      <c r="E65" s="4" t="inlineStr">
        <is>
          <t>MAXIMUM</t>
        </is>
      </c>
      <c r="F65" s="4" t="inlineStr">
        <is>
          <t>Gefährdung durch Arbeitsumgebungsbedingungen (unzureichende Beleuchtung)</t>
        </is>
      </c>
      <c r="G65" s="4" t="inlineStr">
        <is>
          <t>Wartungspersonal</t>
        </is>
      </c>
      <c r="H65" s="4" t="inlineStr">
        <is>
          <t>10.1 Schachtbeleuchtung vorhanden? [Auslöser · Pflicht]
10.1a Schachtbeleuchtung ausreichend (mind. 50 Lux 1 m über dem Fahrkorbdach, mind. 20 Lux im übrigen Schacht)? [Auslöser · bedingt Pflicht]
10.1c Falls nicht ausreichend: erfüllt die Schachtbeleuchtung die Anforderungen des Errichtungs-Regelwerks (TRA 200 bzw. DIN EN 81-1/-2)? [Kompensation · bedingt Pflicht]
10.1b Leuchten im Schacht mit Splitterschutz und an geeigneter Stelle? [Auslöser · bedingt Pflicht]</t>
        </is>
      </c>
      <c r="I65" s="4" t="inlineStr">
        <is>
          <t>DIN EN 81-20 5.2.1.4.1; TRBS 3121 Anh. 1 Nr. 8 (Schachtbeleuchtung)</t>
        </is>
      </c>
      <c r="J65" s="4" t="inlineStr"/>
      <c r="K65" s="4" t="n">
        <v>5</v>
      </c>
    </row>
    <row r="66">
      <c r="A66" s="2" t="inlineStr">
        <is>
          <t>MF-S02</t>
        </is>
      </c>
      <c r="B66" s="2" t="inlineStr">
        <is>
          <t>Unzureichende Beleuchtung an den Schachtzugängen</t>
        </is>
      </c>
      <c r="C66" s="2" t="inlineStr">
        <is>
          <t>Beleuchtung</t>
        </is>
      </c>
      <c r="D66" s="2" t="inlineStr">
        <is>
          <t>S – Schacht</t>
        </is>
      </c>
      <c r="E66" s="2" t="inlineStr">
        <is>
          <t>NONE</t>
        </is>
      </c>
      <c r="F66" s="2" t="inlineStr">
        <is>
          <t>Gefährdung durch Arbeitsumgebungsbedingungen (unzureichende Beleuchtung)</t>
        </is>
      </c>
      <c r="G66" s="2" t="inlineStr">
        <is>
          <t>Nutzer</t>
        </is>
      </c>
      <c r="H66" s="2" t="inlineStr">
        <is>
          <t>10.2 Beleuchtung an den Schachtzugängen (Haltestellen) mind. 50 lx? [Auslöser · Pflicht]</t>
        </is>
      </c>
      <c r="I66" s="2" t="inlineStr">
        <is>
          <t>DIN EN 81-20 5.3.7.1</t>
        </is>
      </c>
      <c r="J66" s="2" t="inlineStr"/>
      <c r="K66" s="2" t="n">
        <v>2</v>
      </c>
    </row>
    <row r="67">
      <c r="A67" s="4" t="inlineStr">
        <is>
          <t>MF-S03</t>
        </is>
      </c>
      <c r="B67" s="4" t="inlineStr">
        <is>
          <t>Unzureichende Schachtumwehrung oder Schachtwände</t>
        </is>
      </c>
      <c r="C67" s="4" t="inlineStr">
        <is>
          <t>Schacht und Gegengewicht</t>
        </is>
      </c>
      <c r="D67" s="4" t="inlineStr">
        <is>
          <t>S – Schacht</t>
        </is>
      </c>
      <c r="E67" s="4" t="inlineStr">
        <is>
          <t>MAXIMUM</t>
        </is>
      </c>
      <c r="F67" s="4" t="inlineStr">
        <is>
          <t>Mechanische Gefährdung durch Absturz in den Schacht</t>
        </is>
      </c>
      <c r="G67" s="4" t="inlineStr">
        <is>
          <t>Nutzer, Wartungspersonal</t>
        </is>
      </c>
      <c r="H67" s="4" t="inlineStr">
        <is>
          <t>10.3 Schacht vollständig umwehrt (Wände, Decke, Boden)? [Auslöser · Pflicht]
10.3a Teilumwehrung nach EN 81-20 5.2.5.2.3 zulässig ausgeführt (Höhen, Abstände)? [Kompensation · bedingt Pflicht]
10.4 Schachtwände ausreichend fest (100 kg auf 0,30 m × 0,30 m, keine Durchbrüche)? [Auslöser · Pflicht]
10.5 Nachweis Verbundsicherheitsglas für die Schachtverglasung vorhanden? [Auslöser · bedingt Pflicht]
4.2 Schacht oder Schachtgerüst mit Glas? [optional]</t>
        </is>
      </c>
      <c r="I67" s="4" t="inlineStr">
        <is>
          <t>DIN EN 81-20 5.2.5; DIN EN 81-20 5.2.5.2.3</t>
        </is>
      </c>
      <c r="J67" s="4" t="inlineStr">
        <is>
          <t>K-S05</t>
        </is>
      </c>
      <c r="K67" s="4" t="n">
        <v>5</v>
      </c>
    </row>
    <row r="68">
      <c r="A68" s="2" t="inlineStr">
        <is>
          <t>MF-S04</t>
        </is>
      </c>
      <c r="B68" s="2" t="inlineStr">
        <is>
          <t>Führungsschienen nicht aus Stahl</t>
        </is>
      </c>
      <c r="C68" s="2" t="inlineStr">
        <is>
          <t>Schacht und Gegengewicht</t>
        </is>
      </c>
      <c r="D68" s="2" t="inlineStr">
        <is>
          <t>S – Schacht</t>
        </is>
      </c>
      <c r="E68" s="2" t="inlineStr">
        <is>
          <t>NONE</t>
        </is>
      </c>
      <c r="F68" s="2" t="inlineStr">
        <is>
          <t>Mechanische Gefährdung durch Beschleunigung und Abbremsung (kinetische Energie)</t>
        </is>
      </c>
      <c r="G68" s="2" t="inlineStr">
        <is>
          <t>Nutzer</t>
        </is>
      </c>
      <c r="H68" s="2" t="inlineStr">
        <is>
          <t>10.6 Führungsschienen für Fahrkorb und Gegengewicht aus Stahl? [Auslöser · Pflicht]</t>
        </is>
      </c>
      <c r="I68" s="2" t="inlineStr">
        <is>
          <t>DIN EN 81-20 5.7.1</t>
        </is>
      </c>
      <c r="J68" s="2" t="inlineStr"/>
      <c r="K68" s="2" t="n">
        <v>2</v>
      </c>
    </row>
    <row r="69">
      <c r="A69" s="4" t="inlineStr">
        <is>
          <t>MF-S05</t>
        </is>
      </c>
      <c r="B69" s="4" t="inlineStr">
        <is>
          <t>Fehlende oder ungeprüfte Fangvorrichtung, Geschwindigkeitsbegrenzer oder Schlaffseilsicherung</t>
        </is>
      </c>
      <c r="C69" s="4" t="inlineStr">
        <is>
          <t>Sicherheitskomponenten</t>
        </is>
      </c>
      <c r="D69" s="4" t="inlineStr">
        <is>
          <t>S – Schacht</t>
        </is>
      </c>
      <c r="E69" s="4" t="inlineStr">
        <is>
          <t>MAXIMUM</t>
        </is>
      </c>
      <c r="F69" s="4" t="inlineStr">
        <is>
          <t>Mechanische Gefährdung durch Beschleunigung und Abbremsung (kinetische Energie)</t>
        </is>
      </c>
      <c r="G69" s="4" t="inlineStr">
        <is>
          <t>Nutzer</t>
        </is>
      </c>
      <c r="H69" s="4" t="inlineStr">
        <is>
          <t>3.1 Aufzugsart [Filter]
10.7 Fangvorrichtung am Fahrkorb vorhanden? [Auslöser · Pflicht]
10.8 Geschwindigkeitsbegrenzer vorhanden? [Auslöser · Pflicht]
10.9 Prüfung von Fangvorrichtung und Begrenzer dokumentiert? [Auslöser · bedingt Pflicht]
10.10 Spanngewicht des Begrenzerseils mit Schlaffseilschalter? [Auslöser · bedingt Pflicht]
10.8a Fangvorrichtung durch Bruch der Tragmittel oder durch ein Sicherheitsseil ausgelöst, in Verbindung mit Leitungsbruchventil oder Drossel? [Kompensation · bedingt Pflicht]
10.11 Schlaffseil-/Schlaffkettensicherung vorhanden? [Auslöser · bedingt Pflicht]</t>
        </is>
      </c>
      <c r="I69" s="4" t="inlineStr">
        <is>
          <t>DIN EN 81-20 5.6.2; DIN EN 81-20 5.6.2.2.1.6; DIN EN 81-20 5.5.5.3; TRBS 3121 Anh. 1 Nr. 16 (UCM und Aufwärts-Übergeschwindigkeit bei Seilaufzügen)</t>
        </is>
      </c>
      <c r="J69" s="4" t="inlineStr"/>
      <c r="K69" s="4" t="n">
        <v>7</v>
      </c>
    </row>
    <row r="70">
      <c r="A70" s="2" t="inlineStr">
        <is>
          <t>MF-S06</t>
        </is>
      </c>
      <c r="B70" s="2" t="inlineStr">
        <is>
          <t>Aufzugsfremde Einrichtungen im Schacht</t>
        </is>
      </c>
      <c r="C70" s="2" t="inlineStr">
        <is>
          <t>Schacht und Gegengewicht</t>
        </is>
      </c>
      <c r="D70" s="2" t="inlineStr">
        <is>
          <t>S – Schacht</t>
        </is>
      </c>
      <c r="E70" s="2" t="inlineStr">
        <is>
          <t>NONE</t>
        </is>
      </c>
      <c r="F70" s="2" t="inlineStr">
        <is>
          <t>Mechanische Gefährdung durch Stolpern, Rutschen, Stürzen</t>
        </is>
      </c>
      <c r="G70" s="2" t="inlineStr">
        <is>
          <t>Wartungspersonal</t>
        </is>
      </c>
      <c r="H70" s="2" t="inlineStr">
        <is>
          <t>10.12 Schacht frei von aufzugsfremden Einrichtungen? [Auslöser · Pflicht]
10.12a Aufzugsfremde Leitungen fachgerecht verlegt und gekennzeichnet? [Kompensation · bedingt Pflicht]
10.12b Behindern aufzugsfremde Einrichtungen Arbeiten oder Rettungswege im Schacht? [Auslöser · bedingt Pflicht]</t>
        </is>
      </c>
      <c r="I70" s="2" t="inlineStr">
        <is>
          <t>DIN EN 81-20 5.2.1.2</t>
        </is>
      </c>
      <c r="J70" s="2" t="inlineStr">
        <is>
          <t>K-S03</t>
        </is>
      </c>
      <c r="K70" s="2" t="n">
        <v>4</v>
      </c>
    </row>
    <row r="71">
      <c r="A71" s="4" t="inlineStr">
        <is>
          <t>MF-S07</t>
        </is>
      </c>
      <c r="B71" s="4" t="inlineStr">
        <is>
          <t>Zugänge zum Schacht und zugehörige Schalteinrichtungen nicht frei und sicher begehbar</t>
        </is>
      </c>
      <c r="C71" s="4" t="inlineStr">
        <is>
          <t>Zugang und Verkehrswege</t>
        </is>
      </c>
      <c r="D71" s="4" t="inlineStr">
        <is>
          <t>S – Schacht</t>
        </is>
      </c>
      <c r="E71" s="4" t="inlineStr">
        <is>
          <t>NONE</t>
        </is>
      </c>
      <c r="F71" s="4" t="inlineStr">
        <is>
          <t>Mechanische Gefährdung durch Stolpern, Rutschen, Stürzen</t>
        </is>
      </c>
      <c r="G71" s="4" t="inlineStr">
        <is>
          <t>Beauftragte Person, Wartungspersonal</t>
        </is>
      </c>
      <c r="H71" s="4" t="inlineStr">
        <is>
          <t>10.13 Zugänge zum Schacht (Schachttüren, Inspektionstüren) frei und sicher erreichbar (nicht zugestellt, nicht verbaut)? [Auslöser · Pflicht]
10.13a Elektrische Sicherheitseinrichtungen der Schacht- und Inspektionstüren vorhanden und wirksam (Türkontakt im Sicherheitskreis)? [Auslöser · Pflicht]</t>
        </is>
      </c>
      <c r="I71" s="4" t="inlineStr">
        <is>
          <t>DIN EN 81-20 5.2.2.1</t>
        </is>
      </c>
      <c r="J71" s="4" t="inlineStr"/>
      <c r="K71" s="4" t="n">
        <v>3</v>
      </c>
    </row>
    <row r="72">
      <c r="A72" s="2" t="inlineStr">
        <is>
          <t>MF-G01</t>
        </is>
      </c>
      <c r="B72" s="2" t="inlineStr">
        <is>
          <t>Unzureichende Beleuchtung in der Schachtgrube</t>
        </is>
      </c>
      <c r="C72" s="2" t="inlineStr">
        <is>
          <t>Beleuchtung</t>
        </is>
      </c>
      <c r="D72" s="2" t="inlineStr">
        <is>
          <t>G – Schachtgrube</t>
        </is>
      </c>
      <c r="E72" s="2" t="inlineStr">
        <is>
          <t>MAXIMUM</t>
        </is>
      </c>
      <c r="F72" s="2" t="inlineStr">
        <is>
          <t>Gefährdung durch Arbeitsumgebungsbedingungen (unzureichende Beleuchtung)</t>
        </is>
      </c>
      <c r="G72" s="2" t="inlineStr">
        <is>
          <t>Wartungspersonal</t>
        </is>
      </c>
      <c r="H72" s="2" t="inlineStr">
        <is>
          <t>11.2 Beleuchtung in der Schachtgrube vorhanden? [Auslöser · Pflicht]
11.2a Grubenbeleuchtung ausreichend (mind. 50 Lux), Leuchten geeignet angeordnet? [Auslöser · bedingt Pflicht]</t>
        </is>
      </c>
      <c r="I72" s="2" t="inlineStr">
        <is>
          <t>DIN EN 81-20 5.2.1.4.1; TRBS 3121 Anh. 1 Nr. 8 (Schachtbeleuchtung)</t>
        </is>
      </c>
      <c r="J72" s="2" t="inlineStr"/>
      <c r="K72" s="2" t="n">
        <v>3</v>
      </c>
    </row>
    <row r="73">
      <c r="A73" s="4" t="inlineStr">
        <is>
          <t>MF-G02</t>
        </is>
      </c>
      <c r="B73" s="4" t="inlineStr">
        <is>
          <t>Unzureichender Schutzraum in der Schachtgrube</t>
        </is>
      </c>
      <c r="C73" s="4" t="inlineStr">
        <is>
          <t>Schachtgrube</t>
        </is>
      </c>
      <c r="D73" s="4" t="inlineStr">
        <is>
          <t>G – Schachtgrube</t>
        </is>
      </c>
      <c r="E73" s="4" t="inlineStr">
        <is>
          <t>NONE</t>
        </is>
      </c>
      <c r="F73" s="4" t="inlineStr">
        <is>
          <t>Mechanische Gefährdung durch Quetschen zwischen Fahrkorb und Schacht</t>
        </is>
      </c>
      <c r="G73" s="4" t="inlineStr">
        <is>
          <t>Wartungspersonal</t>
        </is>
      </c>
      <c r="H73" s="4" t="inlineStr">
        <is>
          <t>11.3 Schutzraum in der Schachtgrube [Auslöser · Pflicht]</t>
        </is>
      </c>
      <c r="I73" s="4" t="inlineStr">
        <is>
          <t>DIN EN 81-20 5.2.5.8; TRBS 3121 Anh. 1 Nr. 5 (Schutzräume in Grube und Schachtkopf)</t>
        </is>
      </c>
      <c r="J73" s="4" t="inlineStr">
        <is>
          <t>K-F03, K-F05</t>
        </is>
      </c>
      <c r="K73" s="4" t="n">
        <v>4</v>
      </c>
    </row>
    <row r="74">
      <c r="A74" s="2" t="inlineStr">
        <is>
          <t>MF-G03</t>
        </is>
      </c>
      <c r="B74" s="2" t="inlineStr">
        <is>
          <t>Fehlender Not-Halt oder fehlende Inspektionssteuerung in der Schachtgrube</t>
        </is>
      </c>
      <c r="C74" s="2" t="inlineStr">
        <is>
          <t>Sicherheitskomponenten</t>
        </is>
      </c>
      <c r="D74" s="2" t="inlineStr">
        <is>
          <t>G – Schachtgrube</t>
        </is>
      </c>
      <c r="E74" s="2" t="inlineStr">
        <is>
          <t>MAXIMUM</t>
        </is>
      </c>
      <c r="F74" s="2" t="inlineStr">
        <is>
          <t>Gefährdung durch unbeabsichtigtes Betätigen von Befehlsgebern</t>
        </is>
      </c>
      <c r="G74" s="2" t="inlineStr">
        <is>
          <t>Wartungspersonal</t>
        </is>
      </c>
      <c r="H74" s="2" t="inlineStr">
        <is>
          <t>11.4 Notbremsschalter in der Schachtgrube vorhanden? [Auslöser · Pflicht]
11.4a Notbremsschalter von der Schachttür aus erreichbar? [Auslöser · bedingt Pflicht]
11.4b Bei Grubentiefe über 1,60 m: zweiter Notbremsschalter am Grubenboden vorhanden? [Auslöser · bedingt Pflicht]
11.5 Inspektionssteuerung in der Schachtgrube vorhanden? [Auslöser · Pflicht]
11.1 Schachtgrubentiefe über 1,60 m? [Modifier]</t>
        </is>
      </c>
      <c r="I74" s="2" t="inlineStr">
        <is>
          <t>DIN EN 81-20 5.2.1.5.1; DIN EN 81-20 5.12.1.5.1.1; TRBS 3121 Anh. 1 Nr. 7 (Stoppeinrichtungen in Grube und Rollenraum)</t>
        </is>
      </c>
      <c r="J74" s="2" t="inlineStr">
        <is>
          <t>K-S01</t>
        </is>
      </c>
      <c r="K74" s="2" t="n">
        <v>5</v>
      </c>
    </row>
    <row r="75">
      <c r="A75" s="4" t="inlineStr">
        <is>
          <t>MF-G04</t>
        </is>
      </c>
      <c r="B75" s="4" t="inlineStr">
        <is>
          <t>Unsicherer Zugang zur Schachtgrube (Leiter, Grubenzugangstür)</t>
        </is>
      </c>
      <c r="C75" s="4" t="inlineStr">
        <is>
          <t>Zugang und Verkehrswege</t>
        </is>
      </c>
      <c r="D75" s="4" t="inlineStr">
        <is>
          <t>G – Schachtgrube</t>
        </is>
      </c>
      <c r="E75" s="4" t="inlineStr">
        <is>
          <t>MAXIMUM</t>
        </is>
      </c>
      <c r="F75" s="4" t="inlineStr">
        <is>
          <t>Mechanische Gefährdung durch Absturz</t>
        </is>
      </c>
      <c r="G75" s="4" t="inlineStr">
        <is>
          <t>Wartungspersonal, Beauftragte Person</t>
        </is>
      </c>
      <c r="H75" s="4" t="inlineStr">
        <is>
          <t>11.7 Zugang zur Grube über eine separate Grubenzugangstür (ebenerdig, ohne Abstieg über eine Leiter)? [Auslöser · Pflicht]
11.6 Grubenleiter [Auslöser · bedingt Pflicht]
11.7a Elektrische Sicherheitseinrichtung an der Grubenzugangstür? [Auslöser · bedingt Pflicht]</t>
        </is>
      </c>
      <c r="I75" s="4" t="inlineStr">
        <is>
          <t>DIN EN 81-20 5.2.2.4; DIN EN 81-20 5.2.3.3; TRBS 3121 Anh. 1 Nr. 6 (Zugang zur Schachtgrube)</t>
        </is>
      </c>
      <c r="J75" s="4" t="inlineStr">
        <is>
          <t>K-S02</t>
        </is>
      </c>
      <c r="K75" s="4" t="n">
        <v>7</v>
      </c>
    </row>
    <row r="76">
      <c r="A76" s="2" t="inlineStr">
        <is>
          <t>MF-G05</t>
        </is>
      </c>
      <c r="B76" s="2" t="inlineStr">
        <is>
          <t>Keine Selbstbefreiung aus der Schachtgrube und kein Notruf in der Grube</t>
        </is>
      </c>
      <c r="C76" s="2" t="inlineStr">
        <is>
          <t>Notruf und Personenbefreiung</t>
        </is>
      </c>
      <c r="D76" s="2" t="inlineStr">
        <is>
          <t>G – Schachtgrube</t>
        </is>
      </c>
      <c r="E76" s="2" t="inlineStr">
        <is>
          <t>NONE</t>
        </is>
      </c>
      <c r="F76" s="2" t="inlineStr">
        <is>
          <t>Sonstige Gefährdung durch fehlende oder unzureichende Notfallorganisation</t>
        </is>
      </c>
      <c r="G76" s="2" t="inlineStr">
        <is>
          <t>Wartungspersonal</t>
        </is>
      </c>
      <c r="H76" s="2" t="inlineStr">
        <is>
          <t>11.8 Selbstbefreiung aus der Grube über die Schachttür möglich (Verschluss innerhalb 1,80 m Höhe / 0,80 m horizontal)? [Auslöser · Pflicht]
11.9 Notrufeinrichtung in der Schachtgrube vorhanden? [Auslöser · Pflicht]</t>
        </is>
      </c>
      <c r="I76" s="2" t="inlineStr">
        <is>
          <t>DIN EN 81-20 5.3.9.3.5; DIN EN 81-20 5.12.3.2</t>
        </is>
      </c>
      <c r="J76" s="2" t="inlineStr"/>
      <c r="K76" s="2" t="n">
        <v>4</v>
      </c>
    </row>
    <row r="77">
      <c r="A77" s="4" t="inlineStr">
        <is>
          <t>MF-G06</t>
        </is>
      </c>
      <c r="B77" s="4" t="inlineStr">
        <is>
          <t>Fehlende, beschädigte oder ungeeignete Puffer</t>
        </is>
      </c>
      <c r="C77" s="4" t="inlineStr">
        <is>
          <t>Schachtgrube</t>
        </is>
      </c>
      <c r="D77" s="4" t="inlineStr">
        <is>
          <t>G – Schachtgrube</t>
        </is>
      </c>
      <c r="E77" s="4" t="inlineStr">
        <is>
          <t>MAXIMUM</t>
        </is>
      </c>
      <c r="F77" s="4" t="inlineStr">
        <is>
          <t>Mechanische Gefährdung durch Stoß (fehlende Endbegrenzung, Aufprall)</t>
        </is>
      </c>
      <c r="G77" s="4" t="inlineStr">
        <is>
          <t>Nutzer, Wartungspersonal</t>
        </is>
      </c>
      <c r="H77" s="4" t="inlineStr">
        <is>
          <t>11.10 Puffer für Fahrkorb und Gegengewicht vorhanden? [Auslöser · Pflicht]
11.10a Zustand der Puffer [Auslöser · bedingt Pflicht]
11.10b Bauart der Puffer [Auslöser · bedingt Pflicht]
11.10c Ölstand hydraulischer Puffer prüfbar (Schauglas, Peilstab oder gleichwertig)? [Auslöser · bedingt Pflicht]
11.10d Hydraulische Puffer gekennzeichnet (Typ, Füllmenge bzw. Ölsorte, zulässiger Ölstand)? [Auslöser · bedingt Pflicht]
3.1a Nenngeschwindigkeit [m/s] [Modifier · Pflicht]</t>
        </is>
      </c>
      <c r="I77" s="4" t="inlineStr">
        <is>
          <t>DIN EN 81-20 5.8.1.1; DIN EN 81-20 5.8.2.1; TRBS 3121 Anh. 1 Nr. 18 (Puffer in den Endlagen)</t>
        </is>
      </c>
      <c r="J77" s="4" t="inlineStr">
        <is>
          <t>K-S04</t>
        </is>
      </c>
      <c r="K77" s="4" t="n">
        <v>7</v>
      </c>
    </row>
    <row r="78">
      <c r="A78" s="2" t="inlineStr">
        <is>
          <t>MF-G07</t>
        </is>
      </c>
      <c r="B78" s="2" t="inlineStr">
        <is>
          <t>Fehlende oder unzulängliche Abtrennung und Sicherung des Gegengewichts</t>
        </is>
      </c>
      <c r="C78" s="2" t="inlineStr">
        <is>
          <t>Schacht und Gegengewicht</t>
        </is>
      </c>
      <c r="D78" s="2" t="inlineStr">
        <is>
          <t>G – Schachtgrube</t>
        </is>
      </c>
      <c r="E78" s="2" t="inlineStr">
        <is>
          <t>MAXIMUM</t>
        </is>
      </c>
      <c r="F78" s="2" t="inlineStr">
        <is>
          <t>Mechanische Gefährdung durch bewegte Teile (Quetschen, Scheren, Einziehen)</t>
        </is>
      </c>
      <c r="G78" s="2" t="inlineStr">
        <is>
          <t>Wartungspersonal</t>
        </is>
      </c>
      <c r="H78" s="2" t="inlineStr">
        <is>
          <t>3.1 Aufzugsart [Filter]
3.1b Gegengewicht oder Ausgleichsgewicht vorhanden? [Filter]
11.11 Abtrennung der Gegengewichtsfahrbahn in der Grube [Auslöser · Pflicht]
11.12 Gegengewichtsfüllung gegen Herausfallen gesichert (Rahmen)? [Auslöser · Pflicht]
11.13 Fangvorrichtung am Gegengewicht (oder durchgehendes Fundament) bei betretbarem Raum unter der Grube? [Auslöser · bedingt Pflicht]
4.8a Betretbarer Raum unterhalb der Schachtgrube? [Modifier]</t>
        </is>
      </c>
      <c r="I78" s="2" t="inlineStr">
        <is>
          <t>DIN EN 81-20 5.2.5.5.1; DIN EN 81-20 5.2.5.5.2; TRBS 3121 Anh. 1 Nr. 2 (Gegen- und Ausgleichsgewichtsumwehrung)</t>
        </is>
      </c>
      <c r="J78" s="2" t="inlineStr"/>
      <c r="K78" s="2" t="n">
        <v>5</v>
      </c>
    </row>
    <row r="79">
      <c r="A79" s="4" t="inlineStr">
        <is>
          <t>MF-G08</t>
        </is>
      </c>
      <c r="B79" s="4" t="inlineStr">
        <is>
          <t>Fehlende Abtrennung zum Nachbaraufzug in der Schachtgrube</t>
        </is>
      </c>
      <c r="C79" s="4" t="inlineStr">
        <is>
          <t>Schacht und Gegengewicht</t>
        </is>
      </c>
      <c r="D79" s="4" t="inlineStr">
        <is>
          <t>G – Schachtgrube</t>
        </is>
      </c>
      <c r="E79" s="4" t="inlineStr">
        <is>
          <t>NONE</t>
        </is>
      </c>
      <c r="F79" s="4" t="inlineStr">
        <is>
          <t>Mechanische Gefährdung durch bewegte Teile (Quetschen, Scheren, Einziehen)</t>
        </is>
      </c>
      <c r="G79" s="4" t="inlineStr">
        <is>
          <t>Wartungspersonal</t>
        </is>
      </c>
      <c r="H79" s="4" t="inlineStr">
        <is>
          <t>4.8 Mehrere Aufzüge in einem gemeinsamen Schacht? [Filter]
11.14 Abtrennung zum Nachbaraufzug in der Schachtgrube vorhanden? [Auslöser · Pflicht]
11.14a Einrichtung zum automatischen Abschalten des Nachbaraufzugs bei Arbeiten in der Schachtgrube vorhanden? [Kompensation · bedingt Pflicht]
11.14b Automatische Abschaltung in der Funktion geprüft, alle Nachbaranlagen erfasst und Wirkung bei Inspektions- und Rückholbetrieb bestätigt? [Kompensation · bedingt Pflicht]</t>
        </is>
      </c>
      <c r="I79" s="4" t="inlineStr">
        <is>
          <t>DIN EN 81-20 5.2.5.5.2.1; TRBS 3121 Anh. 1 Nr. 3 (Benachbarte Aufzüge in der Schachtgrube)</t>
        </is>
      </c>
      <c r="J79" s="4" t="inlineStr"/>
      <c r="K79" s="4" t="n">
        <v>4</v>
      </c>
    </row>
    <row r="80">
      <c r="A80" s="2" t="inlineStr">
        <is>
          <t>MF-U01</t>
        </is>
      </c>
      <c r="B80" s="2" t="inlineStr">
        <is>
          <t>Asbesthaltige oder andere schädliche Baustoffe im Bereich der Anlage</t>
        </is>
      </c>
      <c r="C80" s="2" t="inlineStr">
        <is>
          <t>Umfeld und Gefahrstoffe</t>
        </is>
      </c>
      <c r="D80" s="2" t="inlineStr">
        <is>
          <t>U – Umfeld, Gebäude und Nutzung</t>
        </is>
      </c>
      <c r="E80" s="2" t="inlineStr">
        <is>
          <t>ANY</t>
        </is>
      </c>
      <c r="F80" s="2" t="inlineStr">
        <is>
          <t>Gefährdung durch Gefahrstoffe und biologische Arbeitsstoffe</t>
        </is>
      </c>
      <c r="G80" s="2" t="inlineStr">
        <is>
          <t>Wartungspersonal, Beauftragte Person, Nutzer</t>
        </is>
      </c>
      <c r="H80" s="2" t="inlineStr">
        <is>
          <t>5.60 Asbesthaltige oder andere schädliche Baustoffe im Zugangsbereich zum Triebwerksraum (Bremsbeläge, Dichtungen, Brandschutzplatten, Isolierungen)? [Auslöser · Pflicht]
5.61 Asbesthaltige oder andere schädliche Baustoffe im Triebwerks-/Maschinenraum (Bremsbeläge, Dichtungen, Brandschutzplatten, Isolierungen)? [Auslöser · bedingt Pflicht]
10.20 Asbesthaltige oder andere schädliche Baustoffe im Schacht / am Fahrkorb (Bremsbeläge, Dichtungen, Brandschutzplatten, Isolierungen)? [Auslöser · Pflicht]
11.20 Asbesthaltige oder andere schädliche Baustoffe in der Schachtgrube (Bremsbeläge, Dichtungen, Brandschutzplatten, Isolierungen)? [Auslöser · Pflicht]
5.60a Zustand des Fundes im Zugangsbereich zum Triebwerksraum [Auslöser · bedingt Pflicht]
5.61a Zustand des Fundes im Triebwerks-/Maschinenraum [Auslöser · bedingt Pflicht]
10.20a Zustand des Fundes im Schacht / am Fahrkorb [Auslöser · bedingt Pflicht]
11.20a Zustand des Fundes in der Schachtgrube [Auslöser · bedingt Pflicht]
15.11 Ist die Asbest-/Schadstoffsituation der Anlage unbekannt (Baujahr vor 1995, keine Unterlagen, keine Beprobung)? [Auslöser · Pflicht]</t>
        </is>
      </c>
      <c r="I80" s="2" t="inlineStr">
        <is>
          <t>GefStoffV § 6; TRGS 519; TRGS 521; TRGS 524</t>
        </is>
      </c>
      <c r="J80" s="2" t="inlineStr">
        <is>
          <t>K-U01</t>
        </is>
      </c>
      <c r="K80" s="2" t="n">
        <v>11</v>
      </c>
    </row>
    <row r="81">
      <c r="A81" s="4" t="inlineStr">
        <is>
          <t>MF-U02</t>
        </is>
      </c>
      <c r="B81" s="4" t="inlineStr">
        <is>
          <t>Erhebliche Verschmutzungen im Bereich der Anlage</t>
        </is>
      </c>
      <c r="C81" s="4" t="inlineStr">
        <is>
          <t>Umfeld und Gefahrstoffe</t>
        </is>
      </c>
      <c r="D81" s="4" t="inlineStr">
        <is>
          <t>U – Umfeld, Gebäude und Nutzung</t>
        </is>
      </c>
      <c r="E81" s="4" t="inlineStr">
        <is>
          <t>ANY</t>
        </is>
      </c>
      <c r="F81" s="4" t="inlineStr">
        <is>
          <t>Gefährdung durch Gefahrstoffe und biologische Arbeitsstoffe</t>
        </is>
      </c>
      <c r="G81" s="4" t="inlineStr">
        <is>
          <t>Wartungspersonal, Beauftragte Person</t>
        </is>
      </c>
      <c r="H81" s="4" t="inlineStr">
        <is>
          <t>5.62 Erhebliche Verschmutzungen (Taubenkot, Unrat, Schimmel, Ablagerungen) im Zugangsbereich zum Triebwerksraum? [Auslöser · Pflicht]
5.63 Erhebliche Verschmutzungen (Taubenkot, Unrat, Schimmel, Ablagerungen) im Triebwerks-/Maschinenraum? [Auslöser · bedingt Pflicht]
10.21 Erhebliche Verschmutzungen (Taubenkot, Unrat, Schimmel, Ablagerungen) im Schacht / am Fahrkorb? [Auslöser · Pflicht]
11.21 Erhebliche Verschmutzungen (Taubenkot, Unrat, Schimmel, Ablagerungen) in der Schachtgrube? [Auslöser · Pflicht]</t>
        </is>
      </c>
      <c r="I81" s="4" t="inlineStr">
        <is>
          <t>BioStoffV</t>
        </is>
      </c>
      <c r="J81" s="4" t="inlineStr">
        <is>
          <t>K-U01</t>
        </is>
      </c>
      <c r="K81" s="4" t="n">
        <v>5</v>
      </c>
    </row>
    <row r="82">
      <c r="A82" s="2" t="inlineStr">
        <is>
          <t>MF-U03</t>
        </is>
      </c>
      <c r="B82" s="2" t="inlineStr">
        <is>
          <t>Lagerung brennbarer oder leicht entzündlicher Stoffe im Bereich der Anlage</t>
        </is>
      </c>
      <c r="C82" s="2" t="inlineStr">
        <is>
          <t>Umfeld und Gefahrstoffe</t>
        </is>
      </c>
      <c r="D82" s="2" t="inlineStr">
        <is>
          <t>U – Umfeld, Gebäude und Nutzung</t>
        </is>
      </c>
      <c r="E82" s="2" t="inlineStr">
        <is>
          <t>ANY</t>
        </is>
      </c>
      <c r="F82" s="2" t="inlineStr">
        <is>
          <t>Brand- und Explosionsgefährdung</t>
        </is>
      </c>
      <c r="G82" s="2" t="inlineStr">
        <is>
          <t>Nutzer, Wartungspersonal, Beauftragte Person</t>
        </is>
      </c>
      <c r="H82" s="2" t="inlineStr">
        <is>
          <t>5.64 Lagerung brennbarer oder leicht entzündlicher Stoffe im Zugangsbereich zum Triebwerksraum? [Auslöser · Pflicht]
5.65 Lagerung brennbarer oder leicht entzündlicher Stoffe im Triebwerks-/Maschinenraum? [Auslöser · bedingt Pflicht]
10.22 Lagerung brennbarer oder leicht entzündlicher Stoffe im Schacht / am Fahrkorb? [Auslöser · Pflicht]
11.22 Lagerung brennbarer oder leicht entzündlicher Stoffe in der Schachtgrube? [Auslöser · Pflicht]</t>
        </is>
      </c>
      <c r="I82" s="2" t="inlineStr">
        <is>
          <t>BetrSichV § 3; TRGS 800</t>
        </is>
      </c>
      <c r="J82" s="2" t="inlineStr">
        <is>
          <t>K-U01</t>
        </is>
      </c>
      <c r="K82" s="2" t="n">
        <v>5</v>
      </c>
    </row>
    <row r="83">
      <c r="A83" s="4" t="inlineStr">
        <is>
          <t>MF-U04</t>
        </is>
      </c>
      <c r="B83" s="4" t="inlineStr">
        <is>
          <t>Chemische oder biologische Gefahrstoffe in unmittelbarer Nähe der Anlage gelagert</t>
        </is>
      </c>
      <c r="C83" s="4" t="inlineStr">
        <is>
          <t>Umfeld und Gefahrstoffe</t>
        </is>
      </c>
      <c r="D83" s="4" t="inlineStr">
        <is>
          <t>U – Umfeld, Gebäude und Nutzung</t>
        </is>
      </c>
      <c r="E83" s="4" t="inlineStr">
        <is>
          <t>MAXIMUM</t>
        </is>
      </c>
      <c r="F83" s="4" t="inlineStr">
        <is>
          <t>Gefährdung durch Gefahrstoffe und biologische Arbeitsstoffe</t>
        </is>
      </c>
      <c r="G83" s="4" t="inlineStr">
        <is>
          <t>Wartungspersonal, Beauftragte Person</t>
        </is>
      </c>
      <c r="H83" s="4" t="inlineStr">
        <is>
          <t>15.28 Chemische Gefahrstoffe in unmittelbarer Nähe der Anlage gelagert? [Auslöser · Pflicht]
15.29 Biologische Arbeitsstoffe (Labor, Klinik, Entsorgung) in unmittelbarer Nähe der Anlage? [Auslöser · Pflicht]</t>
        </is>
      </c>
      <c r="I83" s="4" t="inlineStr">
        <is>
          <t>GefStoffV; BioStoffV</t>
        </is>
      </c>
      <c r="J83" s="4" t="inlineStr">
        <is>
          <t>K-U02</t>
        </is>
      </c>
      <c r="K83" s="4" t="n">
        <v>3</v>
      </c>
    </row>
    <row r="84">
      <c r="A84" s="2" t="inlineStr">
        <is>
          <t>MF-U05</t>
        </is>
      </c>
      <c r="B84" s="2" t="inlineStr">
        <is>
          <t>Transport von Gefahrstoffen mit der Aufzugsanlage</t>
        </is>
      </c>
      <c r="C84" s="2" t="inlineStr">
        <is>
          <t>Umfeld und Gefahrstoffe</t>
        </is>
      </c>
      <c r="D84" s="2" t="inlineStr">
        <is>
          <t>U – Umfeld, Gebäude und Nutzung</t>
        </is>
      </c>
      <c r="E84" s="2" t="inlineStr">
        <is>
          <t>MAXIMUM</t>
        </is>
      </c>
      <c r="F84" s="2" t="inlineStr">
        <is>
          <t>Gefährdung durch Gefahrstoffe und biologische Arbeitsstoffe</t>
        </is>
      </c>
      <c r="G84" s="2" t="inlineStr">
        <is>
          <t>Nutzer, Wartungspersonal</t>
        </is>
      </c>
      <c r="H84" s="2" t="inlineStr">
        <is>
          <t>15.32 Transport chemischer Gefahrstoffe mit dem Aufzug? [Auslöser · Pflicht]
15.33 Transport biologischer Arbeitsstoffe / infektiöser Stoffe mit dem Aufzug? [Auslöser · Pflicht]
15.34 Transport brennbarer oder leicht entzündlicher Stoffe mit dem Aufzug? [Auslöser · Pflicht]
15.35 Transport radioaktiver Stoffe mit dem Aufzug? [Auslöser · Pflicht]
15.32a Transport chemischer Gefahrstoffe verbindlich geregelt und unterwiesen (Behälter, Mengenbegrenzung, Mitfahrverbot Dritter, Verhalten bei Freisetzung)? [Kompensation · bedingt Pflicht]
15.33a Transport biologischer Arbeitsstoffe verbindlich geregelt und unterwiesen (dichte, gekennzeichnete Transportbehälter festgelegt UND Reinigungs-/Desinfektionsverfahren für den Fahrkorb nach Kontamination festgelegt)? [Kompensation · bedingt Pflicht]
15.34a Transport brennbarer oder leicht entzündlicher Stoffe verbindlich geregelt und unterwiesen (Mengenbegrenzung, Behälter, Zündquellenverbot im Fahrkorb, Verhalten bei Freisetzung)? [Kompensation · bedingt Pflicht]
15.35a Strahlenschutzanweisung liegt vor UND erfasst den Transport mit dem Aufzug (Behälter, Begleitung, Verhalten bei Kontamination)? [Kompensation · bedingt Pflicht]</t>
        </is>
      </c>
      <c r="I84" s="2" t="inlineStr">
        <is>
          <t>GefStoffV § 14; StrlSchV; BioStoffV</t>
        </is>
      </c>
      <c r="J84" s="2" t="inlineStr"/>
      <c r="K84" s="2" t="n">
        <v>9</v>
      </c>
    </row>
    <row r="85">
      <c r="A85" s="4" t="inlineStr">
        <is>
          <t>MF-U06</t>
        </is>
      </c>
      <c r="B85" s="4" t="inlineStr">
        <is>
          <t>Explosionsfähiges Gemisch kann durch die Aufzugsanlage gezündet werden</t>
        </is>
      </c>
      <c r="C85" s="4" t="inlineStr">
        <is>
          <t>Umfeld und Gefahrstoffe</t>
        </is>
      </c>
      <c r="D85" s="4" t="inlineStr">
        <is>
          <t>U – Umfeld, Gebäude und Nutzung</t>
        </is>
      </c>
      <c r="E85" s="4" t="inlineStr">
        <is>
          <t>NONE</t>
        </is>
      </c>
      <c r="F85" s="4" t="inlineStr">
        <is>
          <t>Brand- und Explosionsgefährdung</t>
        </is>
      </c>
      <c r="G85" s="4" t="inlineStr">
        <is>
          <t>Nutzer, Wartungspersonal</t>
        </is>
      </c>
      <c r="H85" s="4" t="inlineStr">
        <is>
          <t>15.25 Kann sich im Bereich der Anlage ein explosionsfähiges Gemisch bilden (Gase, Dämpfe, Stäube)? [Auslöser · Pflicht]
15.25a Explosionsschutz für die Aufzugsanlage bewertet und dokumentiert (Explosionsschutzdokument)? [Kompensation · bedingt Pflicht]
15.25b Festgelegte Ex-Schutzmaßnahmen an der Aufzugsanlage umgesetzt und auf Wirksamkeit geprüft (geeignete Betriebsmittel, Prüfung vor Inbetriebnahme/wiederkehrend)? [Kompensation · bedingt Pflicht]</t>
        </is>
      </c>
      <c r="I85" s="4" t="inlineStr">
        <is>
          <t>GefStoffV § 6 Abs. 9; TRBS 2152; TRGS 720</t>
        </is>
      </c>
      <c r="J85" s="4" t="inlineStr">
        <is>
          <t>K-U03</t>
        </is>
      </c>
      <c r="K85" s="4" t="n">
        <v>4</v>
      </c>
    </row>
    <row r="86">
      <c r="A86" s="2" t="inlineStr">
        <is>
          <t>MF-U07</t>
        </is>
      </c>
      <c r="B86" s="2" t="inlineStr">
        <is>
          <t>Umgebungsbedingungen: Temperatur, Feuchtigkeit, Wasser, Korrosion</t>
        </is>
      </c>
      <c r="C86" s="2" t="inlineStr">
        <is>
          <t>Umfeld und Gefahrstoffe</t>
        </is>
      </c>
      <c r="D86" s="2" t="inlineStr">
        <is>
          <t>U – Umfeld, Gebäude und Nutzung</t>
        </is>
      </c>
      <c r="E86" s="2" t="inlineStr">
        <is>
          <t>MAXIMUM</t>
        </is>
      </c>
      <c r="F86" s="2" t="inlineStr">
        <is>
          <t>Gefährdung durch Arbeitsumgebungsbedingungen (Klima, Lärm, Emissionen)</t>
        </is>
      </c>
      <c r="G86" s="2" t="inlineStr">
        <is>
          <t>Wartungspersonal, Nutzer</t>
        </is>
      </c>
      <c r="H86" s="2" t="inlineStr">
        <is>
          <t>15.23 Unzulässige Temperaturen im Triebwerksraum oder Schacht möglich (Überhitzung über 40 °C, Frost)? [Auslöser · Pflicht]
15.23a Feuchtigkeit oder Kondensat an sicherheitsrelevanten Bauteilen außerhalb der Schachtgrube (Steuerung, Bremse, Türverriegelung)? [Auslöser · Pflicht]
15.23b Massive Korrosion, Betonabplatzungen oder andere bauliche Schäden am Schacht oder Triebwerksraum? [Auslöser · Pflicht]
11.15 Wasser oder Feuchtigkeit in der Schachtgrube [Auslöser · Pflicht]
11.16 Öl oder wassergefährdende Stoffe in der Grube ohne Auffangmöglichkeit? [Auslöser · Pflicht]</t>
        </is>
      </c>
      <c r="I86" s="2" t="inlineStr">
        <is>
          <t>DIN EN 81-20 5.2.1.2; DIN EN 81-20 5.2.6.1; TRBS 1201 Teil 4 Anhang 4</t>
        </is>
      </c>
      <c r="J86" s="2" t="inlineStr"/>
      <c r="K86" s="2" t="n">
        <v>7</v>
      </c>
    </row>
    <row r="87">
      <c r="A87" s="4" t="inlineStr">
        <is>
          <t>MF-U08</t>
        </is>
      </c>
      <c r="B87" s="4" t="inlineStr">
        <is>
          <t>Bauliche Änderungen ohne Bewertung, Statik und baulicher Zustand</t>
        </is>
      </c>
      <c r="C87" s="4" t="inlineStr">
        <is>
          <t>Brandschutz und Gebäudeschnittstelle</t>
        </is>
      </c>
      <c r="D87" s="4" t="inlineStr">
        <is>
          <t>U – Umfeld, Gebäude und Nutzung</t>
        </is>
      </c>
      <c r="E87" s="4" t="inlineStr">
        <is>
          <t>MAXIMUM</t>
        </is>
      </c>
      <c r="F87" s="4" t="inlineStr">
        <is>
          <t>Mechanische Gefährdung durch herabfallende oder kippende Lasten</t>
        </is>
      </c>
      <c r="G87" s="4" t="inlineStr">
        <is>
          <t>Nutzer, Wartungspersonal</t>
        </is>
      </c>
      <c r="H87" s="4" t="inlineStr">
        <is>
          <t>15.26 Bauliche Änderungen am Schacht / Triebwerksraum ohne statische und sicherheitstechnische Bewertung? [Auslöser · Pflicht]
15.26a Nachträgliche Verkleidungen oder Änderungen, die den Sicherheitszustand verschlechtern (Schutzräume, Lüftung, Zugänge)? [Auslöser · Pflicht]</t>
        </is>
      </c>
      <c r="I87" s="4" t="inlineStr">
        <is>
          <t>TRBS 1201 Teil 4 Anhang 4; TRBS 3121 Anhang 4</t>
        </is>
      </c>
      <c r="J87" s="4" t="inlineStr"/>
      <c r="K87" s="4" t="n">
        <v>3</v>
      </c>
    </row>
    <row r="88">
      <c r="A88" s="2" t="inlineStr">
        <is>
          <t>MF-U09</t>
        </is>
      </c>
      <c r="B88" s="2" t="inlineStr">
        <is>
          <t>Brandmeldeanlage, Brandfall- und Evakuierungssteuerung nicht abgestimmt; Brandschutzeinrichtung behindert Betrieb oder Rettung</t>
        </is>
      </c>
      <c r="C88" s="2" t="inlineStr">
        <is>
          <t>Brandschutz und Gebäudeschnittstelle</t>
        </is>
      </c>
      <c r="D88" s="2" t="inlineStr">
        <is>
          <t>U – Umfeld, Gebäude und Nutzung</t>
        </is>
      </c>
      <c r="E88" s="2" t="inlineStr">
        <is>
          <t>MAXIMUM</t>
        </is>
      </c>
      <c r="F88" s="2" t="inlineStr">
        <is>
          <t>Brand- und Explosionsgefährdung</t>
        </is>
      </c>
      <c r="G88" s="2" t="inlineStr">
        <is>
          <t>Nutzer, Feuerwehr</t>
        </is>
      </c>
      <c r="H88" s="2" t="inlineStr">
        <is>
          <t>15.8 Brandmeldeanlage (BMA) im Gebäude vorhanden? [Filter]
15.8a Schnittstelle Brandmeldeanlage – Aufzug bekannt und abgestimmt (Brandfallsteuerung, Rückholung, Evakuierung)? [Auslöser · bedingt Pflicht]
15.8b Funktion der Schnittstelle BMA – Aufzug geprüft (Nachweis)? [Auslöser · bedingt Pflicht]
15.8c Evakuierungs-/Sonderfunktion des Aufzugs im Brandschutzkonzept und in der Betriebsanweisung beschrieben (wer den Aufzug im Brandfall wie benutzen darf)? [Auslöser · bedingt Pflicht]
15.8d Behindert eine Brandschutzeinrichtung (Brandschutztür, Abschottung) den Aufzugsbetrieb oder die Personenrettung? [Auslöser · Pflicht]</t>
        </is>
      </c>
      <c r="I88" s="2" t="inlineStr">
        <is>
          <t>TRBS 1201 Teil 4 Anhang 4; TRBS 3121 Anhang 4; DIN EN 81-73</t>
        </is>
      </c>
      <c r="J88" s="2" t="inlineStr"/>
      <c r="K88" s="2" t="n">
        <v>6</v>
      </c>
    </row>
    <row r="89">
      <c r="A89" s="4" t="inlineStr">
        <is>
          <t>MF-U10</t>
        </is>
      </c>
      <c r="B89" s="4" t="inlineStr">
        <is>
          <t>Schachtentrauchung, Lüftung und RWA unklar oder verändert</t>
        </is>
      </c>
      <c r="C89" s="4" t="inlineStr">
        <is>
          <t>Brandschutz und Gebäudeschnittstelle</t>
        </is>
      </c>
      <c r="D89" s="4" t="inlineStr">
        <is>
          <t>U – Umfeld, Gebäude und Nutzung</t>
        </is>
      </c>
      <c r="E89" s="4" t="inlineStr">
        <is>
          <t>NONE</t>
        </is>
      </c>
      <c r="F89" s="4" t="inlineStr">
        <is>
          <t>Brand- und Explosionsgefährdung</t>
        </is>
      </c>
      <c r="G89" s="4" t="inlineStr">
        <is>
          <t>Nutzer, Feuerwehr</t>
        </is>
      </c>
      <c r="H89" s="4" t="inlineStr">
        <is>
          <t>15.9 Schachtentrauchung / RWA / Lüftungsöffnung im Schachtkopf vorhanden? [Filter]
15.9a Zustand der Schachtentrauchung / RWA / Lüftungsöffnung [Auslöser · Pflicht]</t>
        </is>
      </c>
      <c r="I89" s="4" t="inlineStr">
        <is>
          <t>TRBS 1201 Teil 4 Anhang 4; Landesbauordnung</t>
        </is>
      </c>
      <c r="J89" s="4" t="inlineStr"/>
      <c r="K89" s="4" t="n">
        <v>3</v>
      </c>
    </row>
    <row r="90">
      <c r="A90" s="2" t="inlineStr">
        <is>
          <t>MF-U11</t>
        </is>
      </c>
      <c r="B90" s="2" t="inlineStr">
        <is>
          <t>Löschanlage / Sprinkler ohne Bewertung der Wechselwirkung mit dem Aufzug</t>
        </is>
      </c>
      <c r="C90" s="2" t="inlineStr">
        <is>
          <t>Brandschutz und Gebäudeschnittstelle</t>
        </is>
      </c>
      <c r="D90" s="2" t="inlineStr">
        <is>
          <t>U – Umfeld, Gebäude und Nutzung</t>
        </is>
      </c>
      <c r="E90" s="2" t="inlineStr">
        <is>
          <t>NONE</t>
        </is>
      </c>
      <c r="F90" s="2" t="inlineStr">
        <is>
          <t>Elektrische Gefährdung durch Berühren spannungsführender Teile</t>
        </is>
      </c>
      <c r="G90" s="2" t="inlineStr">
        <is>
          <t>Nutzer, Feuerwehr</t>
        </is>
      </c>
      <c r="H90" s="2" t="inlineStr">
        <is>
          <t>15.10 Löschanlage / Sprinkler im Schacht oder Triebwerksraum vorhanden? [Filter]
15.10a Ist sichergestellt, dass die Energieversorgung des Aufzugs vor Wasserbeaufschlagung abgeschaltet wird (Auslösekontakt der Löschanlage bzw. Abschaltung vorhanden)? [Auslöser · Pflicht]
15.10b Wirksamkeit der Abschaltung geprüft und dokumentiert? [Auslöser · bedingt Pflicht]</t>
        </is>
      </c>
      <c r="I90" s="2" t="inlineStr">
        <is>
          <t>TRBS 1201 Teil 4 Anhang 4; VdS CEA 4001</t>
        </is>
      </c>
      <c r="J90" s="2" t="inlineStr"/>
      <c r="K90" s="2" t="n">
        <v>3</v>
      </c>
    </row>
    <row r="91">
      <c r="A91" s="4" t="inlineStr">
        <is>
          <t>MF-U12</t>
        </is>
      </c>
      <c r="B91" s="4" t="inlineStr">
        <is>
          <t>Fremdgewerke und Reinigungspersonal ohne Zugangs- und Schutzkonzept</t>
        </is>
      </c>
      <c r="C91" s="4" t="inlineStr">
        <is>
          <t>Umfeld und Gefahrstoffe</t>
        </is>
      </c>
      <c r="D91" s="4" t="inlineStr">
        <is>
          <t>U – Umfeld, Gebäude und Nutzung</t>
        </is>
      </c>
      <c r="E91" s="4" t="inlineStr">
        <is>
          <t>MAXIMUM</t>
        </is>
      </c>
      <c r="F91" s="4" t="inlineStr">
        <is>
          <t>Mechanische Gefährdung durch bewegte Teile (Quetschen, Scheren, Einziehen)</t>
        </is>
      </c>
      <c r="G91" s="4" t="inlineStr">
        <is>
          <t>Fremdfirmen, Reinigungspersonal</t>
        </is>
      </c>
      <c r="H91" s="4" t="inlineStr">
        <is>
          <t>15.36 Müssen Fremdgewerke (Lüftung, Elektro, Reinigung) für ihre Arbeiten in den Aufzugsbereich (Schacht, Triebwerksraum) eindringen? [Auslöser · Pflicht]
15.36a Zugangs- und Schutzkonzept für Fremdgewerke / Reinigungspersonal vorhanden? [Kompensation · bedingt Pflicht]</t>
        </is>
      </c>
      <c r="I91" s="4" t="inlineStr">
        <is>
          <t>TRBS 3121 3.4.2; DGUV Information 209-085</t>
        </is>
      </c>
      <c r="J91" s="4" t="inlineStr"/>
      <c r="K91" s="4" t="n">
        <v>2</v>
      </c>
    </row>
    <row r="92">
      <c r="A92" s="2" t="inlineStr">
        <is>
          <t>MF-U13</t>
        </is>
      </c>
      <c r="B92" s="2" t="inlineStr">
        <is>
          <t>Fehlende Prüfnachweise und unklare Zuständigkeiten an den Gewerkeschnittstellen</t>
        </is>
      </c>
      <c r="C92" s="2" t="inlineStr">
        <is>
          <t>Brandschutz und Gebäudeschnittstelle</t>
        </is>
      </c>
      <c r="D92" s="2" t="inlineStr">
        <is>
          <t>U – Umfeld, Gebäude und Nutzung</t>
        </is>
      </c>
      <c r="E92" s="2" t="inlineStr">
        <is>
          <t>MAXIMUM</t>
        </is>
      </c>
      <c r="F92" s="2" t="inlineStr">
        <is>
          <t>Gefährdung durch organisatorische Mängel (Unterlagen, Unterweisung, Zuständigkeit)</t>
        </is>
      </c>
      <c r="G92" s="2" t="inlineStr">
        <is>
          <t>Betreiber</t>
        </is>
      </c>
      <c r="H92" s="2" t="inlineStr">
        <is>
          <t>15.37 Prüfnachweise der angrenzenden Gewerke (BMA, RWA, Ersatzstrom, Löschanlage) verfügbar? [Auslöser · Pflicht]
15.38 Zuständigkeiten zwischen den Gewerken für Maßnahmen an den Schnittstellen geregelt? [Auslöser · Pflicht]</t>
        </is>
      </c>
      <c r="I92" s="2" t="inlineStr">
        <is>
          <t>TRBS 1201 Teil 4 Anhang 4; BetrSichV § 13</t>
        </is>
      </c>
      <c r="J92" s="2" t="inlineStr"/>
      <c r="K92" s="2" t="n">
        <v>3</v>
      </c>
    </row>
    <row r="93">
      <c r="A93" s="4" t="inlineStr">
        <is>
          <t>MF-U14</t>
        </is>
      </c>
      <c r="B93" s="4" t="inlineStr">
        <is>
          <t>Aufzugszugang grenzt an Fahrwege / Verkehrsflächen</t>
        </is>
      </c>
      <c r="C93" s="4" t="inlineStr">
        <is>
          <t>Umfeld und Gefahrstoffe</t>
        </is>
      </c>
      <c r="D93" s="4" t="inlineStr">
        <is>
          <t>U – Umfeld, Gebäude und Nutzung</t>
        </is>
      </c>
      <c r="E93" s="4" t="inlineStr">
        <is>
          <t>NONE</t>
        </is>
      </c>
      <c r="F93" s="4" t="inlineStr">
        <is>
          <t>Mechanische Gefährdung durch Stoß (fehlende Endbegrenzung, Aufprall)</t>
        </is>
      </c>
      <c r="G93" s="4" t="inlineStr">
        <is>
          <t>Nutzer</t>
        </is>
      </c>
      <c r="H93" s="4" t="inlineStr">
        <is>
          <t>15.27 Grenzt der Aufzugszugang unmittelbar an Fahrwege oder Verkehrsflächen (Tiefgarage, Anlieferung, Flurförderzeuge)? [Auslöser · Pflicht]
4.9 Nutzung durch Personen mit eingeschränkter Mobilität (Rollstuhl, Rollator, Sehbehinderung) zu erwarten? [Modifier · Pflicht]</t>
        </is>
      </c>
      <c r="I93" s="4" t="inlineStr">
        <is>
          <t>ASR A1.8</t>
        </is>
      </c>
      <c r="J93" s="4" t="inlineStr">
        <is>
          <t>K-U05</t>
        </is>
      </c>
      <c r="K93" s="4" t="n">
        <v>3</v>
      </c>
    </row>
    <row r="94">
      <c r="A94" s="2" t="inlineStr">
        <is>
          <t>MF-U15</t>
        </is>
      </c>
      <c r="B94" s="2" t="inlineStr">
        <is>
          <t>Abgase und Emissionen im Aufstellbereich (Lärm und Ereignishistorie dokumentiert)</t>
        </is>
      </c>
      <c r="C94" s="2" t="inlineStr">
        <is>
          <t>Umfeld und Gefahrstoffe</t>
        </is>
      </c>
      <c r="D94" s="2" t="inlineStr">
        <is>
          <t>U – Umfeld, Gebäude und Nutzung</t>
        </is>
      </c>
      <c r="E94" s="2" t="inlineStr">
        <is>
          <t>NONE</t>
        </is>
      </c>
      <c r="F94" s="2" t="inlineStr">
        <is>
          <t>Gefährdung durch Arbeitsumgebungsbedingungen (Klima, Lärm, Emissionen)</t>
        </is>
      </c>
      <c r="G94" s="2" t="inlineStr">
        <is>
          <t>Wartungspersonal, Beauftragte Person</t>
        </is>
      </c>
      <c r="H94" s="2" t="inlineStr">
        <is>
          <t>15.24 Abgase oder Emissionen im Aufstellbereich (Tiefgarage, Werkstatt, Notstromaggregat)? [Auslöser · Pflicht]
15.24a Wirksame Lüftung oder Absaugung des Aufstellbereichs vorhanden und nachgewiesen (Garagenverordnung, ASR A3.6)? [Kompensation · bedingt Pflicht]
15.22 Erhöhte Lärmbelastung im Triebwerksraum oder am Aufzug (über 85 dB(A))? [Dokumentation]
15.30 Unfälle oder gefährliche Ereignisse an der Anlage in den letzten Jahren [Dokumentation]
15.4 Kritisches soziales Umfeld (Vandalismus, Missbrauch der Anlage)? [Dokumentation]</t>
        </is>
      </c>
      <c r="I94" s="2" t="inlineStr">
        <is>
          <t>LärmVibrationsArbSchV; ASR A3.6; BetrSichV § 3 Abs. 7</t>
        </is>
      </c>
      <c r="J94" s="2" t="inlineStr"/>
      <c r="K94" s="2" t="n">
        <v>3</v>
      </c>
    </row>
    <row r="95">
      <c r="A95" s="4" t="inlineStr">
        <is>
          <t>MF-SF01</t>
        </is>
      </c>
      <c r="B95" s="4" t="inlineStr">
        <is>
          <t>Feuerwehraufzug / gebäudeseitige Sonderfunktionen nicht nachgewiesen</t>
        </is>
      </c>
      <c r="C95" s="4" t="inlineStr">
        <is>
          <t>Sonderfunktionen</t>
        </is>
      </c>
      <c r="D95" s="4" t="inlineStr">
        <is>
          <t>SF – Sonderfunktionen</t>
        </is>
      </c>
      <c r="E95" s="4" t="inlineStr">
        <is>
          <t>MAXIMUM</t>
        </is>
      </c>
      <c r="F95" s="4" t="inlineStr">
        <is>
          <t>Brand- und Explosionsgefährdung</t>
        </is>
      </c>
      <c r="G95" s="4" t="inlineStr">
        <is>
          <t>Feuerwehr, Nutzer, Betreiber</t>
        </is>
      </c>
      <c r="H95" s="4" t="inlineStr">
        <is>
          <t>15.6 Feuerwehraufzug oder Aufzug mit Brandfall-Sonderbetrieb (EN 81-72 / EN 81-73 Evakuierung)? [Filter]
16.1 Anforderungen und Unterlagen des Feuerwehraufzugs (EN 81-72, Brandschutzkonzept) vorhanden und erfüllt? [Auslöser · Pflicht]
16.2 Brandmeldeanlage und Feuerwehraufzugsfunktion aufeinander abgestimmt? [Auslöser · Pflicht]
16.3 Druckbelüftungs-/Rauchschutzanlagen für Schacht und Vorräume vorhanden und geprüft? [Auslöser · Pflicht]
16.4 Löschwasser-/Pumpeneinrichtungen mit Schnittstelle zum Aufzug berücksichtigt? [Auslöser · Pflicht]
16.5 Sicherheits-/Ersatzstromversorgung vorhanden und geprüft? [Auslöser · Pflicht]
16.6 Funktion des Aufzugs unter Ersatzstrombedingungen geprüft? [Auslöser · Pflicht]
16.7 Erforderliche Prüfnachweise der Fremdgewerke verfügbar? [Auslöser · Pflicht]
16.8 Schnittstellen zur Feuerwehr / Brandschutzdienststelle dokumentiert (Feuerwehrplan, Schlüsseldepot)? [Auslöser · Pflicht]
16.9 Betreiberorganisation auf den Sonderbetrieb abgestimmt (Zuständigkeit, Unterweisung, Übungen)? [Auslöser · Pflicht]
16.10 Cyber-Auswirkungen auf die Feuerwehrfunktionen gesondert betrachtet? [Auslöser · Pflicht]</t>
        </is>
      </c>
      <c r="I95" s="4" t="inlineStr">
        <is>
          <t>DIN EN 81-72; TRBS 3121 Anhang 3; TRBS 1201 Teil 4 Anhang 4</t>
        </is>
      </c>
      <c r="J95" s="4" t="inlineStr">
        <is>
          <t>K-SF1</t>
        </is>
      </c>
      <c r="K95" s="4" t="n">
        <v>11</v>
      </c>
    </row>
    <row r="96">
      <c r="A96" s="2" t="inlineStr">
        <is>
          <t>MF-D01</t>
        </is>
      </c>
      <c r="B96" s="2" t="inlineStr">
        <is>
          <t>Notfallplan unvollständig oder nicht vorhanden</t>
        </is>
      </c>
      <c r="C96" s="2" t="inlineStr">
        <is>
          <t>Notruf und Personenbefreiung</t>
        </is>
      </c>
      <c r="D96" s="2" t="inlineStr">
        <is>
          <t>D – Unterlagen und Betreiberorganisation</t>
        </is>
      </c>
      <c r="E96" s="2" t="inlineStr">
        <is>
          <t>NONE</t>
        </is>
      </c>
      <c r="F96" s="2" t="inlineStr">
        <is>
          <t>Sonstige Gefährdung durch fehlende oder unzureichende Notfallorganisation</t>
        </is>
      </c>
      <c r="G96" s="2" t="inlineStr">
        <is>
          <t>Nutzer, Betreiber</t>
        </is>
      </c>
      <c r="H96" s="2" t="inlineStr">
        <is>
          <t>3.2 Notfallplan für die Anlage vorhanden und aktuell (Ansprechpartner, Befreiungsdienst, Meldewege)? [Auslöser · Pflicht]</t>
        </is>
      </c>
      <c r="I96" s="2" t="inlineStr">
        <is>
          <t>BetrSichV Anh. 1 Nr. 4.1; TRBS 3121 3.6; TRBS 3121 3.2 Nr. 6</t>
        </is>
      </c>
      <c r="J96" s="2" t="inlineStr">
        <is>
          <t>K-D01</t>
        </is>
      </c>
      <c r="K96" s="2" t="n">
        <v>2</v>
      </c>
    </row>
    <row r="97">
      <c r="A97" s="4" t="inlineStr">
        <is>
          <t>MF-D02</t>
        </is>
      </c>
      <c r="B97" s="4" t="inlineStr">
        <is>
          <t>Keine oder unpassende Notbefreiungsanleitung</t>
        </is>
      </c>
      <c r="C97" s="4" t="inlineStr">
        <is>
          <t>Notruf und Personenbefreiung</t>
        </is>
      </c>
      <c r="D97" s="4" t="inlineStr">
        <is>
          <t>D – Unterlagen und Betreiberorganisation</t>
        </is>
      </c>
      <c r="E97" s="4" t="inlineStr">
        <is>
          <t>NONE</t>
        </is>
      </c>
      <c r="F97" s="4" t="inlineStr">
        <is>
          <t>Sonstige Gefährdung durch fehlende oder unzureichende Notfallorganisation</t>
        </is>
      </c>
      <c r="G97" s="4" t="inlineStr">
        <is>
          <t>Nutzer, Beauftragte Person</t>
        </is>
      </c>
      <c r="H97" s="4" t="inlineStr">
        <is>
          <t>3.3 Anlagenbezogene Notbefreiungs-/Evakuierungsanleitung [Auslöser · Pflicht]</t>
        </is>
      </c>
      <c r="I97" s="4" t="inlineStr">
        <is>
          <t>BetrSichV Anh. 1 Nr. 4.1; DIN EN 81-20 7.2.2</t>
        </is>
      </c>
      <c r="J97" s="4" t="inlineStr">
        <is>
          <t>K-M07</t>
        </is>
      </c>
      <c r="K97" s="4" t="n">
        <v>3</v>
      </c>
    </row>
    <row r="98">
      <c r="A98" s="2" t="inlineStr">
        <is>
          <t>MF-D03</t>
        </is>
      </c>
      <c r="B98" s="2" t="inlineStr">
        <is>
          <t>Wartungsunterlagen fehlen oder keine regelmäßige Instandhaltung</t>
        </is>
      </c>
      <c r="C98" s="2" t="inlineStr">
        <is>
          <t>Beschilderung und Unterlagen</t>
        </is>
      </c>
      <c r="D98" s="2" t="inlineStr">
        <is>
          <t>D – Unterlagen und Betreiberorganisation</t>
        </is>
      </c>
      <c r="E98" s="2" t="inlineStr">
        <is>
          <t>MAXIMUM</t>
        </is>
      </c>
      <c r="F98" s="2" t="inlineStr">
        <is>
          <t>Gefährdung durch organisatorische Mängel (Unterlagen, Unterweisung, Zuständigkeit)</t>
        </is>
      </c>
      <c r="G98" s="2" t="inlineStr">
        <is>
          <t>Betreiber, Nutzer</t>
        </is>
      </c>
      <c r="H98" s="2" t="inlineStr">
        <is>
          <t>3.9 Wartungsunterlagen und Prüfbuch vorhanden und aktuell? [Auslöser · Pflicht]
3.10 Wird die Anlage regelmäßig durch ein Fachunternehmen instand gehalten (Wartungsvertrag)? [Auslöser · Pflicht]</t>
        </is>
      </c>
      <c r="I98" s="2" t="inlineStr">
        <is>
          <t>BetrSichV § 10; BetrSichV § 17; TRBS 3121 3.4.1</t>
        </is>
      </c>
      <c r="J98" s="2" t="inlineStr">
        <is>
          <t>K-D02</t>
        </is>
      </c>
      <c r="K98" s="2" t="n">
        <v>3</v>
      </c>
    </row>
    <row r="99">
      <c r="A99" s="4" t="inlineStr">
        <is>
          <t>MF-D04</t>
        </is>
      </c>
      <c r="B99" s="4" t="inlineStr">
        <is>
          <t>Prüfplakette fehlt oder Prüffrist der ZÜS überschritten</t>
        </is>
      </c>
      <c r="C99" s="4" t="inlineStr">
        <is>
          <t>Beschilderung und Unterlagen</t>
        </is>
      </c>
      <c r="D99" s="4" t="inlineStr">
        <is>
          <t>D – Unterlagen und Betreiberorganisation</t>
        </is>
      </c>
      <c r="E99" s="4" t="inlineStr">
        <is>
          <t>MAXIMUM</t>
        </is>
      </c>
      <c r="F99" s="4" t="inlineStr">
        <is>
          <t>Gefährdung durch organisatorische Mängel (Unterlagen, Unterweisung, Zuständigkeit)</t>
        </is>
      </c>
      <c r="G99" s="4" t="inlineStr">
        <is>
          <t>Betreiber, Nutzer</t>
        </is>
      </c>
      <c r="H99" s="4" t="inlineStr">
        <is>
          <t>3.6 Prüfplakette der ZÜS vorhanden und lesbar? [Auslöser · Pflicht]
3.8 Prüffrist der wiederkehrenden Prüfung (ZÜS) überschritten? [Auslöser · Pflicht]
3.7 Letzte ZÜS-Hauptprüfung: Prüfbericht liegt vor und ohne offene sicherheitsrelevante Mängel? [Auslöser · Pflicht]</t>
        </is>
      </c>
      <c r="I99" s="4" t="inlineStr">
        <is>
          <t>BetrSichV § 16; BetrSichV § 17 Abs. 3; BetrSichV Anh. 2 Abschn. 2</t>
        </is>
      </c>
      <c r="J99" s="4" t="inlineStr">
        <is>
          <t>K-D03</t>
        </is>
      </c>
      <c r="K99" s="4" t="n">
        <v>5</v>
      </c>
    </row>
    <row r="100">
      <c r="A100" s="2" t="inlineStr">
        <is>
          <t>MF-D05</t>
        </is>
      </c>
      <c r="B100" s="2" t="inlineStr">
        <is>
          <t>Betreiberorganisation: beauftragte Person, Unterweisung, Betriebsanweisung, Zutrittsregelung</t>
        </is>
      </c>
      <c r="C100" s="2" t="inlineStr">
        <is>
          <t>Betreiberorganisation</t>
        </is>
      </c>
      <c r="D100" s="2" t="inlineStr">
        <is>
          <t>D – Unterlagen und Betreiberorganisation</t>
        </is>
      </c>
      <c r="E100" s="2" t="inlineStr">
        <is>
          <t>MAXIMUM</t>
        </is>
      </c>
      <c r="F100" s="2" t="inlineStr">
        <is>
          <t>Gefährdung durch organisatorische Mängel (Unterlagen, Unterweisung, Zuständigkeit)</t>
        </is>
      </c>
      <c r="G100" s="2" t="inlineStr">
        <is>
          <t>Betreiber, Beauftragte Person</t>
        </is>
      </c>
      <c r="H100" s="2" t="inlineStr">
        <is>
          <t>E1 Beauftragte Person für die Aufzugsanlage (Aufzugswärter) schriftlich benannt? [Auslöser · Pflicht]
E2 Unterweisung der beauftragten Person dokumentiert? [Auslöser · bedingt Pflicht]
E3 Betriebsanweisung für die Anlage vorhanden und ausgehängt? [Auslöser · Pflicht]
E4 Zutritt zum Triebwerksraum / Steuerschrank organisatorisch geregelt (Schlüsselverwaltung, nur befugte Personen)? [Auslöser · Pflicht]
E5 Liegt für die Anlage bereits eine dokumentierte Gefährdungsbeurteilung des Betreibers vor? [Dokumentation]</t>
        </is>
      </c>
      <c r="I100" s="2" t="inlineStr">
        <is>
          <t>BetrSichV § 12; BetrSichV Anh. 1 Nr. 4; TRBS 3121 3.3; TRBS 1116</t>
        </is>
      </c>
      <c r="J100" s="2" t="inlineStr">
        <is>
          <t>K-D04</t>
        </is>
      </c>
      <c r="K100" s="2" t="n">
        <v>5</v>
      </c>
    </row>
    <row r="101">
      <c r="A101" s="4" t="inlineStr">
        <is>
          <t>MF-D06</t>
        </is>
      </c>
      <c r="B101" s="4" t="inlineStr">
        <is>
          <t>Ausstattung passt nicht zum Regelwerk des Inverkehrbringens (Konformitätsmangel)</t>
        </is>
      </c>
      <c r="C101" s="4" t="inlineStr">
        <is>
          <t>Beschilderung und Unterlagen</t>
        </is>
      </c>
      <c r="D101" s="4" t="inlineStr">
        <is>
          <t>D – Unterlagen und Betreiberorganisation</t>
        </is>
      </c>
      <c r="E101" s="4" t="inlineStr">
        <is>
          <t>MAXIMUM</t>
        </is>
      </c>
      <c r="F101" s="4" t="inlineStr">
        <is>
          <t>Gefährdung durch organisatorische Mängel (Unterlagen, Unterweisung, Zuständigkeit)</t>
        </is>
      </c>
      <c r="G101" s="4" t="inlineStr">
        <is>
          <t>Nutzer, Betreiber</t>
        </is>
      </c>
      <c r="H101" s="4" t="inlineStr">
        <is>
          <t>1.24 Baujahr der Anlage [Auslöser · Pflicht]
1.28 Regelwerk bei Inverkehrbringen / letzter Modernisierung [Auslöser · Pflicht]
4.5 UCM-Schutz (unbeabsichtigte Fahrkorbbewegung, A3 / EN 81-20 5.6.7) vorhanden? [Auslöser · Pflicht]
8.6 Fahrkorbabschlusstür vorhanden? [Auslöser · Pflicht]
1.29 Konformitätserklärung und Abnahmeunterlagen der Anlage liegen vor? [Auslöser · bedingt Pflicht]</t>
        </is>
      </c>
      <c r="I101" s="4" t="inlineStr">
        <is>
          <t>Aufzugsrichtlinie 2014/33/EU; 95/16/EG; DIN EN 81-20 5.4.6; DIN EN 81-20 5.6.7; ProdSG; BetrSichV § 3</t>
        </is>
      </c>
      <c r="J101" s="4" t="inlineStr"/>
      <c r="K101" s="4" t="n">
        <v>6</v>
      </c>
    </row>
  </sheetData>
  <autoFilter ref="A1:K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14"/>
  <sheetViews>
    <sheetView workbookViewId="0">
      <pane ySplit="1" topLeftCell="A2" activePane="bottomLeft" state="frozen"/>
      <selection pane="bottomLeft" activeCell="A1" sqref="A1"/>
    </sheetView>
  </sheetViews>
  <sheetFormatPr baseColWidth="8" defaultRowHeight="15"/>
  <cols>
    <col width="26" customWidth="1" min="1" max="1"/>
    <col width="7" customWidth="1" min="2" max="2"/>
    <col width="30" customWidth="1" min="3" max="3"/>
    <col width="60" customWidth="1" min="4" max="4"/>
    <col width="9" customWidth="1" min="5" max="5"/>
    <col width="44" customWidth="1" min="6" max="6"/>
    <col width="40" customWidth="1" min="7" max="7"/>
    <col width="40" customWidth="1" min="8" max="8"/>
    <col width="30" customWidth="1" min="9" max="9"/>
  </cols>
  <sheetData>
    <row r="1" ht="30" customHeight="1">
      <c r="A1" s="1" t="inlineStr">
        <is>
          <t>Code</t>
        </is>
      </c>
      <c r="B1" s="1" t="inlineStr">
        <is>
          <t>Nr.</t>
        </is>
      </c>
      <c r="C1" s="1" t="inlineStr">
        <is>
          <t>Erhebungsbereich</t>
        </is>
      </c>
      <c r="D1" s="1" t="inlineStr">
        <is>
          <t>Frage</t>
        </is>
      </c>
      <c r="E1" s="1" t="inlineStr">
        <is>
          <t>Typ</t>
        </is>
      </c>
      <c r="F1" s="1" t="inlineStr">
        <is>
          <t>Antwortoptionen</t>
        </is>
      </c>
      <c r="G1" s="1" t="inlineStr">
        <is>
          <t>Hilfetext</t>
        </is>
      </c>
      <c r="H1" s="1" t="inlineStr">
        <is>
          <t>Sichtbar wenn</t>
        </is>
      </c>
      <c r="I1" s="1" t="inlineStr">
        <is>
          <t>Gefährdungen</t>
        </is>
      </c>
    </row>
    <row r="2">
      <c r="A2" s="2" t="inlineStr">
        <is>
          <t>qa_aufzugsart</t>
        </is>
      </c>
      <c r="B2" s="2" t="inlineStr">
        <is>
          <t>3.1</t>
        </is>
      </c>
      <c r="C2" s="2" t="inlineStr">
        <is>
          <t>A – Anlagenmerkmale</t>
        </is>
      </c>
      <c r="D2" s="2" t="inlineStr">
        <is>
          <t>Aufzugsart</t>
        </is>
      </c>
      <c r="E2" s="2" t="inlineStr">
        <is>
          <t>SELECT</t>
        </is>
      </c>
      <c r="F2" s="2" t="inlineStr">
        <is>
          <t>Seil-/Riemenaufzug (Treibscheibe)
Trommel- oder Kettenaufzug
Hydraulikaufzug
Seil-Hydraulikaufzug (indirekt)</t>
        </is>
      </c>
      <c r="G2" s="2" t="inlineStr">
        <is>
          <t>Steuert, welche Gefährdungen überhaupt bewertet werden (z. B. Bremse und Gegengewicht nur bei Seilanlagen, Hydraulikeinrichtungen nur bei Hydraulik).</t>
        </is>
      </c>
      <c r="H2" s="2" t="inlineStr"/>
      <c r="I2" s="2" t="inlineStr">
        <is>
          <t>MF-G07, MF-K12, MF-K13, MF-K14, MF-M03, MF-M08, MF-M10, MF-M13, MF-S05</t>
        </is>
      </c>
    </row>
    <row r="3">
      <c r="A3" s="4" t="inlineStr">
        <is>
          <t>qa_antrieb</t>
        </is>
      </c>
      <c r="B3" s="4" t="inlineStr">
        <is>
          <t>6.1</t>
        </is>
      </c>
      <c r="C3" s="4" t="inlineStr">
        <is>
          <t>A – Anlagenmerkmale</t>
        </is>
      </c>
      <c r="D3" s="4" t="inlineStr">
        <is>
          <t>Antriebssystem / Regelung</t>
        </is>
      </c>
      <c r="E3" s="4" t="inlineStr">
        <is>
          <t>SELECT</t>
        </is>
      </c>
      <c r="F3" s="4" t="inlineStr">
        <is>
          <t>Eingeschwindigkeitsantrieb
Zweigeschwindigkeitsantrieb
Geregelter Antrieb (Frequenzumrichter)
Hydraulischer Antrieb</t>
        </is>
      </c>
      <c r="G3" s="4" t="inlineStr"/>
      <c r="H3" s="4" t="inlineStr"/>
      <c r="I3" s="4" t="inlineStr">
        <is>
          <t>MF-M12</t>
        </is>
      </c>
    </row>
    <row r="4">
      <c r="A4" s="2" t="inlineStr">
        <is>
          <t>qa_nenngeschwindigkeit</t>
        </is>
      </c>
      <c r="B4" s="2" t="inlineStr">
        <is>
          <t>3.1a</t>
        </is>
      </c>
      <c r="C4" s="2" t="inlineStr">
        <is>
          <t>A – Anlagenmerkmale</t>
        </is>
      </c>
      <c r="D4" s="2" t="inlineStr">
        <is>
          <t>Nenngeschwindigkeit [m/s]</t>
        </is>
      </c>
      <c r="E4" s="2" t="inlineStr">
        <is>
          <t>NUMBER</t>
        </is>
      </c>
      <c r="F4" s="2" t="inlineStr"/>
      <c r="G4" s="2" t="inlineStr">
        <is>
          <t>Für die Pufferbewertung (energiespeichernde Puffer nur bis 1,0 m/s).</t>
        </is>
      </c>
      <c r="H4" s="2" t="inlineStr"/>
      <c r="I4" s="2" t="inlineStr">
        <is>
          <t>MF-G06</t>
        </is>
      </c>
    </row>
    <row r="5">
      <c r="A5" s="4" t="inlineStr">
        <is>
          <t>qa_gegengewicht</t>
        </is>
      </c>
      <c r="B5" s="4" t="inlineStr">
        <is>
          <t>3.1b</t>
        </is>
      </c>
      <c r="C5" s="4" t="inlineStr">
        <is>
          <t>A – Anlagenmerkmale</t>
        </is>
      </c>
      <c r="D5" s="4" t="inlineStr">
        <is>
          <t>Gegengewicht oder Ausgleichsgewicht vorhanden?</t>
        </is>
      </c>
      <c r="E5" s="4" t="inlineStr">
        <is>
          <t>YES_NO</t>
        </is>
      </c>
      <c r="F5" s="4" t="inlineStr"/>
      <c r="G5" s="4" t="inlineStr">
        <is>
          <t>Trommelaufzüge ohne Gegengewicht: Nein. Schaltet Abtrennung und Sicherung des Gegengewichts sowie die Sturzverhinderung nach oben.</t>
        </is>
      </c>
      <c r="H5" s="4" t="inlineStr">
        <is>
          <t>3.1 Aufzugsart in [„Seil-/Riemenaufzug (Treibscheibe)", „Trommel- oder Kettenaufzug", „Seil-Hydraulikaufzug (indirekt)"]</t>
        </is>
      </c>
      <c r="I5" s="4" t="inlineStr">
        <is>
          <t>MF-G07, MF-K13</t>
        </is>
      </c>
    </row>
    <row r="6">
      <c r="A6" s="2" t="inlineStr">
        <is>
          <t>qa_maschinenraum</t>
        </is>
      </c>
      <c r="B6" s="2" t="inlineStr">
        <is>
          <t>4.7</t>
        </is>
      </c>
      <c r="C6" s="2" t="inlineStr">
        <is>
          <t>A – Anlagenmerkmale</t>
        </is>
      </c>
      <c r="D6" s="2" t="inlineStr">
        <is>
          <t>Eigener Triebwerks-/Maschinenraum vorhanden?</t>
        </is>
      </c>
      <c r="E6" s="2" t="inlineStr">
        <is>
          <t>YES_NO</t>
        </is>
      </c>
      <c r="F6" s="2" t="inlineStr"/>
      <c r="G6" s="2" t="inlineStr">
        <is>
          <t>Nein = maschinenraumlose Anlage (Antrieb im Schacht, Steuerung im Schaltschrank). Raumbezogene Gefährdungen entfallen dann.</t>
        </is>
      </c>
      <c r="H6" s="2" t="inlineStr"/>
      <c r="I6" s="2" t="inlineStr">
        <is>
          <t>MF-M01, MF-M04, MF-M05, MF-M06, MF-M14, MF-M18, MF-M19, MF-Z03, MF-Z05, MF-Z07</t>
        </is>
      </c>
    </row>
    <row r="7">
      <c r="A7" s="4" t="inlineStr">
        <is>
          <t>qa_rollenraum</t>
        </is>
      </c>
      <c r="B7" s="4" t="inlineStr">
        <is>
          <t>4.7a</t>
        </is>
      </c>
      <c r="C7" s="4" t="inlineStr">
        <is>
          <t>A – Anlagenmerkmale</t>
        </is>
      </c>
      <c r="D7" s="4" t="inlineStr">
        <is>
          <t>Zusätzlicher Rollenraum vorhanden?</t>
        </is>
      </c>
      <c r="E7" s="4" t="inlineStr">
        <is>
          <t>YES_NO</t>
        </is>
      </c>
      <c r="F7" s="4" t="inlineStr"/>
      <c r="G7" s="4" t="inlineStr"/>
      <c r="H7" s="4" t="inlineStr">
        <is>
          <t>4.7 Eigener Triebwerks-/Maschinenraum vorhanden? = Ja</t>
        </is>
      </c>
      <c r="I7" s="4" t="inlineStr">
        <is>
          <t>MF-M20</t>
        </is>
      </c>
    </row>
    <row r="8">
      <c r="A8" s="2" t="inlineStr">
        <is>
          <t>qa_mehrere_aufzuege</t>
        </is>
      </c>
      <c r="B8" s="2" t="inlineStr">
        <is>
          <t>4.8</t>
        </is>
      </c>
      <c r="C8" s="2" t="inlineStr">
        <is>
          <t>A – Anlagenmerkmale</t>
        </is>
      </c>
      <c r="D8" s="2" t="inlineStr">
        <is>
          <t>Mehrere Aufzüge in einem gemeinsamen Schacht?</t>
        </is>
      </c>
      <c r="E8" s="2" t="inlineStr">
        <is>
          <t>YES_NO</t>
        </is>
      </c>
      <c r="F8" s="2" t="inlineStr"/>
      <c r="G8" s="2" t="inlineStr"/>
      <c r="H8" s="2" t="inlineStr"/>
      <c r="I8" s="2" t="inlineStr">
        <is>
          <t>MF-F03, MF-G08</t>
        </is>
      </c>
    </row>
    <row r="9">
      <c r="A9" s="4" t="inlineStr">
        <is>
          <t>qa_raum_unter_schacht</t>
        </is>
      </c>
      <c r="B9" s="4" t="inlineStr">
        <is>
          <t>4.8a</t>
        </is>
      </c>
      <c r="C9" s="4" t="inlineStr">
        <is>
          <t>A – Anlagenmerkmale</t>
        </is>
      </c>
      <c r="D9" s="4" t="inlineStr">
        <is>
          <t>Betretbarer Raum unterhalb der Schachtgrube?</t>
        </is>
      </c>
      <c r="E9" s="4" t="inlineStr">
        <is>
          <t>YES_NO</t>
        </is>
      </c>
      <c r="F9" s="4" t="inlineStr"/>
      <c r="G9" s="4" t="inlineStr">
        <is>
          <t>Zum Beispiel Keller, Technikraum oder Tiefgarage unter der Grube. Dann ist eine Fangvorrichtung am Gegengewicht oder ein durchgehendes Fundament erforderlich.</t>
        </is>
      </c>
      <c r="H9" s="4" t="inlineStr"/>
      <c r="I9" s="4" t="inlineStr">
        <is>
          <t>MF-G07</t>
        </is>
      </c>
    </row>
    <row r="10">
      <c r="A10" s="2" t="inlineStr">
        <is>
          <t>qa_fahrkorbtuer</t>
        </is>
      </c>
      <c r="B10" s="2" t="inlineStr">
        <is>
          <t>8.6</t>
        </is>
      </c>
      <c r="C10" s="2" t="inlineStr">
        <is>
          <t>A – Anlagenmerkmale</t>
        </is>
      </c>
      <c r="D10" s="2" t="inlineStr">
        <is>
          <t>Fahrkorbabschlusstür vorhanden?</t>
        </is>
      </c>
      <c r="E10" s="2" t="inlineStr">
        <is>
          <t>YES_NO</t>
        </is>
      </c>
      <c r="F10" s="2" t="inlineStr"/>
      <c r="G10" s="2" t="inlineStr">
        <is>
          <t>Ja, wenn jeder Fahrkorbzugang eine Tür oder ein Gitter mit Schließstellungsüberwachung hat. Lichtgitter oder Scherengitter ohne Tür unter 8.9/8.9a erfassen.</t>
        </is>
      </c>
      <c r="H10" s="2" t="inlineStr"/>
      <c r="I10" s="2" t="inlineStr">
        <is>
          <t>MF-D06, MF-T06</t>
        </is>
      </c>
    </row>
    <row r="11">
      <c r="A11" s="4" t="inlineStr">
        <is>
          <t>qa_glas_schachttueren</t>
        </is>
      </c>
      <c r="B11" s="4" t="inlineStr">
        <is>
          <t>4.1</t>
        </is>
      </c>
      <c r="C11" s="4" t="inlineStr">
        <is>
          <t>A – Anlagenmerkmale</t>
        </is>
      </c>
      <c r="D11" s="4" t="inlineStr">
        <is>
          <t>Schachttüren mit Glas?</t>
        </is>
      </c>
      <c r="E11" s="4" t="inlineStr">
        <is>
          <t>YES_NO</t>
        </is>
      </c>
      <c r="F11" s="4" t="inlineStr"/>
      <c r="G11" s="4" t="inlineStr"/>
      <c r="H11" s="4" t="inlineStr"/>
      <c r="I11" s="4" t="inlineStr">
        <is>
          <t>MF-T04</t>
        </is>
      </c>
    </row>
    <row r="12">
      <c r="A12" s="2" t="inlineStr">
        <is>
          <t>qa_glas_fahrkorbtueren</t>
        </is>
      </c>
      <c r="B12" s="2" t="inlineStr">
        <is>
          <t>4.3</t>
        </is>
      </c>
      <c r="C12" s="2" t="inlineStr">
        <is>
          <t>A – Anlagenmerkmale</t>
        </is>
      </c>
      <c r="D12" s="2" t="inlineStr">
        <is>
          <t>Fahrkorbtüren mit Glas?</t>
        </is>
      </c>
      <c r="E12" s="2" t="inlineStr">
        <is>
          <t>YES_NO</t>
        </is>
      </c>
      <c r="F12" s="2" t="inlineStr"/>
      <c r="G12" s="2" t="inlineStr"/>
      <c r="H12" s="2" t="inlineStr"/>
      <c r="I12" s="2" t="inlineStr">
        <is>
          <t>MF-T04</t>
        </is>
      </c>
    </row>
    <row r="13">
      <c r="A13" s="4" t="inlineStr">
        <is>
          <t>qa_glas_schacht</t>
        </is>
      </c>
      <c r="B13" s="4" t="inlineStr">
        <is>
          <t>4.2</t>
        </is>
      </c>
      <c r="C13" s="4" t="inlineStr">
        <is>
          <t>A – Anlagenmerkmale</t>
        </is>
      </c>
      <c r="D13" s="4" t="inlineStr">
        <is>
          <t>Schacht oder Schachtgerüst mit Glas?</t>
        </is>
      </c>
      <c r="E13" s="4" t="inlineStr">
        <is>
          <t>YES_NO</t>
        </is>
      </c>
      <c r="F13" s="4" t="inlineStr"/>
      <c r="G13" s="4" t="inlineStr"/>
      <c r="H13" s="4" t="inlineStr"/>
      <c r="I13" s="4" t="inlineStr">
        <is>
          <t>MF-S03</t>
        </is>
      </c>
    </row>
    <row r="14">
      <c r="A14" s="2" t="inlineStr">
        <is>
          <t>qa_nutzungsart</t>
        </is>
      </c>
      <c r="B14" s="2" t="inlineStr">
        <is>
          <t>2.1</t>
        </is>
      </c>
      <c r="C14" s="2" t="inlineStr">
        <is>
          <t>A – Anlagenmerkmale</t>
        </is>
      </c>
      <c r="D14" s="2" t="inlineStr">
        <is>
          <t>Nutzungsart der Anlage</t>
        </is>
      </c>
      <c r="E14" s="2" t="inlineStr">
        <is>
          <t>SELECT</t>
        </is>
      </c>
      <c r="F14" s="2" t="inlineStr">
        <is>
          <t>Personenaufzug
Personen- und Lastenaufzug
Lastenaufzug mit Personenbegleitung
Güteraufzug ohne Personenbeförderung</t>
        </is>
      </c>
      <c r="G14" s="2" t="inlineStr"/>
      <c r="H14" s="2" t="inlineStr"/>
      <c r="I14" s="2" t="inlineStr">
        <is>
          <t>MF-K06, MF-T06</t>
        </is>
      </c>
    </row>
    <row r="15">
      <c r="A15" s="4" t="inlineStr">
        <is>
          <t>qa_nutzung_pmem</t>
        </is>
      </c>
      <c r="B15" s="4" t="inlineStr">
        <is>
          <t>4.9</t>
        </is>
      </c>
      <c r="C15" s="4" t="inlineStr">
        <is>
          <t>A – Anlagenmerkmale</t>
        </is>
      </c>
      <c r="D15" s="4" t="inlineStr">
        <is>
          <t>Nutzung durch Personen mit eingeschränkter Mobilität (Rollstuhl, Rollator, Sehbehinderung) zu erwarten?</t>
        </is>
      </c>
      <c r="E15" s="4" t="inlineStr">
        <is>
          <t>YES_NO</t>
        </is>
      </c>
      <c r="F15" s="4" t="inlineStr"/>
      <c r="G15" s="4" t="inlineStr">
        <is>
          <t>Wirkt als Verschärfung (Modifier) bei Haltegenauigkeit, Türen und Zugang und schaltet die Barrierefreiheits-Gefährdung.</t>
        </is>
      </c>
      <c r="H15" s="4" t="inlineStr"/>
      <c r="I15" s="4" t="inlineStr">
        <is>
          <t>MF-K03, MF-K10, MF-T06, MF-U14</t>
        </is>
      </c>
    </row>
    <row r="16">
      <c r="A16" s="2" t="inlineStr">
        <is>
          <t>qa_barrierefrei_gefordert</t>
        </is>
      </c>
      <c r="B16" s="2" t="inlineStr">
        <is>
          <t>4.9a</t>
        </is>
      </c>
      <c r="C16" s="2" t="inlineStr">
        <is>
          <t>A – Anlagenmerkmale</t>
        </is>
      </c>
      <c r="D16" s="2" t="inlineStr">
        <is>
          <t>Barrierefreie Ausführung gefordert (Baugenehmigung, Nutzungskonzept, öffentlich zugängliches Gebäude)?</t>
        </is>
      </c>
      <c r="E16" s="2" t="inlineStr">
        <is>
          <t>YES_NO</t>
        </is>
      </c>
      <c r="F16" s="2" t="inlineStr"/>
      <c r="G16" s="2" t="inlineStr">
        <is>
          <t>Löst zusammen mit 4.9 die Prüfung der Barrierefreiheit aus: Es genügt, wenn entweder die Nutzung zu erwarten oder die Ausführung gefordert ist.</t>
        </is>
      </c>
      <c r="H16" s="2" t="inlineStr"/>
      <c r="I16" s="2" t="inlineStr">
        <is>
          <t>MF-K10</t>
        </is>
      </c>
    </row>
    <row r="17">
      <c r="A17" s="4" t="inlineStr">
        <is>
          <t>qa_nutzung_kinder</t>
        </is>
      </c>
      <c r="B17" s="4" t="inlineStr">
        <is>
          <t>4.12</t>
        </is>
      </c>
      <c r="C17" s="4" t="inlineStr">
        <is>
          <t>A – Anlagenmerkmale</t>
        </is>
      </c>
      <c r="D17" s="4" t="inlineStr">
        <is>
          <t>Nutzung durch unbeaufsichtigte Kinder zu erwarten (Schule, Kita, Wohnanlage)?</t>
        </is>
      </c>
      <c r="E17" s="4" t="inlineStr">
        <is>
          <t>YES_NO</t>
        </is>
      </c>
      <c r="F17" s="4" t="inlineStr"/>
      <c r="G17" s="4" t="inlineStr"/>
      <c r="H17" s="4" t="inlineStr"/>
      <c r="I17" s="4" t="inlineStr">
        <is>
          <t>MF-K05, MF-T06</t>
        </is>
      </c>
    </row>
    <row r="18">
      <c r="A18" s="2" t="inlineStr">
        <is>
          <t>qa_baujahr</t>
        </is>
      </c>
      <c r="B18" s="2" t="inlineStr">
        <is>
          <t>1.24</t>
        </is>
      </c>
      <c r="C18" s="2" t="inlineStr">
        <is>
          <t>A – Anlagenmerkmale</t>
        </is>
      </c>
      <c r="D18" s="2" t="inlineStr">
        <is>
          <t>Baujahr der Anlage</t>
        </is>
      </c>
      <c r="E18" s="2" t="inlineStr">
        <is>
          <t>NUMBER</t>
        </is>
      </c>
      <c r="F18" s="2" t="inlineStr"/>
      <c r="G18" s="2" t="inlineStr">
        <is>
          <t>Wird aus den Stammdaten übernommen. Steuerfeld: Es entscheidet mit über den passenden GBU-Typ (bis 1998 in aller Regel Bestand nach DIN EN 81-80) und darüber, ob eine fehlende Einrichtung eine Nachrüstung nach dem Stand der Technik oder ein Konformitätsmangel ist. Es blendet bewusst KEINE Frage aus – die Gefährdung besteht unabhängig vom Alter der Anlage.</t>
        </is>
      </c>
      <c r="H18" s="2" t="inlineStr"/>
      <c r="I18" s="2" t="inlineStr">
        <is>
          <t>MF-D06</t>
        </is>
      </c>
    </row>
    <row r="19">
      <c r="A19" s="4" t="inlineStr">
        <is>
          <t>qa_norm_inverkehrbringen</t>
        </is>
      </c>
      <c r="B19" s="4" t="inlineStr">
        <is>
          <t>1.28</t>
        </is>
      </c>
      <c r="C19" s="4" t="inlineStr">
        <is>
          <t>A – Anlagenmerkmale</t>
        </is>
      </c>
      <c r="D19" s="4" t="inlineStr">
        <is>
          <t>Regelwerk bei Inverkehrbringen / letzter Modernisierung</t>
        </is>
      </c>
      <c r="E19" s="4" t="inlineStr">
        <is>
          <t>SELECT</t>
        </is>
      </c>
      <c r="F19" s="4" t="inlineStr">
        <is>
          <t>TRA 200 / TRA 102 (vor 1999)
DIN EN 81-1 / 81-2 (1999–2017)
DIN EN 81-20 (ab 2017)
Unbekannt / keine Unterlagen</t>
        </is>
      </c>
      <c r="G19" s="4" t="inlineStr">
        <is>
          <t>Ergänzt das Baujahr (1.24): Eine 1985 gebaute, 2020 durchgreifend modernisierte Anlage ist nach EN 81-20 in Verkehr gebracht. Weicht die Angabe vom Baujahr ab, gilt für die Beurteilung des Soll-Zustands das Regelwerk, nicht das Baujahr.</t>
        </is>
      </c>
      <c r="H19" s="4" t="inlineStr"/>
      <c r="I19" s="4" t="inlineStr">
        <is>
          <t>MF-D06, MF-F07</t>
        </is>
      </c>
    </row>
    <row r="20">
      <c r="A20" s="2" t="inlineStr">
        <is>
          <t>qa_feuerwehraufzug</t>
        </is>
      </c>
      <c r="B20" s="2" t="inlineStr">
        <is>
          <t>15.6</t>
        </is>
      </c>
      <c r="C20" s="2" t="inlineStr">
        <is>
          <t>A – Anlagenmerkmale</t>
        </is>
      </c>
      <c r="D20" s="2" t="inlineStr">
        <is>
          <t>Feuerwehraufzug oder Aufzug mit Brandfall-Sonderbetrieb (EN 81-72 / EN 81-73 Evakuierung)?</t>
        </is>
      </c>
      <c r="E20" s="2" t="inlineStr">
        <is>
          <t>YES_NO</t>
        </is>
      </c>
      <c r="F20" s="2" t="inlineStr"/>
      <c r="G20" s="2" t="inlineStr"/>
      <c r="H20" s="2" t="inlineStr"/>
      <c r="I20" s="2" t="inlineStr">
        <is>
          <t>MF-SF01</t>
        </is>
      </c>
    </row>
    <row r="21">
      <c r="A21" s="4" t="inlineStr">
        <is>
          <t>qa_bfs_gefordert</t>
        </is>
      </c>
      <c r="B21" s="4" t="inlineStr">
        <is>
          <t>4.11</t>
        </is>
      </c>
      <c r="C21" s="4" t="inlineStr">
        <is>
          <t>A – Anlagenmerkmale</t>
        </is>
      </c>
      <c r="D21" s="4" t="inlineStr">
        <is>
          <t>Fordert das Brandschutzkonzept des Gebäudes eine Brandfallsteuerung?</t>
        </is>
      </c>
      <c r="E21" s="4" t="inlineStr">
        <is>
          <t>YES_NO</t>
        </is>
      </c>
      <c r="F21" s="4" t="inlineStr"/>
      <c r="G21" s="4" t="inlineStr">
        <is>
          <t>Unbekannt = Ja wählen und in K prüfen lassen.</t>
        </is>
      </c>
      <c r="H21" s="4" t="inlineStr"/>
      <c r="I21" s="4" t="inlineStr">
        <is>
          <t>MF-K08</t>
        </is>
      </c>
    </row>
    <row r="22">
      <c r="A22" s="2" t="inlineStr">
        <is>
          <t>qa_bma_vorhanden</t>
        </is>
      </c>
      <c r="B22" s="2" t="inlineStr">
        <is>
          <t>15.8</t>
        </is>
      </c>
      <c r="C22" s="2" t="inlineStr">
        <is>
          <t>A – Anlagenmerkmale</t>
        </is>
      </c>
      <c r="D22" s="2" t="inlineStr">
        <is>
          <t>Brandmeldeanlage (BMA) im Gebäude vorhanden?</t>
        </is>
      </c>
      <c r="E22" s="2" t="inlineStr">
        <is>
          <t>YES_NO</t>
        </is>
      </c>
      <c r="F22" s="2" t="inlineStr"/>
      <c r="G22" s="2" t="inlineStr"/>
      <c r="H22" s="2" t="inlineStr"/>
      <c r="I22" s="2" t="inlineStr">
        <is>
          <t>MF-U09</t>
        </is>
      </c>
    </row>
    <row r="23">
      <c r="A23" s="4" t="inlineStr">
        <is>
          <t>qa_entrauchung_vorhanden</t>
        </is>
      </c>
      <c r="B23" s="4" t="inlineStr">
        <is>
          <t>15.9</t>
        </is>
      </c>
      <c r="C23" s="4" t="inlineStr">
        <is>
          <t>A – Anlagenmerkmale</t>
        </is>
      </c>
      <c r="D23" s="4" t="inlineStr">
        <is>
          <t>Schachtentrauchung / RWA / Lüftungsöffnung im Schachtkopf vorhanden?</t>
        </is>
      </c>
      <c r="E23" s="4" t="inlineStr">
        <is>
          <t>YES_NO</t>
        </is>
      </c>
      <c r="F23" s="4" t="inlineStr"/>
      <c r="G23" s="4" t="inlineStr"/>
      <c r="H23" s="4" t="inlineStr"/>
      <c r="I23" s="4" t="inlineStr">
        <is>
          <t>MF-U10</t>
        </is>
      </c>
    </row>
    <row r="24">
      <c r="A24" s="2" t="inlineStr">
        <is>
          <t>qa_sprinkler_vorhanden</t>
        </is>
      </c>
      <c r="B24" s="2" t="inlineStr">
        <is>
          <t>15.10</t>
        </is>
      </c>
      <c r="C24" s="2" t="inlineStr">
        <is>
          <t>A – Anlagenmerkmale</t>
        </is>
      </c>
      <c r="D24" s="2" t="inlineStr">
        <is>
          <t>Löschanlage / Sprinkler im Schacht oder Triebwerksraum vorhanden?</t>
        </is>
      </c>
      <c r="E24" s="2" t="inlineStr">
        <is>
          <t>YES_NO</t>
        </is>
      </c>
      <c r="F24" s="2" t="inlineStr"/>
      <c r="G24" s="2" t="inlineStr"/>
      <c r="H24" s="2" t="inlineStr"/>
      <c r="I24" s="2" t="inlineStr">
        <is>
          <t>MF-U11</t>
        </is>
      </c>
    </row>
    <row r="25">
      <c r="A25" s="4" t="inlineStr">
        <is>
          <t>qa_ucm_a3</t>
        </is>
      </c>
      <c r="B25" s="4" t="inlineStr">
        <is>
          <t>4.5</t>
        </is>
      </c>
      <c r="C25" s="4" t="inlineStr">
        <is>
          <t>A – Anlagenmerkmale</t>
        </is>
      </c>
      <c r="D25" s="4" t="inlineStr">
        <is>
          <t>UCM-Schutz (unbeabsichtigte Fahrkorbbewegung, A3 / EN 81-20 5.6.7) vorhanden?</t>
        </is>
      </c>
      <c r="E25" s="4" t="inlineStr">
        <is>
          <t>YES_NO</t>
        </is>
      </c>
      <c r="F25" s="4" t="inlineStr"/>
      <c r="G25" s="4" t="inlineStr">
        <is>
          <t>„Ja" nur mit Nachweis in den Anlagenunterlagen. Vorbelegt wird die Frage nicht aus dem Baujahr, sondern aus dem Errichtungsregelwerk (1.28: EN 81-1/2 + A3 seit 2012, EN 81-20 durchgehend) und nur, wenn die Konformitätserklärung vorliegt (1.29) – beides zusammen ist der Nachweis. Liegt sie nicht vor oder ist das Regelwerk unbekannt und das Baujahr vor 2012, bleibt die Frage zu erheben (Entscheidung Arne 20.09.2026 zum Prüfbericht, Befund B07).</t>
        </is>
      </c>
      <c r="H25" s="4" t="inlineStr"/>
      <c r="I25" s="4" t="inlineStr">
        <is>
          <t>MF-D06, MF-K12</t>
        </is>
      </c>
    </row>
    <row r="26">
      <c r="A26" s="2" t="inlineStr">
        <is>
          <t>qa_lagerung_statisch_bestimmt</t>
        </is>
      </c>
      <c r="B26" s="2" t="inlineStr">
        <is>
          <t>4.6</t>
        </is>
      </c>
      <c r="C26" s="2" t="inlineStr">
        <is>
          <t>A – Anlagenmerkmale</t>
        </is>
      </c>
      <c r="D26" s="2" t="inlineStr">
        <is>
          <t>Antriebswelle statisch bestimmt gelagert (keine 3-Punkt-Lagerung)?</t>
        </is>
      </c>
      <c r="E26" s="2" t="inlineStr">
        <is>
          <t>YES_NO</t>
        </is>
      </c>
      <c r="F26" s="2" t="inlineStr"/>
      <c r="G26" s="2" t="inlineStr">
        <is>
          <t>Nur bei Treibscheiben- und Trommelantrieb. Indirekte Hydraulikaufzüge haben keine Antriebswelle im Sinne von TRBS 3121 Anh. 1 Nr. 16.</t>
        </is>
      </c>
      <c r="H26" s="2" t="inlineStr">
        <is>
          <t>3.1 Aufzugsart in [„Seil-/Riemenaufzug (Treibscheibe)", „Trommel- oder Kettenaufzug"]</t>
        </is>
      </c>
      <c r="I26" s="2" t="inlineStr">
        <is>
          <t>MF-K12, MF-K14</t>
        </is>
      </c>
    </row>
    <row r="27">
      <c r="A27" s="4" t="inlineStr">
        <is>
          <t>qa_grubentiefe</t>
        </is>
      </c>
      <c r="B27" s="4" t="inlineStr">
        <is>
          <t>11.1</t>
        </is>
      </c>
      <c r="C27" s="4" t="inlineStr">
        <is>
          <t>A – Anlagenmerkmale</t>
        </is>
      </c>
      <c r="D27" s="4" t="inlineStr">
        <is>
          <t>Schachtgrubentiefe über 1,60 m?</t>
        </is>
      </c>
      <c r="E27" s="4" t="inlineStr">
        <is>
          <t>YES_NO</t>
        </is>
      </c>
      <c r="F27" s="4" t="inlineStr"/>
      <c r="G27" s="4" t="inlineStr">
        <is>
          <t>Regelgrenze 1,60 m (DIN EN 81-20 5.2.1.5.1 a): bei Grubentiefe über 1,60 m zwei Notbremsschalter). Aus dem Anlagenstamm (Grubentiefe [m]).</t>
        </is>
      </c>
      <c r="H27" s="4" t="inlineStr"/>
      <c r="I27" s="4" t="inlineStr">
        <is>
          <t>MF-G03</t>
        </is>
      </c>
    </row>
    <row r="28">
      <c r="A28" s="2" t="inlineStr">
        <is>
          <t>qt_nur_eingewiesene</t>
        </is>
      </c>
      <c r="B28" s="2" t="inlineStr">
        <is>
          <t>8.9b</t>
        </is>
      </c>
      <c r="C28" s="2" t="inlineStr">
        <is>
          <t>A – Anlagenmerkmale</t>
        </is>
      </c>
      <c r="D28" s="2" t="inlineStr">
        <is>
          <t>Ohne Fahrkorbtür: Lastenaufzug, der ausschließlich von eingewiesenen Personen benutzt wird (Einweisung dokumentiert)?</t>
        </is>
      </c>
      <c r="E28" s="2" t="inlineStr">
        <is>
          <t>YES_NO</t>
        </is>
      </c>
      <c r="F28" s="2" t="inlineStr"/>
      <c r="G28" s="2" t="inlineStr">
        <is>
          <t>TRBS 3121 Anh. 1 Nr. 14 c): Das Sicherheitslichtgitter ersetzt die Fahrkorbtür nur bei Lastenaufzügen mit ausschließlich eingewiesenem Nutzerkreis.</t>
        </is>
      </c>
      <c r="H28" s="2" t="inlineStr">
        <is>
          <t>(8.6 Fahrkorbabschlusstür vorhanden? = Nein UND (8.9 Ohne Fahrkorbtür: Sicherheitslichtgitter vorhanden? = Ja ODER 8.9a Ohne Fahrkorbtür: Scherengitter vorhanden? = Ja))</t>
        </is>
      </c>
      <c r="I28" s="2" t="inlineStr">
        <is>
          <t>MF-T06</t>
        </is>
      </c>
    </row>
    <row r="29">
      <c r="A29" s="4" t="inlineStr">
        <is>
          <t>qm_personal_eingewiesen</t>
        </is>
      </c>
      <c r="B29" s="4" t="inlineStr">
        <is>
          <t>5.53b</t>
        </is>
      </c>
      <c r="C29" s="4" t="inlineStr">
        <is>
          <t>D – Unterlagen und Betreiberorganisation</t>
        </is>
      </c>
      <c r="D29" s="4" t="inlineStr">
        <is>
          <t>Beauftragte Personen in die Personenbefreiung eingewiesen?</t>
        </is>
      </c>
      <c r="E29" s="4" t="inlineStr">
        <is>
          <t>YES_NO</t>
        </is>
      </c>
      <c r="F29" s="4" t="inlineStr"/>
      <c r="G29" s="4" t="inlineStr">
        <is>
          <t>Setzt eine benannte beauftragte Person voraus (E1). Fehlt sie ganz, ist das der Befund von MF-D05 – die Einweisung wird dann nicht zusätzlich bemängelt (Prüfbericht 20.09.2026).</t>
        </is>
      </c>
      <c r="H29" s="4" t="inlineStr">
        <is>
          <t>E1 Beauftragte Person für die Aufzugsanlage (Aufzugswärter) schriftlich benannt? = Ja</t>
        </is>
      </c>
      <c r="I29" s="4" t="inlineStr">
        <is>
          <t>MF-M15</t>
        </is>
      </c>
    </row>
    <row r="30">
      <c r="A30" s="2" t="inlineStr">
        <is>
          <t>qm_stromlaufplan</t>
        </is>
      </c>
      <c r="B30" s="2" t="inlineStr">
        <is>
          <t>5.55</t>
        </is>
      </c>
      <c r="C30" s="2" t="inlineStr">
        <is>
          <t>D – Unterlagen und Betreiberorganisation</t>
        </is>
      </c>
      <c r="D30" s="2" t="inlineStr">
        <is>
          <t>Stromlaufplan / Schaltunterlagen</t>
        </is>
      </c>
      <c r="E30" s="2" t="inlineStr">
        <is>
          <t>SELECT</t>
        </is>
      </c>
      <c r="F30" s="2" t="inlineStr">
        <is>
          <t>Vorhanden und aktuell
Vorhanden, aber unrichtig oder unvollständig
Nicht vorhanden</t>
        </is>
      </c>
      <c r="G30" s="2" t="inlineStr"/>
      <c r="H30" s="2" t="inlineStr"/>
      <c r="I30" s="2" t="inlineStr">
        <is>
          <t>MF-M17</t>
        </is>
      </c>
    </row>
    <row r="31">
      <c r="A31" s="4" t="inlineStr">
        <is>
          <t>qm_betriebsanleitung</t>
        </is>
      </c>
      <c r="B31" s="4" t="inlineStr">
        <is>
          <t>5.57</t>
        </is>
      </c>
      <c r="C31" s="4" t="inlineStr">
        <is>
          <t>D – Unterlagen und Betreiberorganisation</t>
        </is>
      </c>
      <c r="D31" s="4" t="inlineStr">
        <is>
          <t>Betriebs-/Bedienungsanleitung der Anlage</t>
        </is>
      </c>
      <c r="E31" s="4" t="inlineStr">
        <is>
          <t>SELECT</t>
        </is>
      </c>
      <c r="F31" s="4" t="inlineStr">
        <is>
          <t>Vorhanden und aktuell
Vorhanden, aber nicht aktuell oder unvollständig
Nicht vorhanden</t>
        </is>
      </c>
      <c r="G31" s="4" t="inlineStr"/>
      <c r="H31" s="4" t="inlineStr"/>
      <c r="I31" s="4" t="inlineStr">
        <is>
          <t>MF-M17</t>
        </is>
      </c>
    </row>
    <row r="32">
      <c r="A32" s="2" t="inlineStr">
        <is>
          <t>qt_dreikant_hinterlegt</t>
        </is>
      </c>
      <c r="B32" s="2" t="inlineStr">
        <is>
          <t>7.6</t>
        </is>
      </c>
      <c r="C32" s="2" t="inlineStr">
        <is>
          <t>D – Unterlagen und Betreiberorganisation</t>
        </is>
      </c>
      <c r="D32" s="2" t="inlineStr">
        <is>
          <t>Passender Entriegelungsschlüssel (Dreikant) für die Personenbefreiung vor Ort hinterlegt?</t>
        </is>
      </c>
      <c r="E32" s="2" t="inlineStr">
        <is>
          <t>YES_NO</t>
        </is>
      </c>
      <c r="F32" s="2" t="inlineStr"/>
      <c r="G32" s="2" t="inlineStr"/>
      <c r="H32" s="2" t="inlineStr"/>
      <c r="I32" s="2" t="inlineStr">
        <is>
          <t>MF-T02</t>
        </is>
      </c>
    </row>
    <row r="33">
      <c r="A33" s="4" t="inlineStr">
        <is>
          <t>qu_unfaelle</t>
        </is>
      </c>
      <c r="B33" s="4" t="inlineStr">
        <is>
          <t>15.30</t>
        </is>
      </c>
      <c r="C33" s="4" t="inlineStr">
        <is>
          <t>D – Unterlagen und Betreiberorganisation</t>
        </is>
      </c>
      <c r="D33" s="4" t="inlineStr">
        <is>
          <t>Unfälle oder gefährliche Ereignisse an der Anlage in den letzten Jahren</t>
        </is>
      </c>
      <c r="E33" s="4" t="inlineStr">
        <is>
          <t>SELECT</t>
        </is>
      </c>
      <c r="F33" s="4" t="inlineStr">
        <is>
          <t>Keine bekannt
Ereignisse mit Sachschaden
Unfälle mit Personenschaden</t>
        </is>
      </c>
      <c r="G33" s="4" t="inlineStr"/>
      <c r="H33" s="4" t="inlineStr"/>
      <c r="I33" s="4" t="inlineStr">
        <is>
          <t>MF-U15</t>
        </is>
      </c>
    </row>
    <row r="34">
      <c r="A34" s="2" t="inlineStr">
        <is>
          <t>qd_notfallplan</t>
        </is>
      </c>
      <c r="B34" s="2" t="inlineStr">
        <is>
          <t>3.2</t>
        </is>
      </c>
      <c r="C34" s="2" t="inlineStr">
        <is>
          <t>D – Unterlagen und Betreiberorganisation</t>
        </is>
      </c>
      <c r="D34" s="2" t="inlineStr">
        <is>
          <t>Notfallplan für die Anlage vorhanden und aktuell (Ansprechpartner, Befreiungsdienst, Meldewege)?</t>
        </is>
      </c>
      <c r="E34" s="2" t="inlineStr">
        <is>
          <t>YES_NO</t>
        </is>
      </c>
      <c r="F34" s="2" t="inlineStr"/>
      <c r="G34" s="2" t="inlineStr">
        <is>
          <t>Nachweis: Aushang bzw. Dokument mit Ansprechpartnern, Notrufdienst, Befreiungsdienst und Zugangsregelung (BetrSichV Anh. 1 Nr. 4.1, TRBS 3121 Abschnitt 3.6).</t>
        </is>
      </c>
      <c r="H34" s="2" t="inlineStr"/>
      <c r="I34" s="2" t="inlineStr">
        <is>
          <t>MF-D01</t>
        </is>
      </c>
    </row>
    <row r="35">
      <c r="A35" s="4" t="inlineStr">
        <is>
          <t>qd_notbefreiungsanleitung</t>
        </is>
      </c>
      <c r="B35" s="4" t="inlineStr">
        <is>
          <t>3.3</t>
        </is>
      </c>
      <c r="C35" s="4" t="inlineStr">
        <is>
          <t>D – Unterlagen und Betreiberorganisation</t>
        </is>
      </c>
      <c r="D35" s="4" t="inlineStr">
        <is>
          <t>Anlagenbezogene Notbefreiungs-/Evakuierungsanleitung</t>
        </is>
      </c>
      <c r="E35" s="4" t="inlineStr">
        <is>
          <t>SELECT</t>
        </is>
      </c>
      <c r="F35" s="4" t="inlineStr">
        <is>
          <t>Vorhanden, zur Anlage passend und aktuell
Vorhanden, aber veraltet oder nicht zur Anlage passend
Nicht vorhanden</t>
        </is>
      </c>
      <c r="G35" s="4" t="inlineStr"/>
      <c r="H35" s="4" t="inlineStr"/>
      <c r="I35" s="4" t="inlineStr">
        <is>
          <t>MF-D02</t>
        </is>
      </c>
    </row>
    <row r="36">
      <c r="A36" s="2" t="inlineStr">
        <is>
          <t>qd_wartungsunterlagen</t>
        </is>
      </c>
      <c r="B36" s="2" t="inlineStr">
        <is>
          <t>3.9</t>
        </is>
      </c>
      <c r="C36" s="2" t="inlineStr">
        <is>
          <t>D – Unterlagen und Betreiberorganisation</t>
        </is>
      </c>
      <c r="D36" s="2" t="inlineStr">
        <is>
          <t>Wartungsunterlagen und Prüfbuch vorhanden und aktuell?</t>
        </is>
      </c>
      <c r="E36" s="2" t="inlineStr">
        <is>
          <t>YES_NO</t>
        </is>
      </c>
      <c r="F36" s="2" t="inlineStr"/>
      <c r="G36" s="2" t="inlineStr"/>
      <c r="H36" s="2" t="inlineStr"/>
      <c r="I36" s="2" t="inlineStr">
        <is>
          <t>MF-D03</t>
        </is>
      </c>
    </row>
    <row r="37">
      <c r="A37" s="4" t="inlineStr">
        <is>
          <t>qd_regelmaessige_wartung</t>
        </is>
      </c>
      <c r="B37" s="4" t="inlineStr">
        <is>
          <t>3.10</t>
        </is>
      </c>
      <c r="C37" s="4" t="inlineStr">
        <is>
          <t>D – Unterlagen und Betreiberorganisation</t>
        </is>
      </c>
      <c r="D37" s="4" t="inlineStr">
        <is>
          <t>Wird die Anlage regelmäßig durch ein Fachunternehmen instand gehalten (Wartungsvertrag)?</t>
        </is>
      </c>
      <c r="E37" s="4" t="inlineStr">
        <is>
          <t>YES_NO</t>
        </is>
      </c>
      <c r="F37" s="4" t="inlineStr"/>
      <c r="G37" s="4" t="inlineStr"/>
      <c r="H37" s="4" t="inlineStr"/>
      <c r="I37" s="4" t="inlineStr">
        <is>
          <t>MF-D03</t>
        </is>
      </c>
    </row>
    <row r="38">
      <c r="A38" s="2" t="inlineStr">
        <is>
          <t>qd_pruefplakette</t>
        </is>
      </c>
      <c r="B38" s="2" t="inlineStr">
        <is>
          <t>3.6</t>
        </is>
      </c>
      <c r="C38" s="2" t="inlineStr">
        <is>
          <t>D – Unterlagen und Betreiberorganisation</t>
        </is>
      </c>
      <c r="D38" s="2" t="inlineStr">
        <is>
          <t>Prüfplakette der ZÜS vorhanden und lesbar?</t>
        </is>
      </c>
      <c r="E38" s="2" t="inlineStr">
        <is>
          <t>YES_NO</t>
        </is>
      </c>
      <c r="F38" s="2" t="inlineStr"/>
      <c r="G38" s="2" t="inlineStr"/>
      <c r="H38" s="2" t="inlineStr"/>
      <c r="I38" s="2" t="inlineStr">
        <is>
          <t>MF-D04</t>
        </is>
      </c>
    </row>
    <row r="39">
      <c r="A39" s="4" t="inlineStr">
        <is>
          <t>qd_zues_bericht</t>
        </is>
      </c>
      <c r="B39" s="4" t="inlineStr">
        <is>
          <t>3.7</t>
        </is>
      </c>
      <c r="C39" s="4" t="inlineStr">
        <is>
          <t>D – Unterlagen und Betreiberorganisation</t>
        </is>
      </c>
      <c r="D39" s="4" t="inlineStr">
        <is>
          <t>Letzte ZÜS-Hauptprüfung: Prüfbericht liegt vor und ohne offene sicherheitsrelevante Mängel?</t>
        </is>
      </c>
      <c r="E39" s="4" t="inlineStr">
        <is>
          <t>SELECT</t>
        </is>
      </c>
      <c r="F39" s="4" t="inlineStr">
        <is>
          <t>Ja – Prüfbericht liegt vor, keine offenen sicherheitsrelevanten Mängel
Prüfbericht liegt vor, aber mit offenen sicherheitsrelevanten Mängeln
Nein – kein Prüfbericht verfügbar / unbekannt</t>
        </is>
      </c>
      <c r="G39" s="4" t="inlineStr">
        <is>
          <t>Steuerfrage ohne eigene Bewertung. Bei „Ja“ werden die im Prüfbericht geprüften Einrichtungen (Verriegelungen, Fangvorrichtung, Begrenzer, Puffer, Bremse, Notruf-Funktion, Beleuchtung, Haltegenauigkeit, elektrische Anlage) als unauffällig vorbelegt – Herkunft „Nachweis“ mit Datum des Prüfberichts, bereichsweise zu bestätigen. Grundlage: TRBS 1201 Teil 4 3.3 (2) Nr. 1–31; die Prüfberichte gehören nach TRBS 3121 3.2 zu den Unterlagen des Betreibers. Ein im Prüfbericht gemeldeter Mangel setzt die betroffene Frage nicht auf „unauffällig“.</t>
        </is>
      </c>
      <c r="H39" s="4" t="inlineStr"/>
      <c r="I39" s="4" t="inlineStr">
        <is>
          <t>MF-D04</t>
        </is>
      </c>
    </row>
    <row r="40">
      <c r="A40" s="2" t="inlineStr">
        <is>
          <t>qd_pruefung_ueberfaellig</t>
        </is>
      </c>
      <c r="B40" s="2" t="inlineStr">
        <is>
          <t>3.8</t>
        </is>
      </c>
      <c r="C40" s="2" t="inlineStr">
        <is>
          <t>D – Unterlagen und Betreiberorganisation</t>
        </is>
      </c>
      <c r="D40" s="2" t="inlineStr">
        <is>
          <t>Prüffrist der wiederkehrenden Prüfung (ZÜS) überschritten?</t>
        </is>
      </c>
      <c r="E40" s="2" t="inlineStr">
        <is>
          <t>YES_NO</t>
        </is>
      </c>
      <c r="F40" s="2" t="inlineStr"/>
      <c r="G40" s="2" t="inlineStr"/>
      <c r="H40" s="2" t="inlineStr"/>
      <c r="I40" s="2" t="inlineStr">
        <is>
          <t>MF-D04</t>
        </is>
      </c>
    </row>
    <row r="41">
      <c r="A41" s="4" t="inlineStr">
        <is>
          <t>qd_beauftragte_person</t>
        </is>
      </c>
      <c r="B41" s="4" t="inlineStr">
        <is>
          <t>E1</t>
        </is>
      </c>
      <c r="C41" s="4" t="inlineStr">
        <is>
          <t>D – Unterlagen und Betreiberorganisation</t>
        </is>
      </c>
      <c r="D41" s="4" t="inlineStr">
        <is>
          <t>Beauftragte Person für die Aufzugsanlage (Aufzugswärter) schriftlich benannt?</t>
        </is>
      </c>
      <c r="E41" s="4" t="inlineStr">
        <is>
          <t>YES_NO</t>
        </is>
      </c>
      <c r="F41" s="4" t="inlineStr"/>
      <c r="G41" s="4" t="inlineStr"/>
      <c r="H41" s="4" t="inlineStr"/>
      <c r="I41" s="4" t="inlineStr">
        <is>
          <t>MF-D05, MF-M15</t>
        </is>
      </c>
    </row>
    <row r="42">
      <c r="A42" s="2" t="inlineStr">
        <is>
          <t>qd_unterweisung</t>
        </is>
      </c>
      <c r="B42" s="2" t="inlineStr">
        <is>
          <t>E2</t>
        </is>
      </c>
      <c r="C42" s="2" t="inlineStr">
        <is>
          <t>D – Unterlagen und Betreiberorganisation</t>
        </is>
      </c>
      <c r="D42" s="2" t="inlineStr">
        <is>
          <t>Unterweisung der beauftragten Person dokumentiert?</t>
        </is>
      </c>
      <c r="E42" s="2" t="inlineStr">
        <is>
          <t>YES_NO</t>
        </is>
      </c>
      <c r="F42" s="2" t="inlineStr"/>
      <c r="G42" s="2" t="inlineStr"/>
      <c r="H42" s="2" t="inlineStr">
        <is>
          <t>E1 Beauftragte Person für die Aufzugsanlage (Aufzugswärter) schriftlich benannt? = Ja</t>
        </is>
      </c>
      <c r="I42" s="2" t="inlineStr">
        <is>
          <t>MF-D05</t>
        </is>
      </c>
    </row>
    <row r="43">
      <c r="A43" s="4" t="inlineStr">
        <is>
          <t>qd_betriebsanweisung</t>
        </is>
      </c>
      <c r="B43" s="4" t="inlineStr">
        <is>
          <t>E3</t>
        </is>
      </c>
      <c r="C43" s="4" t="inlineStr">
        <is>
          <t>D – Unterlagen und Betreiberorganisation</t>
        </is>
      </c>
      <c r="D43" s="4" t="inlineStr">
        <is>
          <t>Betriebsanweisung für die Anlage vorhanden und ausgehängt?</t>
        </is>
      </c>
      <c r="E43" s="4" t="inlineStr">
        <is>
          <t>YES_NO</t>
        </is>
      </c>
      <c r="F43" s="4" t="inlineStr"/>
      <c r="G43" s="4" t="inlineStr"/>
      <c r="H43" s="4" t="inlineStr"/>
      <c r="I43" s="4" t="inlineStr">
        <is>
          <t>MF-D05</t>
        </is>
      </c>
    </row>
    <row r="44">
      <c r="A44" s="2" t="inlineStr">
        <is>
          <t>qd_zugang_mr_geregelt</t>
        </is>
      </c>
      <c r="B44" s="2" t="inlineStr">
        <is>
          <t>E4</t>
        </is>
      </c>
      <c r="C44" s="2" t="inlineStr">
        <is>
          <t>D – Unterlagen und Betreiberorganisation</t>
        </is>
      </c>
      <c r="D44" s="2" t="inlineStr">
        <is>
          <t>Zutritt zum Triebwerksraum / Steuerschrank organisatorisch geregelt (Schlüsselverwaltung, nur befugte Personen)?</t>
        </is>
      </c>
      <c r="E44" s="2" t="inlineStr">
        <is>
          <t>YES_NO</t>
        </is>
      </c>
      <c r="F44" s="2" t="inlineStr"/>
      <c r="G44" s="2" t="inlineStr"/>
      <c r="H44" s="2" t="inlineStr"/>
      <c r="I44" s="2" t="inlineStr">
        <is>
          <t>MF-D05</t>
        </is>
      </c>
    </row>
    <row r="45">
      <c r="A45" s="4" t="inlineStr">
        <is>
          <t>qd_gbu_vorhanden</t>
        </is>
      </c>
      <c r="B45" s="4" t="inlineStr">
        <is>
          <t>E5</t>
        </is>
      </c>
      <c r="C45" s="4" t="inlineStr">
        <is>
          <t>D – Unterlagen und Betreiberorganisation</t>
        </is>
      </c>
      <c r="D45" s="4" t="inlineStr">
        <is>
          <t>Liegt für die Anlage bereits eine dokumentierte Gefährdungsbeurteilung des Betreibers vor?</t>
        </is>
      </c>
      <c r="E45" s="4" t="inlineStr">
        <is>
          <t>YES_NO</t>
        </is>
      </c>
      <c r="F45" s="4" t="inlineStr"/>
      <c r="G45" s="4" t="inlineStr"/>
      <c r="H45" s="4" t="inlineStr"/>
      <c r="I45" s="4" t="inlineStr">
        <is>
          <t>MF-D05</t>
        </is>
      </c>
    </row>
    <row r="46">
      <c r="A46" s="2" t="inlineStr">
        <is>
          <t>qd_konformitaet_geprueft</t>
        </is>
      </c>
      <c r="B46" s="2" t="inlineStr">
        <is>
          <t>1.29</t>
        </is>
      </c>
      <c r="C46" s="2" t="inlineStr">
        <is>
          <t>D – Unterlagen und Betreiberorganisation</t>
        </is>
      </c>
      <c r="D46" s="2" t="inlineStr">
        <is>
          <t>Konformitätserklärung und Abnahmeunterlagen der Anlage liegen vor?</t>
        </is>
      </c>
      <c r="E46" s="2" t="inlineStr">
        <is>
          <t>YES_NO</t>
        </is>
      </c>
      <c r="F46" s="2" t="inlineStr"/>
      <c r="G46" s="2" t="inlineStr">
        <is>
          <t>Nur für Anlagen, die nach der Aufzugsrichtlinie in Verkehr gebracht wurden (ab 1999). Bei Altanlagen nach TRA: Nein wählen. Die Frage schaltet zugleich alle Baujahr-Annahmen: Nur bei „Ja" gelten Merkmale, die zum Baujahr vorgeschrieben waren, als abgenommen (Prüfbericht 20.09.2026 – bisher reichte dafür eine unbeantwortete Frage).</t>
        </is>
      </c>
      <c r="H46" s="2" t="inlineStr"/>
      <c r="I46" s="2" t="inlineStr">
        <is>
          <t>MF-D06</t>
        </is>
      </c>
    </row>
    <row r="47">
      <c r="A47" s="4" t="inlineStr">
        <is>
          <t>qa_nutzung_flurfoerderzeug</t>
        </is>
      </c>
      <c r="B47" s="4" t="inlineStr">
        <is>
          <t>4.10</t>
        </is>
      </c>
      <c r="C47" s="4" t="inlineStr">
        <is>
          <t>U – Umfeld, Gebäude und Nutzung</t>
        </is>
      </c>
      <c r="D47" s="4" t="inlineStr">
        <is>
          <t>Beladung mit Flurförderzeugen oder Transportwagen?</t>
        </is>
      </c>
      <c r="E47" s="4" t="inlineStr">
        <is>
          <t>YES_NO</t>
        </is>
      </c>
      <c r="F47" s="4" t="inlineStr"/>
      <c r="G47" s="4" t="inlineStr"/>
      <c r="H47" s="4" t="inlineStr"/>
      <c r="I47" s="4" t="inlineStr">
        <is>
          <t>MF-K06</t>
        </is>
      </c>
    </row>
    <row r="48">
      <c r="A48" s="2" t="inlineStr">
        <is>
          <t>qu_asbest_unbekannt</t>
        </is>
      </c>
      <c r="B48" s="2" t="inlineStr">
        <is>
          <t>15.11</t>
        </is>
      </c>
      <c r="C48" s="2" t="inlineStr">
        <is>
          <t>U – Umfeld, Gebäude und Nutzung</t>
        </is>
      </c>
      <c r="D48" s="2" t="inlineStr">
        <is>
          <t>Ist die Asbest-/Schadstoffsituation der Anlage unbekannt (Baujahr vor 1995, keine Unterlagen, keine Beprobung)?</t>
        </is>
      </c>
      <c r="E48" s="2" t="inlineStr">
        <is>
          <t>YES_NO</t>
        </is>
      </c>
      <c r="F48" s="2" t="inlineStr"/>
      <c r="G48" s="2" t="inlineStr">
        <is>
          <t>Ja, wenn keine Schadstofferkundung vorliegt und asbesthaltige Bauteile nach Baujahr oder Bauart nicht auszuschließen sind. Das ist kein Befund, sondern ein Erkundungsbedarf.</t>
        </is>
      </c>
      <c r="H48" s="2" t="inlineStr"/>
      <c r="I48" s="2" t="inlineStr">
        <is>
          <t>MF-U01</t>
        </is>
      </c>
    </row>
    <row r="49">
      <c r="A49" s="4" t="inlineStr">
        <is>
          <t>qu_gefahrstoff_chem_lager</t>
        </is>
      </c>
      <c r="B49" s="4" t="inlineStr">
        <is>
          <t>15.28</t>
        </is>
      </c>
      <c r="C49" s="4" t="inlineStr">
        <is>
          <t>U – Umfeld, Gebäude und Nutzung</t>
        </is>
      </c>
      <c r="D49" s="4" t="inlineStr">
        <is>
          <t>Chemische Gefahrstoffe in unmittelbarer Nähe der Anlage gelagert?</t>
        </is>
      </c>
      <c r="E49" s="4" t="inlineStr">
        <is>
          <t>YES_NO</t>
        </is>
      </c>
      <c r="F49" s="4" t="inlineStr"/>
      <c r="G49" s="4" t="inlineStr"/>
      <c r="H49" s="4" t="inlineStr"/>
      <c r="I49" s="4" t="inlineStr">
        <is>
          <t>MF-U04</t>
        </is>
      </c>
    </row>
    <row r="50">
      <c r="A50" s="2" t="inlineStr">
        <is>
          <t>qu_gefahrstoff_bio_lager</t>
        </is>
      </c>
      <c r="B50" s="2" t="inlineStr">
        <is>
          <t>15.29</t>
        </is>
      </c>
      <c r="C50" s="2" t="inlineStr">
        <is>
          <t>U – Umfeld, Gebäude und Nutzung</t>
        </is>
      </c>
      <c r="D50" s="2" t="inlineStr">
        <is>
          <t>Biologische Arbeitsstoffe (Labor, Klinik, Entsorgung) in unmittelbarer Nähe der Anlage?</t>
        </is>
      </c>
      <c r="E50" s="2" t="inlineStr">
        <is>
          <t>YES_NO</t>
        </is>
      </c>
      <c r="F50" s="2" t="inlineStr"/>
      <c r="G50" s="2" t="inlineStr"/>
      <c r="H50" s="2" t="inlineStr"/>
      <c r="I50" s="2" t="inlineStr">
        <is>
          <t>MF-U04</t>
        </is>
      </c>
    </row>
    <row r="51">
      <c r="A51" s="4" t="inlineStr">
        <is>
          <t>qu_transport_chem</t>
        </is>
      </c>
      <c r="B51" s="4" t="inlineStr">
        <is>
          <t>15.32</t>
        </is>
      </c>
      <c r="C51" s="4" t="inlineStr">
        <is>
          <t>U – Umfeld, Gebäude und Nutzung</t>
        </is>
      </c>
      <c r="D51" s="4" t="inlineStr">
        <is>
          <t>Transport chemischer Gefahrstoffe mit dem Aufzug?</t>
        </is>
      </c>
      <c r="E51" s="4" t="inlineStr">
        <is>
          <t>YES_NO</t>
        </is>
      </c>
      <c r="F51" s="4" t="inlineStr"/>
      <c r="G51" s="4" t="inlineStr"/>
      <c r="H51" s="4" t="inlineStr"/>
      <c r="I51" s="4" t="inlineStr">
        <is>
          <t>MF-U05</t>
        </is>
      </c>
    </row>
    <row r="52">
      <c r="A52" s="2" t="inlineStr">
        <is>
          <t>qu_transport_bio</t>
        </is>
      </c>
      <c r="B52" s="2" t="inlineStr">
        <is>
          <t>15.33</t>
        </is>
      </c>
      <c r="C52" s="2" t="inlineStr">
        <is>
          <t>U – Umfeld, Gebäude und Nutzung</t>
        </is>
      </c>
      <c r="D52" s="2" t="inlineStr">
        <is>
          <t>Transport biologischer Arbeitsstoffe / infektiöser Stoffe mit dem Aufzug?</t>
        </is>
      </c>
      <c r="E52" s="2" t="inlineStr">
        <is>
          <t>YES_NO</t>
        </is>
      </c>
      <c r="F52" s="2" t="inlineStr"/>
      <c r="G52" s="2" t="inlineStr"/>
      <c r="H52" s="2" t="inlineStr"/>
      <c r="I52" s="2" t="inlineStr">
        <is>
          <t>MF-U05</t>
        </is>
      </c>
    </row>
    <row r="53">
      <c r="A53" s="4" t="inlineStr">
        <is>
          <t>qu_transport_brennbar</t>
        </is>
      </c>
      <c r="B53" s="4" t="inlineStr">
        <is>
          <t>15.34</t>
        </is>
      </c>
      <c r="C53" s="4" t="inlineStr">
        <is>
          <t>U – Umfeld, Gebäude und Nutzung</t>
        </is>
      </c>
      <c r="D53" s="4" t="inlineStr">
        <is>
          <t>Transport brennbarer oder leicht entzündlicher Stoffe mit dem Aufzug?</t>
        </is>
      </c>
      <c r="E53" s="4" t="inlineStr">
        <is>
          <t>YES_NO</t>
        </is>
      </c>
      <c r="F53" s="4" t="inlineStr"/>
      <c r="G53" s="4" t="inlineStr"/>
      <c r="H53" s="4" t="inlineStr"/>
      <c r="I53" s="4" t="inlineStr">
        <is>
          <t>MF-U05</t>
        </is>
      </c>
    </row>
    <row r="54">
      <c r="A54" s="2" t="inlineStr">
        <is>
          <t>qu_transport_radioaktiv</t>
        </is>
      </c>
      <c r="B54" s="2" t="inlineStr">
        <is>
          <t>15.35</t>
        </is>
      </c>
      <c r="C54" s="2" t="inlineStr">
        <is>
          <t>U – Umfeld, Gebäude und Nutzung</t>
        </is>
      </c>
      <c r="D54" s="2" t="inlineStr">
        <is>
          <t>Transport radioaktiver Stoffe mit dem Aufzug?</t>
        </is>
      </c>
      <c r="E54" s="2" t="inlineStr">
        <is>
          <t>YES_NO</t>
        </is>
      </c>
      <c r="F54" s="2" t="inlineStr"/>
      <c r="G54" s="2" t="inlineStr"/>
      <c r="H54" s="2" t="inlineStr"/>
      <c r="I54" s="2" t="inlineStr">
        <is>
          <t>MF-U05</t>
        </is>
      </c>
    </row>
    <row r="55">
      <c r="A55" s="4" t="inlineStr">
        <is>
          <t>qu_transport_chem_geregelt</t>
        </is>
      </c>
      <c r="B55" s="4" t="inlineStr">
        <is>
          <t>15.32a</t>
        </is>
      </c>
      <c r="C55" s="4" t="inlineStr">
        <is>
          <t>U – Umfeld, Gebäude und Nutzung</t>
        </is>
      </c>
      <c r="D55" s="4" t="inlineStr">
        <is>
          <t>Transport chemischer Gefahrstoffe verbindlich geregelt und unterwiesen (Behälter, Mengenbegrenzung, Mitfahrverbot Dritter, Verhalten bei Freisetzung)?</t>
        </is>
      </c>
      <c r="E55" s="4" t="inlineStr">
        <is>
          <t>YES_NO</t>
        </is>
      </c>
      <c r="F55" s="4" t="inlineStr"/>
      <c r="G55" s="4" t="inlineStr">
        <is>
          <t>Ja nur, wenn die Regelung schriftlich vorliegt (Betriebsanweisung nach GefStoffV § 14) UND die Beteiligten darin unterwiesen sind. Eine bloß mündliche Übung genügt nicht. Im Zweifel Nein.</t>
        </is>
      </c>
      <c r="H55" s="4" t="inlineStr">
        <is>
          <t>15.32 Transport chemischer Gefahrstoffe mit dem Aufzug? = Ja</t>
        </is>
      </c>
      <c r="I55" s="4" t="inlineStr">
        <is>
          <t>MF-U05</t>
        </is>
      </c>
    </row>
    <row r="56">
      <c r="A56" s="2" t="inlineStr">
        <is>
          <t>qu_transport_bio_geregelt</t>
        </is>
      </c>
      <c r="B56" s="2" t="inlineStr">
        <is>
          <t>15.33a</t>
        </is>
      </c>
      <c r="C56" s="2" t="inlineStr">
        <is>
          <t>U – Umfeld, Gebäude und Nutzung</t>
        </is>
      </c>
      <c r="D56" s="2" t="inlineStr">
        <is>
          <t>Transport biologischer Arbeitsstoffe verbindlich geregelt und unterwiesen (dichte, gekennzeichnete Transportbehälter festgelegt UND Reinigungs-/Desinfektionsverfahren für den Fahrkorb nach Kontamination festgelegt)?</t>
        </is>
      </c>
      <c r="E56" s="2" t="inlineStr">
        <is>
          <t>YES_NO</t>
        </is>
      </c>
      <c r="F56" s="2" t="inlineStr"/>
      <c r="G56" s="2" t="inlineStr">
        <is>
          <t>Beide Punkte müssen erfüllt sein – Behälter allein genügen nicht, weil die Kontamination des Fahrkorbs der eigentliche Expositionspfad für das Wartungspersonal ist. Im Zweifel Nein.</t>
        </is>
      </c>
      <c r="H56" s="2" t="inlineStr">
        <is>
          <t>15.33 Transport biologischer Arbeitsstoffe / infektiöser Stoffe mit dem Aufzug? = Ja</t>
        </is>
      </c>
      <c r="I56" s="2" t="inlineStr">
        <is>
          <t>MF-U05</t>
        </is>
      </c>
    </row>
    <row r="57">
      <c r="A57" s="4" t="inlineStr">
        <is>
          <t>qu_transport_brennbar_geregelt</t>
        </is>
      </c>
      <c r="B57" s="4" t="inlineStr">
        <is>
          <t>15.34a</t>
        </is>
      </c>
      <c r="C57" s="4" t="inlineStr">
        <is>
          <t>U – Umfeld, Gebäude und Nutzung</t>
        </is>
      </c>
      <c r="D57" s="4" t="inlineStr">
        <is>
          <t>Transport brennbarer oder leicht entzündlicher Stoffe verbindlich geregelt und unterwiesen (Mengenbegrenzung, Behälter, Zündquellenverbot im Fahrkorb, Verhalten bei Freisetzung)?</t>
        </is>
      </c>
      <c r="E57" s="4" t="inlineStr">
        <is>
          <t>YES_NO</t>
        </is>
      </c>
      <c r="F57" s="4" t="inlineStr"/>
      <c r="G57" s="4" t="inlineStr">
        <is>
          <t>Die Bewertung einer möglichen explosionsfähigen Atmosphäre gehört nicht hierher, sondern unter 15.25 (MF-U06) – dort ist der Transportfall als Anlass zu berücksichtigen. Im Zweifel Nein.</t>
        </is>
      </c>
      <c r="H57" s="4" t="inlineStr">
        <is>
          <t>15.34 Transport brennbarer oder leicht entzündlicher Stoffe mit dem Aufzug? = Ja</t>
        </is>
      </c>
      <c r="I57" s="4" t="inlineStr">
        <is>
          <t>MF-U05</t>
        </is>
      </c>
    </row>
    <row r="58">
      <c r="A58" s="2" t="inlineStr">
        <is>
          <t>qu_transport_radioaktiv_geregelt</t>
        </is>
      </c>
      <c r="B58" s="2" t="inlineStr">
        <is>
          <t>15.35a</t>
        </is>
      </c>
      <c r="C58" s="2" t="inlineStr">
        <is>
          <t>U – Umfeld, Gebäude und Nutzung</t>
        </is>
      </c>
      <c r="D58" s="2" t="inlineStr">
        <is>
          <t>Strahlenschutzanweisung liegt vor UND erfasst den Transport mit dem Aufzug (Behälter, Begleitung, Verhalten bei Kontamination)?</t>
        </is>
      </c>
      <c r="E58" s="2" t="inlineStr">
        <is>
          <t>YES_NO</t>
        </is>
      </c>
      <c r="F58" s="2" t="inlineStr"/>
      <c r="G58" s="2" t="inlineStr">
        <is>
          <t>Eine allgemeine Strahlenschutzanweisung genügt nicht – sie muss den Aufzugstransport ausdrücklich erfassen und fortgeschrieben werden, und das Wartungspersonal ist über das Verhalten bei beschädigten Versandstücken zu unterweisen. Im Zweifel Nein.</t>
        </is>
      </c>
      <c r="H58" s="2" t="inlineStr">
        <is>
          <t>15.35 Transport radioaktiver Stoffe mit dem Aufzug? = Ja</t>
        </is>
      </c>
      <c r="I58" s="2" t="inlineStr">
        <is>
          <t>MF-U05</t>
        </is>
      </c>
    </row>
    <row r="59">
      <c r="A59" s="4" t="inlineStr">
        <is>
          <t>qu_ex_moeglich</t>
        </is>
      </c>
      <c r="B59" s="4" t="inlineStr">
        <is>
          <t>15.25</t>
        </is>
      </c>
      <c r="C59" s="4" t="inlineStr">
        <is>
          <t>U – Umfeld, Gebäude und Nutzung</t>
        </is>
      </c>
      <c r="D59" s="4" t="inlineStr">
        <is>
          <t>Kann sich im Bereich der Anlage ein explosionsfähiges Gemisch bilden (Gase, Dämpfe, Stäube)?</t>
        </is>
      </c>
      <c r="E59" s="4" t="inlineStr">
        <is>
          <t>YES_NO</t>
        </is>
      </c>
      <c r="F59" s="4" t="inlineStr"/>
      <c r="G59" s="4" t="inlineStr">
        <is>
          <t>Regelprüfung 20.09.2026: Auch der regelmäßige Transport von Lösemitteln oder Gasflaschen mit dem Aufzug (15.34) ist hier zu berücksichtigen – er kann im Fahrkorb selbst eine explosionsfähige Atmosphäre erzeugen. Die Explosionsschutzbewertung gehört dann in diese Gefährdung, nicht in MF-U05.</t>
        </is>
      </c>
      <c r="H59" s="4" t="inlineStr"/>
      <c r="I59" s="4" t="inlineStr">
        <is>
          <t>MF-U06</t>
        </is>
      </c>
    </row>
    <row r="60">
      <c r="A60" s="2" t="inlineStr">
        <is>
          <t>qu_ex_bewertet</t>
        </is>
      </c>
      <c r="B60" s="2" t="inlineStr">
        <is>
          <t>15.25a</t>
        </is>
      </c>
      <c r="C60" s="2" t="inlineStr">
        <is>
          <t>U – Umfeld, Gebäude und Nutzung</t>
        </is>
      </c>
      <c r="D60" s="2" t="inlineStr">
        <is>
          <t>Explosionsschutz für die Aufzugsanlage bewertet und dokumentiert (Explosionsschutzdokument)?</t>
        </is>
      </c>
      <c r="E60" s="2" t="inlineStr">
        <is>
          <t>YES_NO</t>
        </is>
      </c>
      <c r="F60" s="2" t="inlineStr"/>
      <c r="G60" s="2" t="inlineStr"/>
      <c r="H60" s="2" t="inlineStr">
        <is>
          <t>15.25 Kann sich im Bereich der Anlage ein explosionsfähiges Gemisch bilden (Gase, Dämpfe, Stäube)? = Ja</t>
        </is>
      </c>
      <c r="I60" s="2" t="inlineStr">
        <is>
          <t>MF-U06</t>
        </is>
      </c>
    </row>
    <row r="61">
      <c r="A61" s="4" t="inlineStr">
        <is>
          <t>qu_ex_umgesetzt</t>
        </is>
      </c>
      <c r="B61" s="4" t="inlineStr">
        <is>
          <t>15.25b</t>
        </is>
      </c>
      <c r="C61" s="4" t="inlineStr">
        <is>
          <t>U – Umfeld, Gebäude und Nutzung</t>
        </is>
      </c>
      <c r="D61" s="4" t="inlineStr">
        <is>
          <t>Festgelegte Ex-Schutzmaßnahmen an der Aufzugsanlage umgesetzt und auf Wirksamkeit geprüft (geeignete Betriebsmittel, Prüfung vor Inbetriebnahme/wiederkehrend)?</t>
        </is>
      </c>
      <c r="E61" s="4" t="inlineStr">
        <is>
          <t>YES_NO</t>
        </is>
      </c>
      <c r="F61" s="4" t="inlineStr"/>
      <c r="G61" s="4" t="inlineStr"/>
      <c r="H61" s="4" t="inlineStr">
        <is>
          <t>15.25a Explosionsschutz für die Aufzugsanlage bewertet und dokumentiert (Explosionsschutzdokument)? = Ja</t>
        </is>
      </c>
      <c r="I61" s="4" t="inlineStr">
        <is>
          <t>MF-U06</t>
        </is>
      </c>
    </row>
    <row r="62">
      <c r="A62" s="2" t="inlineStr">
        <is>
          <t>qu_temperatur</t>
        </is>
      </c>
      <c r="B62" s="2" t="inlineStr">
        <is>
          <t>15.23</t>
        </is>
      </c>
      <c r="C62" s="2" t="inlineStr">
        <is>
          <t>U – Umfeld, Gebäude und Nutzung</t>
        </is>
      </c>
      <c r="D62" s="2" t="inlineStr">
        <is>
          <t>Unzulässige Temperaturen im Triebwerksraum oder Schacht möglich (Überhitzung über 40 °C, Frost)?</t>
        </is>
      </c>
      <c r="E62" s="2" t="inlineStr">
        <is>
          <t>YES_NO</t>
        </is>
      </c>
      <c r="F62" s="2" t="inlineStr"/>
      <c r="G62" s="2" t="inlineStr"/>
      <c r="H62" s="2" t="inlineStr"/>
      <c r="I62" s="2" t="inlineStr">
        <is>
          <t>MF-U07</t>
        </is>
      </c>
    </row>
    <row r="63">
      <c r="A63" s="4" t="inlineStr">
        <is>
          <t>qu_feuchte_sicherheitsteile</t>
        </is>
      </c>
      <c r="B63" s="4" t="inlineStr">
        <is>
          <t>15.23a</t>
        </is>
      </c>
      <c r="C63" s="4" t="inlineStr">
        <is>
          <t>U – Umfeld, Gebäude und Nutzung</t>
        </is>
      </c>
      <c r="D63" s="4" t="inlineStr">
        <is>
          <t>Feuchtigkeit oder Kondensat an sicherheitsrelevanten Bauteilen außerhalb der Schachtgrube (Steuerung, Bremse, Türverriegelung)?</t>
        </is>
      </c>
      <c r="E63" s="4" t="inlineStr">
        <is>
          <t>YES_NO</t>
        </is>
      </c>
      <c r="F63" s="4" t="inlineStr"/>
      <c r="G63" s="4" t="inlineStr">
        <is>
          <t>Wasser und Feuchtigkeit IN der Schachtgrube werden unter 11.15 erfasst – hier nur Triebwerksraum, Schacht und Fahrkorb (Prüfbericht 20.09.2026: Abgrenzung geschärft, beide Fragen führten zuvor zur selben Stufe mit derselben Maßnahme).</t>
        </is>
      </c>
      <c r="H63" s="4" t="inlineStr"/>
      <c r="I63" s="4" t="inlineStr">
        <is>
          <t>MF-U07</t>
        </is>
      </c>
    </row>
    <row r="64">
      <c r="A64" s="2" t="inlineStr">
        <is>
          <t>qu_korrosion</t>
        </is>
      </c>
      <c r="B64" s="2" t="inlineStr">
        <is>
          <t>15.23b</t>
        </is>
      </c>
      <c r="C64" s="2" t="inlineStr">
        <is>
          <t>U – Umfeld, Gebäude und Nutzung</t>
        </is>
      </c>
      <c r="D64" s="2" t="inlineStr">
        <is>
          <t>Massive Korrosion, Betonabplatzungen oder andere bauliche Schäden am Schacht oder Triebwerksraum?</t>
        </is>
      </c>
      <c r="E64" s="2" t="inlineStr">
        <is>
          <t>YES_NO</t>
        </is>
      </c>
      <c r="F64" s="2" t="inlineStr"/>
      <c r="G64" s="2" t="inlineStr"/>
      <c r="H64" s="2" t="inlineStr"/>
      <c r="I64" s="2" t="inlineStr">
        <is>
          <t>MF-U07</t>
        </is>
      </c>
    </row>
    <row r="65">
      <c r="A65" s="4" t="inlineStr">
        <is>
          <t>qu_bauliche_aenderung</t>
        </is>
      </c>
      <c r="B65" s="4" t="inlineStr">
        <is>
          <t>15.26</t>
        </is>
      </c>
      <c r="C65" s="4" t="inlineStr">
        <is>
          <t>U – Umfeld, Gebäude und Nutzung</t>
        </is>
      </c>
      <c r="D65" s="4" t="inlineStr">
        <is>
          <t>Bauliche Änderungen am Schacht / Triebwerksraum ohne statische und sicherheitstechnische Bewertung?</t>
        </is>
      </c>
      <c r="E65" s="4" t="inlineStr">
        <is>
          <t>YES_NO</t>
        </is>
      </c>
      <c r="F65" s="4" t="inlineStr"/>
      <c r="G65" s="4" t="inlineStr"/>
      <c r="H65" s="4" t="inlineStr"/>
      <c r="I65" s="4" t="inlineStr">
        <is>
          <t>MF-U08</t>
        </is>
      </c>
    </row>
    <row r="66">
      <c r="A66" s="2" t="inlineStr">
        <is>
          <t>qu_verkleidung</t>
        </is>
      </c>
      <c r="B66" s="2" t="inlineStr">
        <is>
          <t>15.26a</t>
        </is>
      </c>
      <c r="C66" s="2" t="inlineStr">
        <is>
          <t>U – Umfeld, Gebäude und Nutzung</t>
        </is>
      </c>
      <c r="D66" s="2" t="inlineStr">
        <is>
          <t>Nachträgliche Verkleidungen oder Änderungen, die den Sicherheitszustand verschlechtern (Schutzräume, Lüftung, Zugänge)?</t>
        </is>
      </c>
      <c r="E66" s="2" t="inlineStr">
        <is>
          <t>YES_NO</t>
        </is>
      </c>
      <c r="F66" s="2" t="inlineStr"/>
      <c r="G66" s="2" t="inlineStr"/>
      <c r="H66" s="2" t="inlineStr"/>
      <c r="I66" s="2" t="inlineStr">
        <is>
          <t>MF-U08</t>
        </is>
      </c>
    </row>
    <row r="67">
      <c r="A67" s="4" t="inlineStr">
        <is>
          <t>qu_bma_abgestimmt</t>
        </is>
      </c>
      <c r="B67" s="4" t="inlineStr">
        <is>
          <t>15.8a</t>
        </is>
      </c>
      <c r="C67" s="4" t="inlineStr">
        <is>
          <t>U – Umfeld, Gebäude und Nutzung</t>
        </is>
      </c>
      <c r="D67" s="4" t="inlineStr">
        <is>
          <t>Schnittstelle Brandmeldeanlage – Aufzug bekannt und abgestimmt (Brandfallsteuerung, Rückholung, Evakuierung)?</t>
        </is>
      </c>
      <c r="E67" s="4" t="inlineStr">
        <is>
          <t>YES_NO</t>
        </is>
      </c>
      <c r="F67" s="4" t="inlineStr"/>
      <c r="G67" s="4" t="inlineStr"/>
      <c r="H67" s="4" t="inlineStr">
        <is>
          <t>15.8 Brandmeldeanlage (BMA) im Gebäude vorhanden? = Ja</t>
        </is>
      </c>
      <c r="I67" s="4" t="inlineStr">
        <is>
          <t>MF-U09</t>
        </is>
      </c>
    </row>
    <row r="68">
      <c r="A68" s="2" t="inlineStr">
        <is>
          <t>qu_bma_geprueft</t>
        </is>
      </c>
      <c r="B68" s="2" t="inlineStr">
        <is>
          <t>15.8b</t>
        </is>
      </c>
      <c r="C68" s="2" t="inlineStr">
        <is>
          <t>U – Umfeld, Gebäude und Nutzung</t>
        </is>
      </c>
      <c r="D68" s="2" t="inlineStr">
        <is>
          <t>Funktion der Schnittstelle BMA – Aufzug geprüft (Nachweis)?</t>
        </is>
      </c>
      <c r="E68" s="2" t="inlineStr">
        <is>
          <t>YES_NO</t>
        </is>
      </c>
      <c r="F68" s="2" t="inlineStr"/>
      <c r="G68" s="2" t="inlineStr"/>
      <c r="H68" s="2" t="inlineStr">
        <is>
          <t>15.8a Schnittstelle Brandmeldeanlage – Aufzug bekannt und abgestimmt (Brandfallsteuerung, Rückholung, Evakuierung)? = Ja</t>
        </is>
      </c>
      <c r="I68" s="2" t="inlineStr">
        <is>
          <t>MF-U09</t>
        </is>
      </c>
    </row>
    <row r="69">
      <c r="A69" s="4" t="inlineStr">
        <is>
          <t>qu_evak_in_gbu</t>
        </is>
      </c>
      <c r="B69" s="4" t="inlineStr">
        <is>
          <t>15.8c</t>
        </is>
      </c>
      <c r="C69" s="4" t="inlineStr">
        <is>
          <t>U – Umfeld, Gebäude und Nutzung</t>
        </is>
      </c>
      <c r="D69" s="4" t="inlineStr">
        <is>
          <t>Evakuierungs-/Sonderfunktion des Aufzugs im Brandschutzkonzept und in der Betriebsanweisung beschrieben (wer den Aufzug im Brandfall wie benutzen darf)?</t>
        </is>
      </c>
      <c r="E69" s="4" t="inlineStr">
        <is>
          <t>YES_NO</t>
        </is>
      </c>
      <c r="F69" s="4" t="inlineStr"/>
      <c r="G69" s="4" t="inlineStr">
        <is>
          <t>Prüfbericht 20.09.2026: Die Frage lautete bisher „… in dieser Gefährdungsbeurteilung berücksichtigt?" und bewertete damit das eigene Dokument. Gefragt ist jetzt die Festlegung des Betreibers, die vor Ort prüfbar ist.</t>
        </is>
      </c>
      <c r="H69" s="4" t="inlineStr">
        <is>
          <t>15.8 Brandmeldeanlage (BMA) im Gebäude vorhanden? = Ja</t>
        </is>
      </c>
      <c r="I69" s="4" t="inlineStr">
        <is>
          <t>MF-U09</t>
        </is>
      </c>
    </row>
    <row r="70">
      <c r="A70" s="2" t="inlineStr">
        <is>
          <t>qu_brandschutz_behindert</t>
        </is>
      </c>
      <c r="B70" s="2" t="inlineStr">
        <is>
          <t>15.8d</t>
        </is>
      </c>
      <c r="C70" s="2" t="inlineStr">
        <is>
          <t>U – Umfeld, Gebäude und Nutzung</t>
        </is>
      </c>
      <c r="D70" s="2" t="inlineStr">
        <is>
          <t>Behindert eine Brandschutzeinrichtung (Brandschutztür, Abschottung) den Aufzugsbetrieb oder die Personenrettung?</t>
        </is>
      </c>
      <c r="E70" s="2" t="inlineStr">
        <is>
          <t>SELECT</t>
        </is>
      </c>
      <c r="F70" s="2" t="inlineStr">
        <is>
          <t>Keine Behinderung
Zugang zur Anlage, Notentriegelung, Schachttür oder Rettungsweg behindert – oder nicht sicher beurteilbar
Nur der Aufzugsbetrieb behindert, Rettungszugang und Rettungsweg nachweislich frei</t>
        </is>
      </c>
      <c r="G70" s="2" t="inlineStr">
        <is>
          <t>Regelprüfung 20.09.2026: Aus der Ja/Nein-Frage geworden. Sie bündelte die behinderte Personenrettung (unmittelbare Gefahr bei Einschluss – Hoch) mit der reinen Betriebsbehinderung (etwa eine Abschottung, die den Zugang verengt, oder eine Brandschutztür, die gegen die Schachttür schlägt) und bewertete beides mit Hoch. Fail-closed: Der nicht sicher beurteilbare Fall gehört ausdrücklich zur Option „Rettung behindert", damit keine Absenkung durch Unsicherheit entsteht.</t>
        </is>
      </c>
      <c r="H70" s="2" t="inlineStr"/>
      <c r="I70" s="2" t="inlineStr">
        <is>
          <t>MF-U09</t>
        </is>
      </c>
    </row>
    <row r="71">
      <c r="A71" s="4" t="inlineStr">
        <is>
          <t>qu_entrauchung</t>
        </is>
      </c>
      <c r="B71" s="4" t="inlineStr">
        <is>
          <t>15.9a</t>
        </is>
      </c>
      <c r="C71" s="4" t="inlineStr">
        <is>
          <t>U – Umfeld, Gebäude und Nutzung</t>
        </is>
      </c>
      <c r="D71" s="4" t="inlineStr">
        <is>
          <t>Zustand der Schachtentrauchung / RWA / Lüftungsöffnung</t>
        </is>
      </c>
      <c r="E71" s="4" t="inlineStr">
        <is>
          <t>SELECT</t>
        </is>
      </c>
      <c r="F71" s="4" t="inlineStr">
        <is>
          <t>Funktion geprüft, Öffnungen frei
Entrauchung / RWA blockiert oder defekt
Öffnungen verschlossen, verändert oder unzureichend
Funktion unklar oder kein Nachweis über Prüfung</t>
        </is>
      </c>
      <c r="G71" s="4" t="inlineStr">
        <is>
          <t>Regelprüfung 20.09.2026: Die frühere Option „Funktion unklar, blockiert oder defekt" ist geteilt. „Unklar" beschreibt keinen festgestellten Mangel, sondern eine fehlende Feststellung – eine RWA-Auslösung ist ohne Auslöseversuch vor Ort oft nicht beurteilbar. Ein Prüfer, der ehrlich „unklar" wählte, erzeugte damit zwingend Hoch; das drängte zum Ausweichen auf „kein Nachweis". „Unklar" steht jetzt bei „kein Nachweis", der festgestellte Defekt bei „blockiert oder defekt".</t>
        </is>
      </c>
      <c r="H71" s="4" t="inlineStr">
        <is>
          <t>15.9 Schachtentrauchung / RWA / Lüftungsöffnung im Schachtkopf vorhanden? = Ja</t>
        </is>
      </c>
      <c r="I71" s="4" t="inlineStr">
        <is>
          <t>MF-U10</t>
        </is>
      </c>
    </row>
    <row r="72">
      <c r="A72" s="2" t="inlineStr">
        <is>
          <t>qu_sprinkler_abschaltung</t>
        </is>
      </c>
      <c r="B72" s="2" t="inlineStr">
        <is>
          <t>15.10a</t>
        </is>
      </c>
      <c r="C72" s="2" t="inlineStr">
        <is>
          <t>U – Umfeld, Gebäude und Nutzung</t>
        </is>
      </c>
      <c r="D72" s="2" t="inlineStr">
        <is>
          <t>Ist sichergestellt, dass die Energieversorgung des Aufzugs vor Wasserbeaufschlagung abgeschaltet wird (Auslösekontakt der Löschanlage bzw. Abschaltung vorhanden)?</t>
        </is>
      </c>
      <c r="E72" s="2" t="inlineStr">
        <is>
          <t>YES_NO</t>
        </is>
      </c>
      <c r="F72" s="2" t="inlineStr"/>
      <c r="G72" s="2" t="inlineStr">
        <is>
          <t>Regelprüfung 20.09.2026: Die Frage lautete „Wechselwirkung … bewertet?" und bewertete damit einen Dokumentationszustand – derselbe Fehlertyp, der bei 15.8c bereits korrigiert wurde. Gefragt ist jetzt der vor Ort prüfbare Sachverhalt. Im Zweifel Nein.</t>
        </is>
      </c>
      <c r="H72" s="2" t="inlineStr">
        <is>
          <t>15.10 Löschanlage / Sprinkler im Schacht oder Triebwerksraum vorhanden? = Ja</t>
        </is>
      </c>
      <c r="I72" s="2" t="inlineStr">
        <is>
          <t>MF-U11</t>
        </is>
      </c>
    </row>
    <row r="73">
      <c r="A73" s="4" t="inlineStr">
        <is>
          <t>qu_sprinkler_geprueft</t>
        </is>
      </c>
      <c r="B73" s="4" t="inlineStr">
        <is>
          <t>15.10b</t>
        </is>
      </c>
      <c r="C73" s="4" t="inlineStr">
        <is>
          <t>U – Umfeld, Gebäude und Nutzung</t>
        </is>
      </c>
      <c r="D73" s="4" t="inlineStr">
        <is>
          <t>Wirksamkeit der Abschaltung geprüft und dokumentiert?</t>
        </is>
      </c>
      <c r="E73" s="4" t="inlineStr">
        <is>
          <t>YES_NO</t>
        </is>
      </c>
      <c r="F73" s="4" t="inlineStr"/>
      <c r="G73" s="4" t="inlineStr">
        <is>
          <t>Regelprüfung 20.09.2026: Nachweis der Wirk-Prinzip-Prüfung. Getrennt von 15.10a, damit der fehlende Nachweis nicht dieselbe Stufe bekommt wie die fehlende Abschaltung.</t>
        </is>
      </c>
      <c r="H73" s="4" t="inlineStr">
        <is>
          <t>15.10a Ist sichergestellt, dass die Energieversorgung des Aufzugs vor Wasserbeaufschlagung abgeschaltet wird (Auslösekontakt der Löschanlage bzw. Abschaltung vorhanden)? = Ja</t>
        </is>
      </c>
      <c r="I73" s="4" t="inlineStr">
        <is>
          <t>MF-U11</t>
        </is>
      </c>
    </row>
    <row r="74">
      <c r="A74" s="2" t="inlineStr">
        <is>
          <t>qu_wartung_gefaehrlicher_zugang</t>
        </is>
      </c>
      <c r="B74" s="2" t="inlineStr">
        <is>
          <t>15.36</t>
        </is>
      </c>
      <c r="C74" s="2" t="inlineStr">
        <is>
          <t>U – Umfeld, Gebäude und Nutzung</t>
        </is>
      </c>
      <c r="D74" s="2" t="inlineStr">
        <is>
          <t>Müssen Fremdgewerke (Lüftung, Elektro, Reinigung) für ihre Arbeiten in den Aufzugsbereich (Schacht, Triebwerksraum) eindringen?</t>
        </is>
      </c>
      <c r="E74" s="2" t="inlineStr">
        <is>
          <t>YES_NO</t>
        </is>
      </c>
      <c r="F74" s="2" t="inlineStr"/>
      <c r="G74" s="2" t="inlineStr"/>
      <c r="H74" s="2" t="inlineStr"/>
      <c r="I74" s="2" t="inlineStr">
        <is>
          <t>MF-U12</t>
        </is>
      </c>
    </row>
    <row r="75">
      <c r="A75" s="4" t="inlineStr">
        <is>
          <t>qu_fremd_zugangskonzept</t>
        </is>
      </c>
      <c r="B75" s="4" t="inlineStr">
        <is>
          <t>15.36a</t>
        </is>
      </c>
      <c r="C75" s="4" t="inlineStr">
        <is>
          <t>U – Umfeld, Gebäude und Nutzung</t>
        </is>
      </c>
      <c r="D75" s="4" t="inlineStr">
        <is>
          <t>Zugangs- und Schutzkonzept für Fremdgewerke / Reinigungspersonal vorhanden?</t>
        </is>
      </c>
      <c r="E75" s="4" t="inlineStr">
        <is>
          <t>YES_NO</t>
        </is>
      </c>
      <c r="F75" s="4" t="inlineStr"/>
      <c r="G75" s="4" t="inlineStr"/>
      <c r="H75" s="4" t="inlineStr">
        <is>
          <t>15.36 Müssen Fremdgewerke (Lüftung, Elektro, Reinigung) für ihre Arbeiten in den Aufzugsbereich (Schacht, Triebwerksraum) eindringen? = Ja</t>
        </is>
      </c>
      <c r="I75" s="4" t="inlineStr">
        <is>
          <t>MF-U12</t>
        </is>
      </c>
    </row>
    <row r="76">
      <c r="A76" s="2" t="inlineStr">
        <is>
          <t>qu_nachweise_fremdgewerke</t>
        </is>
      </c>
      <c r="B76" s="2" t="inlineStr">
        <is>
          <t>15.37</t>
        </is>
      </c>
      <c r="C76" s="2" t="inlineStr">
        <is>
          <t>U – Umfeld, Gebäude und Nutzung</t>
        </is>
      </c>
      <c r="D76" s="2" t="inlineStr">
        <is>
          <t>Prüfnachweise der angrenzenden Gewerke (BMA, RWA, Ersatzstrom, Löschanlage) verfügbar?</t>
        </is>
      </c>
      <c r="E76" s="2" t="inlineStr">
        <is>
          <t>YES_NO</t>
        </is>
      </c>
      <c r="F76" s="2" t="inlineStr"/>
      <c r="G76" s="2" t="inlineStr"/>
      <c r="H76" s="2" t="inlineStr"/>
      <c r="I76" s="2" t="inlineStr">
        <is>
          <t>MF-U13</t>
        </is>
      </c>
    </row>
    <row r="77">
      <c r="A77" s="4" t="inlineStr">
        <is>
          <t>qu_zustaendigkeit</t>
        </is>
      </c>
      <c r="B77" s="4" t="inlineStr">
        <is>
          <t>15.38</t>
        </is>
      </c>
      <c r="C77" s="4" t="inlineStr">
        <is>
          <t>U – Umfeld, Gebäude und Nutzung</t>
        </is>
      </c>
      <c r="D77" s="4" t="inlineStr">
        <is>
          <t>Zuständigkeiten zwischen den Gewerken für Maßnahmen an den Schnittstellen geregelt?</t>
        </is>
      </c>
      <c r="E77" s="4" t="inlineStr">
        <is>
          <t>YES_NO</t>
        </is>
      </c>
      <c r="F77" s="4" t="inlineStr"/>
      <c r="G77" s="4" t="inlineStr"/>
      <c r="H77" s="4" t="inlineStr"/>
      <c r="I77" s="4" t="inlineStr">
        <is>
          <t>MF-U13</t>
        </is>
      </c>
    </row>
    <row r="78">
      <c r="A78" s="2" t="inlineStr">
        <is>
          <t>qu_verkehrswege</t>
        </is>
      </c>
      <c r="B78" s="2" t="inlineStr">
        <is>
          <t>15.27</t>
        </is>
      </c>
      <c r="C78" s="2" t="inlineStr">
        <is>
          <t>U – Umfeld, Gebäude und Nutzung</t>
        </is>
      </c>
      <c r="D78" s="2" t="inlineStr">
        <is>
          <t>Grenzt der Aufzugszugang unmittelbar an Fahrwege oder Verkehrsflächen (Tiefgarage, Anlieferung, Flurförderzeuge)?</t>
        </is>
      </c>
      <c r="E78" s="2" t="inlineStr">
        <is>
          <t>YES_NO</t>
        </is>
      </c>
      <c r="F78" s="2" t="inlineStr"/>
      <c r="G78" s="2" t="inlineStr"/>
      <c r="H78" s="2" t="inlineStr"/>
      <c r="I78" s="2" t="inlineStr">
        <is>
          <t>MF-U14</t>
        </is>
      </c>
    </row>
    <row r="79">
      <c r="A79" s="4" t="inlineStr">
        <is>
          <t>qu_abgase</t>
        </is>
      </c>
      <c r="B79" s="4" t="inlineStr">
        <is>
          <t>15.24</t>
        </is>
      </c>
      <c r="C79" s="4" t="inlineStr">
        <is>
          <t>U – Umfeld, Gebäude und Nutzung</t>
        </is>
      </c>
      <c r="D79" s="4" t="inlineStr">
        <is>
          <t>Abgase oder Emissionen im Aufstellbereich (Tiefgarage, Werkstatt, Notstromaggregat)?</t>
        </is>
      </c>
      <c r="E79" s="4" t="inlineStr">
        <is>
          <t>YES_NO</t>
        </is>
      </c>
      <c r="F79" s="4" t="inlineStr"/>
      <c r="G79" s="4" t="inlineStr"/>
      <c r="H79" s="4" t="inlineStr"/>
      <c r="I79" s="4" t="inlineStr">
        <is>
          <t>MF-U15</t>
        </is>
      </c>
    </row>
    <row r="80">
      <c r="A80" s="2" t="inlineStr">
        <is>
          <t>qu_abgase_lueftung</t>
        </is>
      </c>
      <c r="B80" s="2" t="inlineStr">
        <is>
          <t>15.24a</t>
        </is>
      </c>
      <c r="C80" s="2" t="inlineStr">
        <is>
          <t>U – Umfeld, Gebäude und Nutzung</t>
        </is>
      </c>
      <c r="D80" s="2" t="inlineStr">
        <is>
          <t>Wirksame Lüftung oder Absaugung des Aufstellbereichs vorhanden und nachgewiesen (Garagenverordnung, ASR A3.6)?</t>
        </is>
      </c>
      <c r="E80" s="2" t="inlineStr">
        <is>
          <t>YES_NO</t>
        </is>
      </c>
      <c r="F80" s="2" t="inlineStr"/>
      <c r="G80" s="2" t="inlineStr">
        <is>
          <t>Regelprüfung 20.09.2026: Kompensationsfrage. Die Regel löste bisher allein daraus aus, dass der Aufstellbereich eine Tiefgarage, Werkstatt oder ein Notstromaggregat-Raum ist – also auch dann, wenn die geforderte maschinelle Lüftung wirksam vorhanden und der Soll-Zustand erfüllt ist. Ja nur mit Nachweis (Abnahme, wiederkehrende Prüfung); im Zweifel Nein.</t>
        </is>
      </c>
      <c r="H80" s="2" t="inlineStr">
        <is>
          <t>15.24 Abgase oder Emissionen im Aufstellbereich (Tiefgarage, Werkstatt, Notstromaggregat)? = Ja</t>
        </is>
      </c>
      <c r="I80" s="2" t="inlineStr">
        <is>
          <t>MF-U15</t>
        </is>
      </c>
    </row>
    <row r="81">
      <c r="A81" s="4" t="inlineStr">
        <is>
          <t>qu_laerm</t>
        </is>
      </c>
      <c r="B81" s="4" t="inlineStr">
        <is>
          <t>15.22</t>
        </is>
      </c>
      <c r="C81" s="4" t="inlineStr">
        <is>
          <t>U – Umfeld, Gebäude und Nutzung</t>
        </is>
      </c>
      <c r="D81" s="4" t="inlineStr">
        <is>
          <t>Erhöhte Lärmbelastung im Triebwerksraum oder am Aufzug (über 85 dB(A))?</t>
        </is>
      </c>
      <c r="E81" s="4" t="inlineStr">
        <is>
          <t>YES_NO</t>
        </is>
      </c>
      <c r="F81" s="4" t="inlineStr"/>
      <c r="G81" s="4" t="inlineStr"/>
      <c r="H81" s="4" t="inlineStr"/>
      <c r="I81" s="4" t="inlineStr">
        <is>
          <t>MF-U15</t>
        </is>
      </c>
    </row>
    <row r="82">
      <c r="A82" s="2" t="inlineStr">
        <is>
          <t>qu_umfeld_kritisch</t>
        </is>
      </c>
      <c r="B82" s="2" t="inlineStr">
        <is>
          <t>15.4</t>
        </is>
      </c>
      <c r="C82" s="2" t="inlineStr">
        <is>
          <t>U – Umfeld, Gebäude und Nutzung</t>
        </is>
      </c>
      <c r="D82" s="2" t="inlineStr">
        <is>
          <t>Kritisches soziales Umfeld (Vandalismus, Missbrauch der Anlage)?</t>
        </is>
      </c>
      <c r="E82" s="2" t="inlineStr">
        <is>
          <t>YES_NO</t>
        </is>
      </c>
      <c r="F82" s="2" t="inlineStr"/>
      <c r="G82" s="2" t="inlineStr"/>
      <c r="H82" s="2" t="inlineStr"/>
      <c r="I82" s="2" t="inlineStr">
        <is>
          <t>MF-U15</t>
        </is>
      </c>
    </row>
    <row r="83">
      <c r="A83" s="4" t="inlineStr">
        <is>
          <t>qz_bel_vorhanden</t>
        </is>
      </c>
      <c r="B83" s="4" t="inlineStr">
        <is>
          <t>5.1</t>
        </is>
      </c>
      <c r="C83" s="4" t="inlineStr">
        <is>
          <t>Z – Zugang zum Triebwerks-/Steuerungsraum</t>
        </is>
      </c>
      <c r="D83" s="4" t="inlineStr">
        <is>
          <t>Beleuchtung an den Zuwegen zum Triebwerks-/Steuerungsraum vorhanden?</t>
        </is>
      </c>
      <c r="E83" s="4" t="inlineStr">
        <is>
          <t>YES_NO</t>
        </is>
      </c>
      <c r="F83" s="4" t="inlineStr"/>
      <c r="G83" s="4" t="inlineStr"/>
      <c r="H83" s="4" t="inlineStr"/>
      <c r="I83" s="4" t="inlineStr">
        <is>
          <t>MF-Z01</t>
        </is>
      </c>
    </row>
    <row r="84">
      <c r="A84" s="2" t="inlineStr">
        <is>
          <t>qz_bel_ausreichend</t>
        </is>
      </c>
      <c r="B84" s="2" t="inlineStr">
        <is>
          <t>5.2</t>
        </is>
      </c>
      <c r="C84" s="2" t="inlineStr">
        <is>
          <t>Z – Zugang zum Triebwerks-/Steuerungsraum</t>
        </is>
      </c>
      <c r="D84" s="2" t="inlineStr">
        <is>
          <t>Beleuchtung an den Zuwegen ausreichend (mind. 50 Lux, funktionsfähig, Leuchten an geeigneter Stelle)?</t>
        </is>
      </c>
      <c r="E84" s="2" t="inlineStr">
        <is>
          <t>YES_NO</t>
        </is>
      </c>
      <c r="F84" s="2" t="inlineStr"/>
      <c r="G84" s="2" t="inlineStr"/>
      <c r="H84" s="2" t="inlineStr">
        <is>
          <t>5.1 Beleuchtung an den Zuwegen zum Triebwerks-/Steuerungsraum vorhanden? = Ja</t>
        </is>
      </c>
      <c r="I84" s="2" t="inlineStr">
        <is>
          <t>MF-Z01</t>
        </is>
      </c>
    </row>
    <row r="85">
      <c r="A85" s="4" t="inlineStr">
        <is>
          <t>qz_bel_defekt</t>
        </is>
      </c>
      <c r="B85" s="4" t="inlineStr">
        <is>
          <t>5.2a</t>
        </is>
      </c>
      <c r="C85" s="4" t="inlineStr">
        <is>
          <t>Z – Zugang zum Triebwerks-/Steuerungsraum</t>
        </is>
      </c>
      <c r="D85" s="4" t="inlineStr">
        <is>
          <t>Defekte Leuchten oder Leuchtkörper an den Zuwegen?</t>
        </is>
      </c>
      <c r="E85" s="4" t="inlineStr">
        <is>
          <t>YES_NO</t>
        </is>
      </c>
      <c r="F85" s="4" t="inlineStr"/>
      <c r="G85" s="4" t="inlineStr">
        <is>
          <t>Folgefrage zu 5.2: nennt den Grund der unzureichenden Beleuchtung und steuert die Maßnahme (Instandsetzung statt Umbau).</t>
        </is>
      </c>
      <c r="H85" s="4" t="inlineStr">
        <is>
          <t>5.2 Beleuchtung an den Zuwegen ausreichend (mind. 50 Lux, funktionsfähig, Leuchten an geeigneter Stelle)? = Nein</t>
        </is>
      </c>
      <c r="I85" s="4" t="inlineStr">
        <is>
          <t>MF-Z01</t>
        </is>
      </c>
    </row>
    <row r="86">
      <c r="A86" s="2" t="inlineStr">
        <is>
          <t>qz_weg_sicher</t>
        </is>
      </c>
      <c r="B86" s="2" t="inlineStr">
        <is>
          <t>5.3</t>
        </is>
      </c>
      <c r="C86" s="2" t="inlineStr">
        <is>
          <t>Z – Zugang zum Triebwerks-/Steuerungsraum</t>
        </is>
      </c>
      <c r="D86" s="2" t="inlineStr">
        <is>
          <t>Sicherer, freier Verkehrsweg zum Triebwerks-/Steuerungsraum (trocken, sauber, ohne Stolperstellen)?</t>
        </is>
      </c>
      <c r="E86" s="2" t="inlineStr">
        <is>
          <t>YES_NO</t>
        </is>
      </c>
      <c r="F86" s="2" t="inlineStr"/>
      <c r="G86" s="2" t="inlineStr">
        <is>
          <t>Absturzkanten und Überstiege auf dem Zugangsweg unter 5.7/5.8 erfassen.</t>
        </is>
      </c>
      <c r="H86" s="2" t="inlineStr"/>
      <c r="I86" s="2" t="inlineStr">
        <is>
          <t>MF-Z02</t>
        </is>
      </c>
    </row>
    <row r="87">
      <c r="A87" s="4" t="inlineStr">
        <is>
          <t>qz_weg_rutschig</t>
        </is>
      </c>
      <c r="B87" s="4" t="inlineStr">
        <is>
          <t>5.3a</t>
        </is>
      </c>
      <c r="C87" s="4" t="inlineStr">
        <is>
          <t>Z – Zugang zum Triebwerks-/Steuerungsraum</t>
        </is>
      </c>
      <c r="D87" s="4" t="inlineStr">
        <is>
          <t>Verkehrsweg rutschig, glatt oder verschmutzt?</t>
        </is>
      </c>
      <c r="E87" s="4" t="inlineStr">
        <is>
          <t>YES_NO</t>
        </is>
      </c>
      <c r="F87" s="4" t="inlineStr"/>
      <c r="G87" s="4" t="inlineStr"/>
      <c r="H87" s="4" t="inlineStr">
        <is>
          <t>5.3 Sicherer, freier Verkehrsweg zum Triebwerks-/Steuerungsraum (trocken, sauber, ohne Stolperstellen)? = Nein</t>
        </is>
      </c>
      <c r="I87" s="4" t="inlineStr">
        <is>
          <t>MF-Z02</t>
        </is>
      </c>
    </row>
    <row r="88">
      <c r="A88" s="2" t="inlineStr">
        <is>
          <t>qz_weg_stolper</t>
        </is>
      </c>
      <c r="B88" s="2" t="inlineStr">
        <is>
          <t>5.3b</t>
        </is>
      </c>
      <c r="C88" s="2" t="inlineStr">
        <is>
          <t>Z – Zugang zum Triebwerks-/Steuerungsraum</t>
        </is>
      </c>
      <c r="D88" s="2" t="inlineStr">
        <is>
          <t>Stolperstellen auf dem Verkehrsweg?</t>
        </is>
      </c>
      <c r="E88" s="2" t="inlineStr">
        <is>
          <t>YES_NO</t>
        </is>
      </c>
      <c r="F88" s="2" t="inlineStr"/>
      <c r="G88" s="2" t="inlineStr"/>
      <c r="H88" s="2" t="inlineStr">
        <is>
          <t>5.3 Sicherer, freier Verkehrsweg zum Triebwerks-/Steuerungsraum (trocken, sauber, ohne Stolperstellen)? = Nein</t>
        </is>
      </c>
      <c r="I88" s="2" t="inlineStr">
        <is>
          <t>MF-Z02</t>
        </is>
      </c>
    </row>
    <row r="89">
      <c r="A89" s="4" t="inlineStr">
        <is>
          <t>qz_weg_eng</t>
        </is>
      </c>
      <c r="B89" s="4" t="inlineStr">
        <is>
          <t>5.4</t>
        </is>
      </c>
      <c r="C89" s="4" t="inlineStr">
        <is>
          <t>Z – Zugang zum Triebwerks-/Steuerungsraum</t>
        </is>
      </c>
      <c r="D89" s="4" t="inlineStr">
        <is>
          <t>Enge oder niedrige Durchgänge (Breite &lt; 0,60 m oder Höhe &lt; 2,00 m)?</t>
        </is>
      </c>
      <c r="E89" s="4" t="inlineStr">
        <is>
          <t>YES_NO</t>
        </is>
      </c>
      <c r="F89" s="4" t="inlineStr"/>
      <c r="G89" s="4" t="inlineStr"/>
      <c r="H89" s="4" t="inlineStr"/>
      <c r="I89" s="4" t="inlineStr">
        <is>
          <t>MF-Z02</t>
        </is>
      </c>
    </row>
    <row r="90">
      <c r="A90" s="2" t="inlineStr">
        <is>
          <t>qz_aufstieg</t>
        </is>
      </c>
      <c r="B90" s="2" t="inlineStr">
        <is>
          <t>5.5</t>
        </is>
      </c>
      <c r="C90" s="2" t="inlineStr">
        <is>
          <t>Z – Zugang zum Triebwerks-/Steuerungsraum</t>
        </is>
      </c>
      <c r="D90" s="2" t="inlineStr">
        <is>
          <t>Art des Aufstiegs zum Triebwerksraum</t>
        </is>
      </c>
      <c r="E90" s="2" t="inlineStr">
        <is>
          <t>SELECT</t>
        </is>
      </c>
      <c r="F90" s="2" t="inlineStr">
        <is>
          <t>Ebenerdig / kein Aufstieg nötig
Treppe mit Handlauf
Treppe ohne Handlauf
Ordnungsgemäße Zug-/Klapptreppe
Zug-/Klapptreppe nicht sicherheitsgerecht
Fest angebrachte Steigleiter mit Rückenschutz/Haltegriff
Nur mobile Leiter / Anlegeleiter
Kein sicherer Aufstieg vorhanden</t>
        </is>
      </c>
      <c r="G90" s="2" t="inlineStr"/>
      <c r="H90" s="2" t="inlineStr">
        <is>
          <t>4.7 Eigener Triebwerks-/Maschinenraum vorhanden? = Ja</t>
        </is>
      </c>
      <c r="I90" s="2" t="inlineStr">
        <is>
          <t>MF-Z03</t>
        </is>
      </c>
    </row>
    <row r="91">
      <c r="A91" s="4" t="inlineStr">
        <is>
          <t>qz_aufstieg_bruch</t>
        </is>
      </c>
      <c r="B91" s="4" t="inlineStr">
        <is>
          <t>5.6</t>
        </is>
      </c>
      <c r="C91" s="4" t="inlineStr">
        <is>
          <t>Z – Zugang zum Triebwerks-/Steuerungsraum</t>
        </is>
      </c>
      <c r="D91" s="4" t="inlineStr">
        <is>
          <t>Bruch- oder Kippgefahr am Aufstieg (beschädigte Stufen, lose Leiter, fehlende Befestigung)?</t>
        </is>
      </c>
      <c r="E91" s="4" t="inlineStr">
        <is>
          <t>YES_NO</t>
        </is>
      </c>
      <c r="F91" s="4" t="inlineStr"/>
      <c r="G91" s="4" t="inlineStr"/>
      <c r="H91" s="4" t="inlineStr">
        <is>
          <t>5.5 Art des Aufstiegs zum Triebwerksraum ≠ „Ebenerdig / kein Aufstieg nötig"</t>
        </is>
      </c>
      <c r="I91" s="4" t="inlineStr">
        <is>
          <t>MF-Z03</t>
        </is>
      </c>
    </row>
    <row r="92">
      <c r="A92" s="2" t="inlineStr">
        <is>
          <t>qz_absturzkante</t>
        </is>
      </c>
      <c r="B92" s="2" t="inlineStr">
        <is>
          <t>5.7</t>
        </is>
      </c>
      <c r="C92" s="2" t="inlineStr">
        <is>
          <t>Z – Zugang zum Triebwerks-/Steuerungsraum</t>
        </is>
      </c>
      <c r="D92" s="2" t="inlineStr">
        <is>
          <t>Führt der Zugang über eine Dachfläche, Dachkante, Empore oder eine andere Absturzkante?</t>
        </is>
      </c>
      <c r="E92" s="2" t="inlineStr">
        <is>
          <t>YES_NO</t>
        </is>
      </c>
      <c r="F92" s="2" t="inlineStr"/>
      <c r="G92" s="2" t="inlineStr"/>
      <c r="H92" s="2" t="inlineStr"/>
      <c r="I92" s="2" t="inlineStr">
        <is>
          <t>MF-Z04</t>
        </is>
      </c>
    </row>
    <row r="93">
      <c r="A93" s="4" t="inlineStr">
        <is>
          <t>qz_absturz_gesichert</t>
        </is>
      </c>
      <c r="B93" s="4" t="inlineStr">
        <is>
          <t>5.7a</t>
        </is>
      </c>
      <c r="C93" s="4" t="inlineStr">
        <is>
          <t>Z – Zugang zum Triebwerks-/Steuerungsraum</t>
        </is>
      </c>
      <c r="D93" s="4" t="inlineStr">
        <is>
          <t>Absturzkante durch Geländer oder Umwehrung dauerhaft gesichert?</t>
        </is>
      </c>
      <c r="E93" s="4" t="inlineStr">
        <is>
          <t>YES_NO</t>
        </is>
      </c>
      <c r="F93" s="4" t="inlineStr"/>
      <c r="G93" s="4" t="inlineStr"/>
      <c r="H93" s="4" t="inlineStr">
        <is>
          <t>5.7 Führt der Zugang über eine Dachfläche, Dachkante, Empore oder eine andere Absturzkante? = Ja</t>
        </is>
      </c>
      <c r="I93" s="4" t="inlineStr">
        <is>
          <t>MF-Z04</t>
        </is>
      </c>
    </row>
    <row r="94">
      <c r="A94" s="2" t="inlineStr">
        <is>
          <t>qz_absturz_gekennzeichnet</t>
        </is>
      </c>
      <c r="B94" s="2" t="inlineStr">
        <is>
          <t>5.7b</t>
        </is>
      </c>
      <c r="C94" s="2" t="inlineStr">
        <is>
          <t>Z – Zugang zum Triebwerks-/Steuerungsraum</t>
        </is>
      </c>
      <c r="D94" s="2" t="inlineStr">
        <is>
          <t>Verkehrsweg an der Absturzkante festgelegt, gekennzeichnet und mit ausreichendem Sicherheitsabstand zur Absturzkante geführt (auf Dachflächen mindestens 2,00 m nach ASR A2.1)?</t>
        </is>
      </c>
      <c r="E94" s="2" t="inlineStr">
        <is>
          <t>YES_NO</t>
        </is>
      </c>
      <c r="F94" s="2" t="inlineStr"/>
      <c r="G94" s="2" t="inlineStr">
        <is>
          <t>Regelprüfung 20.09.2026: Der Abstand gehört in die Frage, nicht erst in die Maßnahme: Ein gekennzeichneter Weg dicht an der Kante ist keine wirksame Kompensation. Auf Dachflächen gilt das Maß von 2,00 m nach ASR A2.1; im Gebäudeinneren (Empore, Treppenauge) ist es regelmäßig unerfüllbar – dort ist ohnehin eine Umwehrung baurechtlich gefordert, zu bewerten über 5.7a. Wird der Abstand nicht eingehalten, ist hier „Nein" zu wählen; dann greift die Hoch-Regel.</t>
        </is>
      </c>
      <c r="H94" s="2" t="inlineStr">
        <is>
          <t>(5.7 Führt der Zugang über eine Dachfläche, Dachkante, Empore oder eine andere Absturzkante? = Ja UND 5.7a Absturzkante durch Geländer oder Umwehrung dauerhaft gesichert? = Nein)</t>
        </is>
      </c>
      <c r="I94" s="2" t="inlineStr">
        <is>
          <t>MF-Z04</t>
        </is>
      </c>
    </row>
    <row r="95">
      <c r="A95" s="4" t="inlineStr">
        <is>
          <t>qz_uebersteigen</t>
        </is>
      </c>
      <c r="B95" s="4" t="inlineStr">
        <is>
          <t>5.8</t>
        </is>
      </c>
      <c r="C95" s="4" t="inlineStr">
        <is>
          <t>Z – Zugang zum Triebwerks-/Steuerungsraum</t>
        </is>
      </c>
      <c r="D95" s="4" t="inlineStr">
        <is>
          <t>Muss ein Treppenauge, eine Brüstung oder ein Fenster überstiegen werden?</t>
        </is>
      </c>
      <c r="E95" s="4" t="inlineStr">
        <is>
          <t>YES_NO</t>
        </is>
      </c>
      <c r="F95" s="4" t="inlineStr"/>
      <c r="G95" s="4" t="inlineStr"/>
      <c r="H95" s="4" t="inlineStr"/>
      <c r="I95" s="4" t="inlineStr">
        <is>
          <t>MF-Z04</t>
        </is>
      </c>
    </row>
    <row r="96">
      <c r="A96" s="2" t="inlineStr">
        <is>
          <t>qz_von_innen</t>
        </is>
      </c>
      <c r="B96" s="2" t="inlineStr">
        <is>
          <t>5.9</t>
        </is>
      </c>
      <c r="C96" s="2" t="inlineStr">
        <is>
          <t>Z – Zugang zum Triebwerks-/Steuerungsraum</t>
        </is>
      </c>
      <c r="D96" s="2" t="inlineStr">
        <is>
          <t>Lässt sich der Zugangsbereich / Triebwerksraum jederzeit von innen verlassen?</t>
        </is>
      </c>
      <c r="E96" s="2" t="inlineStr">
        <is>
          <t>SELECT</t>
        </is>
      </c>
      <c r="F96" s="2" t="inlineStr">
        <is>
          <t>Ja, ohne Schlüssel (Panikfunktion, Drücker innen)
Nur mit Schlüssel, Schlüssel dauerhaft innen hinterlegt
Nein – Einschließen möglich</t>
        </is>
      </c>
      <c r="G96" s="2" t="inlineStr"/>
      <c r="H96" s="2" t="inlineStr">
        <is>
          <t>4.7 Eigener Triebwerks-/Maschinenraum vorhanden? = Ja</t>
        </is>
      </c>
      <c r="I96" s="2" t="inlineStr">
        <is>
          <t>MF-Z05</t>
        </is>
      </c>
    </row>
    <row r="97">
      <c r="A97" s="4" t="inlineStr">
        <is>
          <t>qz_durch_fremde</t>
        </is>
      </c>
      <c r="B97" s="4" t="inlineStr">
        <is>
          <t>5.10</t>
        </is>
      </c>
      <c r="C97" s="4" t="inlineStr">
        <is>
          <t>Z – Zugang zum Triebwerks-/Steuerungsraum</t>
        </is>
      </c>
      <c r="D97" s="4" t="inlineStr">
        <is>
          <t>Führt der Zugang durch fremde Räume?</t>
        </is>
      </c>
      <c r="E97" s="4" t="inlineStr">
        <is>
          <t>SELECT</t>
        </is>
      </c>
      <c r="F97" s="4" t="inlineStr">
        <is>
          <t>Nein, direkter Zugang
Durch Arbeits-, Lager- oder Technikräume Dritter
Durch eine Wohnung oder einen nur zeitweise zugänglichen Bereich</t>
        </is>
      </c>
      <c r="G97" s="4" t="inlineStr">
        <is>
          <t>Regelprüfung 20.09.2026: Bewertet wird hier die Zugangsorganisation für Wartung und Prüfung (Zutrittsregelung, Schlüssel, Terminabstimmung). Ob der Befreiungsdienst die Anlage im Notfall rechtzeitig erreicht, ist getrennt unter 3.4 zu bewerten – führt der Zugang durch eine Wohnung, ist 3.4 besonders sorgfältig zu prüfen.</t>
        </is>
      </c>
      <c r="H97" s="4" t="inlineStr"/>
      <c r="I97" s="4" t="inlineStr">
        <is>
          <t>MF-Z06</t>
        </is>
      </c>
    </row>
    <row r="98">
      <c r="A98" s="2" t="inlineStr">
        <is>
          <t>qz_material_erschwert</t>
        </is>
      </c>
      <c r="B98" s="2" t="inlineStr">
        <is>
          <t>5.11</t>
        </is>
      </c>
      <c r="C98" s="2" t="inlineStr">
        <is>
          <t>Z – Zugang zum Triebwerks-/Steuerungsraum</t>
        </is>
      </c>
      <c r="D98" s="2" t="inlineStr">
        <is>
          <t>Erschwert die Art des Zugangs den Transport von Material und Werkzeug (z. B. nur über Leiter, Dachluke, enge Wendeltreppe)?</t>
        </is>
      </c>
      <c r="E98" s="2" t="inlineStr">
        <is>
          <t>YES_NO</t>
        </is>
      </c>
      <c r="F98" s="2" t="inlineStr"/>
      <c r="G98" s="2" t="inlineStr"/>
      <c r="H98" s="2" t="inlineStr"/>
      <c r="I98" s="2" t="inlineStr">
        <is>
          <t>MF-Z06</t>
        </is>
      </c>
    </row>
    <row r="99">
      <c r="A99" s="4" t="inlineStr">
        <is>
          <t>qz_tuer_vorhanden</t>
        </is>
      </c>
      <c r="B99" s="4" t="inlineStr">
        <is>
          <t>5.12</t>
        </is>
      </c>
      <c r="C99" s="4" t="inlineStr">
        <is>
          <t>Z – Zugang zum Triebwerks-/Steuerungsraum</t>
        </is>
      </c>
      <c r="D99" s="4" t="inlineStr">
        <is>
          <t>Zugangstür zum Triebwerks-/Maschinenraum vorhanden?</t>
        </is>
      </c>
      <c r="E99" s="4" t="inlineStr">
        <is>
          <t>YES_NO</t>
        </is>
      </c>
      <c r="F99" s="4" t="inlineStr"/>
      <c r="G99" s="4" t="inlineStr"/>
      <c r="H99" s="4" t="inlineStr">
        <is>
          <t>4.7 Eigener Triebwerks-/Maschinenraum vorhanden? = Ja</t>
        </is>
      </c>
      <c r="I99" s="4" t="inlineStr">
        <is>
          <t>MF-Z07</t>
        </is>
      </c>
    </row>
    <row r="100">
      <c r="A100" s="2" t="inlineStr">
        <is>
          <t>qz_tuer_abschliessbar</t>
        </is>
      </c>
      <c r="B100" s="2" t="inlineStr">
        <is>
          <t>5.12a</t>
        </is>
      </c>
      <c r="C100" s="2" t="inlineStr">
        <is>
          <t>Z – Zugang zum Triebwerks-/Steuerungsraum</t>
        </is>
      </c>
      <c r="D100" s="2" t="inlineStr">
        <is>
          <t>Zugangstür abschließbar (Zutritt nur für befugte Personen)?</t>
        </is>
      </c>
      <c r="E100" s="2" t="inlineStr">
        <is>
          <t>YES_NO</t>
        </is>
      </c>
      <c r="F100" s="2" t="inlineStr"/>
      <c r="G100" s="2" t="inlineStr"/>
      <c r="H100" s="2" t="inlineStr">
        <is>
          <t>5.12 Zugangstür zum Triebwerks-/Maschinenraum vorhanden? = Ja</t>
        </is>
      </c>
      <c r="I100" s="2" t="inlineStr">
        <is>
          <t>MF-Z07</t>
        </is>
      </c>
    </row>
    <row r="101">
      <c r="A101" s="4" t="inlineStr">
        <is>
          <t>qz_tuer_zustand</t>
        </is>
      </c>
      <c r="B101" s="4" t="inlineStr">
        <is>
          <t>5.12b</t>
        </is>
      </c>
      <c r="C101" s="4" t="inlineStr">
        <is>
          <t>Z – Zugang zum Triebwerks-/Steuerungsraum</t>
        </is>
      </c>
      <c r="D101" s="4" t="inlineStr">
        <is>
          <t>Zugangstür unbeschädigt und leichtgängig?</t>
        </is>
      </c>
      <c r="E101" s="4" t="inlineStr">
        <is>
          <t>YES_NO</t>
        </is>
      </c>
      <c r="F101" s="4" t="inlineStr"/>
      <c r="G101" s="4" t="inlineStr"/>
      <c r="H101" s="4" t="inlineStr">
        <is>
          <t>5.12 Zugangstür zum Triebwerks-/Maschinenraum vorhanden? = Ja</t>
        </is>
      </c>
      <c r="I101" s="4" t="inlineStr">
        <is>
          <t>MF-Z07</t>
        </is>
      </c>
    </row>
    <row r="102">
      <c r="A102" s="2" t="inlineStr">
        <is>
          <t>qz_tuer_mass</t>
        </is>
      </c>
      <c r="B102" s="2" t="inlineStr">
        <is>
          <t>5.12c</t>
        </is>
      </c>
      <c r="C102" s="2" t="inlineStr">
        <is>
          <t>Z – Zugang zum Triebwerks-/Steuerungsraum</t>
        </is>
      </c>
      <c r="D102" s="2" t="inlineStr">
        <is>
          <t>Durchgangsmaß der Zugangstür ausreichend (mind. 1,80 m hoch, 0,60 m breit)?</t>
        </is>
      </c>
      <c r="E102" s="2" t="inlineStr">
        <is>
          <t>YES_NO</t>
        </is>
      </c>
      <c r="F102" s="2" t="inlineStr"/>
      <c r="G102" s="2" t="inlineStr">
        <is>
          <t>Regelprüfung 20.09.2026: Maß von 2,00 m auf 1,80 m berichtigt. DIN EN 81-20 5.2.3.3 fordert für die Zugangstür zum Triebwerksraum 0,60 m x 1,80 m; mit 2,00 m erzeugte die Frage bei normgerechten Türen einen Mangel. EN 81-1/-2 forderten dasselbe Maß, ein Vorbehalt zum Errichtungsregelwerk (1.28) ist deshalb entbehrlich – nur bei TRA-Anlagen vor 1999 kann das Maß abweichen; das ist im Bericht zu würdigen, nicht über eine Zusatzbedingung, die die Regel fail-open machen würde.</t>
        </is>
      </c>
      <c r="H102" s="2" t="inlineStr">
        <is>
          <t>5.12 Zugangstür zum Triebwerks-/Maschinenraum vorhanden? = Ja</t>
        </is>
      </c>
      <c r="I102" s="2" t="inlineStr">
        <is>
          <t>MF-Z07</t>
        </is>
      </c>
    </row>
    <row r="103">
      <c r="A103" s="4" t="inlineStr">
        <is>
          <t>qz_schaltschrank_abschliessbar</t>
        </is>
      </c>
      <c r="B103" s="4" t="inlineStr">
        <is>
          <t>5.14</t>
        </is>
      </c>
      <c r="C103" s="4" t="inlineStr">
        <is>
          <t>Z – Zugang zum Triebwerks-/Steuerungsraum</t>
        </is>
      </c>
      <c r="D103" s="4" t="inlineStr">
        <is>
          <t>Ohne Triebwerksraum: Steuerschrank (an der Haltestelle oder im Schacht) abschließbar, Zutritt nur für befugte Personen?</t>
        </is>
      </c>
      <c r="E103" s="4" t="inlineStr">
        <is>
          <t>YES_NO</t>
        </is>
      </c>
      <c r="F103" s="4" t="inlineStr"/>
      <c r="G103" s="4" t="inlineStr">
        <is>
          <t>Gegenstück zu 5.12a für maschinenraumlose Anlagen (Prüfbericht 20.09.2026): Der Steuerschrank ersetzt den Triebwerksraum und muss gegen unbefugten Zugriff verschlossen sein (DIN EN 81-20 5.2.6, Steuerschränke außerhalb von Triebwerksräumen).</t>
        </is>
      </c>
      <c r="H103" s="4" t="inlineStr">
        <is>
          <t>4.7 Eigener Triebwerks-/Maschinenraum vorhanden? = Nein</t>
        </is>
      </c>
      <c r="I103" s="4" t="inlineStr">
        <is>
          <t>MF-Z07</t>
        </is>
      </c>
    </row>
    <row r="104">
      <c r="A104" s="2" t="inlineStr">
        <is>
          <t>qz_flucht_frei</t>
        </is>
      </c>
      <c r="B104" s="2" t="inlineStr">
        <is>
          <t>5.13</t>
        </is>
      </c>
      <c r="C104" s="2" t="inlineStr">
        <is>
          <t>Z – Zugang zum Triebwerks-/Steuerungsraum</t>
        </is>
      </c>
      <c r="D104" s="2" t="inlineStr">
        <is>
          <t>Flucht- und Rettungsweg vom Triebwerks-/Steuerungsraum frei und benutzbar?</t>
        </is>
      </c>
      <c r="E104" s="2" t="inlineStr">
        <is>
          <t>YES_NO</t>
        </is>
      </c>
      <c r="F104" s="2" t="inlineStr"/>
      <c r="G104" s="2" t="inlineStr"/>
      <c r="H104" s="2" t="inlineStr"/>
      <c r="I104" s="2" t="inlineStr">
        <is>
          <t>MF-Z08</t>
        </is>
      </c>
    </row>
    <row r="105">
      <c r="A105" s="4" t="inlineStr">
        <is>
          <t>qz_flucht_gekennz</t>
        </is>
      </c>
      <c r="B105" s="4" t="inlineStr">
        <is>
          <t>5.13a</t>
        </is>
      </c>
      <c r="C105" s="4" t="inlineStr">
        <is>
          <t>Z – Zugang zum Triebwerks-/Steuerungsraum</t>
        </is>
      </c>
      <c r="D105" s="4" t="inlineStr">
        <is>
          <t>Flucht- und Rettungsweg gekennzeichnet und beleuchtet?</t>
        </is>
      </c>
      <c r="E105" s="4" t="inlineStr">
        <is>
          <t>YES_NO</t>
        </is>
      </c>
      <c r="F105" s="4" t="inlineStr"/>
      <c r="G105" s="4" t="inlineStr"/>
      <c r="H105" s="4" t="inlineStr">
        <is>
          <t>5.13 Flucht- und Rettungsweg vom Triebwerks-/Steuerungsraum frei und benutzbar? = Ja</t>
        </is>
      </c>
      <c r="I105" s="4" t="inlineStr">
        <is>
          <t>MF-Z08</t>
        </is>
      </c>
    </row>
    <row r="106">
      <c r="A106" s="2" t="inlineStr">
        <is>
          <t>qz_flucht_eingeengt</t>
        </is>
      </c>
      <c r="B106" s="2" t="inlineStr">
        <is>
          <t>5.13b</t>
        </is>
      </c>
      <c r="C106" s="2" t="inlineStr">
        <is>
          <t>Z – Zugang zum Triebwerks-/Steuerungsraum</t>
        </is>
      </c>
      <c r="D106" s="2" t="inlineStr">
        <is>
          <t>Fluchtweg durch Lagerung eingeengt?</t>
        </is>
      </c>
      <c r="E106" s="2" t="inlineStr">
        <is>
          <t>YES_NO</t>
        </is>
      </c>
      <c r="F106" s="2" t="inlineStr"/>
      <c r="G106" s="2" t="inlineStr"/>
      <c r="H106" s="2" t="inlineStr">
        <is>
          <t>5.13 Flucht- und Rettungsweg vom Triebwerks-/Steuerungsraum frei und benutzbar? = Ja</t>
        </is>
      </c>
      <c r="I106" s="2" t="inlineStr">
        <is>
          <t>MF-Z08</t>
        </is>
      </c>
    </row>
    <row r="107">
      <c r="A107" s="4" t="inlineStr">
        <is>
          <t>qz_zugang_befreiung</t>
        </is>
      </c>
      <c r="B107" s="4" t="inlineStr">
        <is>
          <t>3.4</t>
        </is>
      </c>
      <c r="C107" s="4" t="inlineStr">
        <is>
          <t>Z – Zugang zum Triebwerks-/Steuerungsraum</t>
        </is>
      </c>
      <c r="D107" s="4" t="inlineStr">
        <is>
          <t>Zugang zur Anlage für die Personenbefreiung jederzeit gewährleistet?</t>
        </is>
      </c>
      <c r="E107" s="4" t="inlineStr">
        <is>
          <t>SELECT</t>
        </is>
      </c>
      <c r="F107" s="4" t="inlineStr">
        <is>
          <t>Ja, jederzeit (Schlüsseltresor / ständig besetzte Stelle vor Ort)
Nur über Schlüssel bei Leitwarte, Pforte oder Hausmeister
Nein, nicht jederzeit möglich</t>
        </is>
      </c>
      <c r="G107" s="4" t="inlineStr">
        <is>
          <t>Prüfen, ob der Befreiungsdienst rund um die Uhr ins Gebäude und zur Anlage kommt (Schlüsseltresor, Pförtner, Schließanlage).</t>
        </is>
      </c>
      <c r="H107" s="4" t="inlineStr"/>
      <c r="I107" s="4" t="inlineStr">
        <is>
          <t>MF-Z09</t>
        </is>
      </c>
    </row>
    <row r="108">
      <c r="A108" s="2" t="inlineStr">
        <is>
          <t>qz_asbest</t>
        </is>
      </c>
      <c r="B108" s="2" t="inlineStr">
        <is>
          <t>5.60</t>
        </is>
      </c>
      <c r="C108" s="2" t="inlineStr">
        <is>
          <t>Z – Zugang zum Triebwerks-/Steuerungsraum</t>
        </is>
      </c>
      <c r="D108" s="2" t="inlineStr">
        <is>
          <t>Asbesthaltige oder andere schädliche Baustoffe im Zugangsbereich zum Triebwerksraum (Bremsbeläge, Dichtungen, Brandschutzplatten, Isolierungen)?</t>
        </is>
      </c>
      <c r="E108" s="2" t="inlineStr">
        <is>
          <t>YES_NO</t>
        </is>
      </c>
      <c r="F108" s="2" t="inlineStr"/>
      <c r="G108" s="2" t="inlineStr"/>
      <c r="H108" s="2" t="inlineStr"/>
      <c r="I108" s="2" t="inlineStr">
        <is>
          <t>MF-U01</t>
        </is>
      </c>
    </row>
    <row r="109">
      <c r="A109" s="4" t="inlineStr">
        <is>
          <t>qz_verschmutzung</t>
        </is>
      </c>
      <c r="B109" s="4" t="inlineStr">
        <is>
          <t>5.62</t>
        </is>
      </c>
      <c r="C109" s="4" t="inlineStr">
        <is>
          <t>Z – Zugang zum Triebwerks-/Steuerungsraum</t>
        </is>
      </c>
      <c r="D109" s="4" t="inlineStr">
        <is>
          <t>Erhebliche Verschmutzungen (Taubenkot, Unrat, Schimmel, Ablagerungen) im Zugangsbereich zum Triebwerksraum?</t>
        </is>
      </c>
      <c r="E109" s="4" t="inlineStr">
        <is>
          <t>YES_NO</t>
        </is>
      </c>
      <c r="F109" s="4" t="inlineStr"/>
      <c r="G109" s="4" t="inlineStr"/>
      <c r="H109" s="4" t="inlineStr"/>
      <c r="I109" s="4" t="inlineStr">
        <is>
          <t>MF-U02</t>
        </is>
      </c>
    </row>
    <row r="110">
      <c r="A110" s="2" t="inlineStr">
        <is>
          <t>qz_brennbar_lager</t>
        </is>
      </c>
      <c r="B110" s="2" t="inlineStr">
        <is>
          <t>5.64</t>
        </is>
      </c>
      <c r="C110" s="2" t="inlineStr">
        <is>
          <t>Z – Zugang zum Triebwerks-/Steuerungsraum</t>
        </is>
      </c>
      <c r="D110" s="2" t="inlineStr">
        <is>
          <t>Lagerung brennbarer oder leicht entzündlicher Stoffe im Zugangsbereich zum Triebwerksraum?</t>
        </is>
      </c>
      <c r="E110" s="2" t="inlineStr">
        <is>
          <t>YES_NO</t>
        </is>
      </c>
      <c r="F110" s="2" t="inlineStr"/>
      <c r="G110" s="2" t="inlineStr"/>
      <c r="H110" s="2" t="inlineStr"/>
      <c r="I110" s="2" t="inlineStr">
        <is>
          <t>MF-U03</t>
        </is>
      </c>
    </row>
    <row r="111">
      <c r="A111" s="4" t="inlineStr">
        <is>
          <t>qz_asbest_zustand</t>
        </is>
      </c>
      <c r="B111" s="4" t="inlineStr">
        <is>
          <t>5.60a</t>
        </is>
      </c>
      <c r="C111" s="4" t="inlineStr">
        <is>
          <t>Z – Zugang zum Triebwerks-/Steuerungsraum</t>
        </is>
      </c>
      <c r="D111" s="4" t="inlineStr">
        <is>
          <t>Zustand des Fundes im Zugangsbereich zum Triebwerksraum</t>
        </is>
      </c>
      <c r="E111" s="4" t="inlineStr">
        <is>
          <t>SELECT</t>
        </is>
      </c>
      <c r="F111" s="4" t="inlineStr">
        <is>
          <t>Fest gebunden und unbeschädigt (z. B. Asbestzementplatte, Dichtung, Brandschutzplatte ohne Bruchstellen)
Schwach gebunden, beschädigt oder abriebbelastet (Bruchstellen, Abrieb, Staubablagerungen)
Zustand nicht beurteilbar</t>
        </is>
      </c>
      <c r="G111" s="4" t="inlineStr">
        <is>
          <t>Bewertet wird der Zustand, nicht die Menge. Fest gebunden und unbeschädigt heißt: keine Bruch-, Bohr- oder Schleifstellen, keine Abplatzungen, keine Staubablagerungen mit Abriebanteil. Im Zweifel „Zustand nicht beurteilbar" wählen – das ergibt dieselbe Einstufung wie ein beschädigter Fund. Die Zuordnung ersetzt keine Probenahme.</t>
        </is>
      </c>
      <c r="H111" s="4" t="inlineStr">
        <is>
          <t>5.60 Asbesthaltige oder andere schädliche Baustoffe im Zugangsbereich zum Triebwerksraum (Bremsbeläge, Dichtungen, Brandschutzplatten, Isolierungen)? = Ja</t>
        </is>
      </c>
      <c r="I111" s="4" t="inlineStr">
        <is>
          <t>MF-U01</t>
        </is>
      </c>
    </row>
    <row r="112">
      <c r="A112" s="2" t="inlineStr">
        <is>
          <t>qm_bel_vorhanden</t>
        </is>
      </c>
      <c r="B112" s="2" t="inlineStr">
        <is>
          <t>5.20</t>
        </is>
      </c>
      <c r="C112" s="2" t="inlineStr">
        <is>
          <t>M – Triebwerks-/Maschinenraum und Steuerung</t>
        </is>
      </c>
      <c r="D112" s="2" t="inlineStr">
        <is>
          <t>Beleuchtung im Triebwerks-/Maschinenraum vorhanden?</t>
        </is>
      </c>
      <c r="E112" s="2" t="inlineStr">
        <is>
          <t>YES_NO</t>
        </is>
      </c>
      <c r="F112" s="2" t="inlineStr"/>
      <c r="G112" s="2" t="inlineStr"/>
      <c r="H112" s="2" t="inlineStr">
        <is>
          <t>4.7 Eigener Triebwerks-/Maschinenraum vorhanden? = Ja</t>
        </is>
      </c>
      <c r="I112" s="2" t="inlineStr">
        <is>
          <t>MF-M01</t>
        </is>
      </c>
    </row>
    <row r="113">
      <c r="A113" s="4" t="inlineStr">
        <is>
          <t>qm_bel_200lux</t>
        </is>
      </c>
      <c r="B113" s="4" t="inlineStr">
        <is>
          <t>5.21</t>
        </is>
      </c>
      <c r="C113" s="4" t="inlineStr">
        <is>
          <t>M – Triebwerks-/Maschinenraum und Steuerung</t>
        </is>
      </c>
      <c r="D113" s="4" t="inlineStr">
        <is>
          <t>Beleuchtungsstärke an den Arbeitsflächen (Antrieb, Steuerschrank) mind. 200 Lux, Leuchten funktionsfähig?</t>
        </is>
      </c>
      <c r="E113" s="4" t="inlineStr">
        <is>
          <t>YES_NO</t>
        </is>
      </c>
      <c r="F113" s="4" t="inlineStr"/>
      <c r="G113" s="4" t="inlineStr"/>
      <c r="H113" s="4" t="inlineStr">
        <is>
          <t>5.20 Beleuchtung im Triebwerks-/Maschinenraum vorhanden? = Ja</t>
        </is>
      </c>
      <c r="I113" s="4" t="inlineStr">
        <is>
          <t>MF-M01</t>
        </is>
      </c>
    </row>
    <row r="114">
      <c r="A114" s="2" t="inlineStr">
        <is>
          <t>qm_bel_geeignet</t>
        </is>
      </c>
      <c r="B114" s="2" t="inlineStr">
        <is>
          <t>5.22</t>
        </is>
      </c>
      <c r="C114" s="2" t="inlineStr">
        <is>
          <t>M – Triebwerks-/Maschinenraum und Steuerung</t>
        </is>
      </c>
      <c r="D114" s="2" t="inlineStr">
        <is>
          <t>Leuchten an geeigneter Stelle (Arbeitsflächen nicht abgeschattet)?</t>
        </is>
      </c>
      <c r="E114" s="2" t="inlineStr">
        <is>
          <t>YES_NO</t>
        </is>
      </c>
      <c r="F114" s="2" t="inlineStr"/>
      <c r="G114" s="2" t="inlineStr"/>
      <c r="H114" s="2" t="inlineStr">
        <is>
          <t>5.20 Beleuchtung im Triebwerks-/Maschinenraum vorhanden? = Ja</t>
        </is>
      </c>
      <c r="I114" s="2" t="inlineStr">
        <is>
          <t>MF-M01</t>
        </is>
      </c>
    </row>
    <row r="115">
      <c r="A115" s="4" t="inlineStr">
        <is>
          <t>qm_bel_splitterschutz</t>
        </is>
      </c>
      <c r="B115" s="4" t="inlineStr">
        <is>
          <t>5.23</t>
        </is>
      </c>
      <c r="C115" s="4" t="inlineStr">
        <is>
          <t>M – Triebwerks-/Maschinenraum und Steuerung</t>
        </is>
      </c>
      <c r="D115" s="4" t="inlineStr">
        <is>
          <t>Leuchten im Kopfbereich mit Splitterschutz / bruchsicher?</t>
        </is>
      </c>
      <c r="E115" s="4" t="inlineStr">
        <is>
          <t>YES_NO</t>
        </is>
      </c>
      <c r="F115" s="4" t="inlineStr"/>
      <c r="G115" s="4" t="inlineStr"/>
      <c r="H115" s="4" t="inlineStr">
        <is>
          <t>5.20 Beleuchtung im Triebwerks-/Maschinenraum vorhanden? = Ja</t>
        </is>
      </c>
      <c r="I115" s="4" t="inlineStr">
        <is>
          <t>MF-M01</t>
        </is>
      </c>
    </row>
    <row r="116">
      <c r="A116" s="2" t="inlineStr">
        <is>
          <t>qm_beruehrungssicher</t>
        </is>
      </c>
      <c r="B116" s="2" t="inlineStr">
        <is>
          <t>5.30</t>
        </is>
      </c>
      <c r="C116" s="2" t="inlineStr">
        <is>
          <t>M – Triebwerks-/Maschinenraum und Steuerung</t>
        </is>
      </c>
      <c r="D116" s="2" t="inlineStr">
        <is>
          <t>Alle spannungsführenden Teile berührungssicher (Abdeckungen vorhanden, Schaltschrank geschlossen)?</t>
        </is>
      </c>
      <c r="E116" s="2" t="inlineStr">
        <is>
          <t>YES_NO</t>
        </is>
      </c>
      <c r="F116" s="2" t="inlineStr"/>
      <c r="G116" s="2" t="inlineStr"/>
      <c r="H116" s="2" t="inlineStr"/>
      <c r="I116" s="2" t="inlineStr">
        <is>
          <t>MF-M02</t>
        </is>
      </c>
    </row>
    <row r="117">
      <c r="A117" s="4" t="inlineStr">
        <is>
          <t>qm_offene_schalttafel</t>
        </is>
      </c>
      <c r="B117" s="4" t="inlineStr">
        <is>
          <t>5.31</t>
        </is>
      </c>
      <c r="C117" s="4" t="inlineStr">
        <is>
          <t>M – Triebwerks-/Maschinenraum und Steuerung</t>
        </is>
      </c>
      <c r="D117" s="4" t="inlineStr">
        <is>
          <t>Offene Schalttafel ohne Schaltschrank vorhanden?</t>
        </is>
      </c>
      <c r="E117" s="4" t="inlineStr">
        <is>
          <t>YES_NO</t>
        </is>
      </c>
      <c r="F117" s="4" t="inlineStr"/>
      <c r="G117" s="4" t="inlineStr"/>
      <c r="H117" s="4" t="inlineStr">
        <is>
          <t>5.30 Alle spannungsführenden Teile berührungssicher (Abdeckungen vorhanden, Schaltschrank geschlossen)? = Nein</t>
        </is>
      </c>
      <c r="I117" s="4" t="inlineStr">
        <is>
          <t>MF-M02</t>
        </is>
      </c>
    </row>
    <row r="118">
      <c r="A118" s="2" t="inlineStr">
        <is>
          <t>qm_offene_schalter</t>
        </is>
      </c>
      <c r="B118" s="2" t="inlineStr">
        <is>
          <t>5.32</t>
        </is>
      </c>
      <c r="C118" s="2" t="inlineStr">
        <is>
          <t>M – Triebwerks-/Maschinenraum und Steuerung</t>
        </is>
      </c>
      <c r="D118" s="2" t="inlineStr">
        <is>
          <t>Offene Kontakte oder Schalter an Maschine, Kopierwerk oder Begrenzer?</t>
        </is>
      </c>
      <c r="E118" s="2" t="inlineStr">
        <is>
          <t>YES_NO</t>
        </is>
      </c>
      <c r="F118" s="2" t="inlineStr"/>
      <c r="G118" s="2" t="inlineStr"/>
      <c r="H118" s="2" t="inlineStr">
        <is>
          <t>5.30 Alle spannungsführenden Teile berührungssicher (Abdeckungen vorhanden, Schaltschrank geschlossen)? = Nein</t>
        </is>
      </c>
      <c r="I118" s="2" t="inlineStr">
        <is>
          <t>MF-M02</t>
        </is>
      </c>
    </row>
    <row r="119">
      <c r="A119" s="4" t="inlineStr">
        <is>
          <t>qm_schaltschrank_unsicher</t>
        </is>
      </c>
      <c r="B119" s="4" t="inlineStr">
        <is>
          <t>5.33</t>
        </is>
      </c>
      <c r="C119" s="4" t="inlineStr">
        <is>
          <t>M – Triebwerks-/Maschinenraum und Steuerung</t>
        </is>
      </c>
      <c r="D119" s="4" t="inlineStr">
        <is>
          <t>Nicht berührungssichere Bauteile im Schaltschrank (bei geöffneter Tür erreichbar)?</t>
        </is>
      </c>
      <c r="E119" s="4" t="inlineStr">
        <is>
          <t>YES_NO</t>
        </is>
      </c>
      <c r="F119" s="4" t="inlineStr"/>
      <c r="G119" s="4" t="inlineStr"/>
      <c r="H119" s="4" t="inlineStr">
        <is>
          <t>5.30 Alle spannungsführenden Teile berührungssicher (Abdeckungen vorhanden, Schaltschrank geschlossen)? = Nein</t>
        </is>
      </c>
      <c r="I119" s="4" t="inlineStr">
        <is>
          <t>MF-M02</t>
        </is>
      </c>
    </row>
    <row r="120">
      <c r="A120" s="2" t="inlineStr">
        <is>
          <t>qm_kennz_kontakte</t>
        </is>
      </c>
      <c r="B120" s="2" t="inlineStr">
        <is>
          <t>5.34</t>
        </is>
      </c>
      <c r="C120" s="2" t="inlineStr">
        <is>
          <t>M – Triebwerks-/Maschinenraum und Steuerung</t>
        </is>
      </c>
      <c r="D120" s="2" t="inlineStr">
        <is>
          <t>Warnkennzeichnung für offene elektrische Kontakte vorhanden?</t>
        </is>
      </c>
      <c r="E120" s="2" t="inlineStr">
        <is>
          <t>YES_NO</t>
        </is>
      </c>
      <c r="F120" s="2" t="inlineStr"/>
      <c r="G120" s="2" t="inlineStr">
        <is>
          <t>Die Kennzeichnung ersetzt den Berührungsschutz nicht (Entscheidung 02.09.2026, K-K10); sie fehlt, ist das ein eigener – geringer – Mangel.</t>
        </is>
      </c>
      <c r="H120" s="2" t="inlineStr">
        <is>
          <t>5.30 Alle spannungsführenden Teile berührungssicher (Abdeckungen vorhanden, Schaltschrank geschlossen)? = Nein</t>
        </is>
      </c>
      <c r="I120" s="2" t="inlineStr">
        <is>
          <t>MF-M02</t>
        </is>
      </c>
    </row>
    <row r="121">
      <c r="A121" s="4" t="inlineStr">
        <is>
          <t>qm_dguv_v3</t>
        </is>
      </c>
      <c r="B121" s="4" t="inlineStr">
        <is>
          <t>5.35</t>
        </is>
      </c>
      <c r="C121" s="4" t="inlineStr">
        <is>
          <t>M – Triebwerks-/Maschinenraum und Steuerung</t>
        </is>
      </c>
      <c r="D121" s="4" t="inlineStr">
        <is>
          <t>Nachweis der elektrischen Prüfung der AUFZUGSANLAGE nach DGUV Vorschrift 3 vorhanden (Steuerung, Antrieb, Leitungen der Anlage; Prüfplakette / Protokoll aktuell)?</t>
        </is>
      </c>
      <c r="E121" s="4" t="inlineStr">
        <is>
          <t>YES_NO</t>
        </is>
      </c>
      <c r="F121" s="4" t="inlineStr"/>
      <c r="G121" s="4" t="inlineStr">
        <is>
          <t>Nur die Aufzugsanlage selbst. Die bauseitige ortsfeste Installation des Raumes (Steckdosen, Raumbeleuchtung, Zuleitung) wird unter 5.37 erfasst (Prüfbericht 20.09.2026: Abgrenzung geschärft).</t>
        </is>
      </c>
      <c r="H121" s="4" t="inlineStr"/>
      <c r="I121" s="4" t="inlineStr">
        <is>
          <t>MF-M02</t>
        </is>
      </c>
    </row>
    <row r="122">
      <c r="A122" s="2" t="inlineStr">
        <is>
          <t>qm_bauseitig_ok</t>
        </is>
      </c>
      <c r="B122" s="2" t="inlineStr">
        <is>
          <t>5.36</t>
        </is>
      </c>
      <c r="C122" s="2" t="inlineStr">
        <is>
          <t>M – Triebwerks-/Maschinenraum und Steuerung</t>
        </is>
      </c>
      <c r="D122" s="2" t="inlineStr">
        <is>
          <t>Bauseitige Elektroinstallation im Raum (Steckdosen, Schalter, Leitungen) unbeschädigt?</t>
        </is>
      </c>
      <c r="E122" s="2" t="inlineStr">
        <is>
          <t>YES_NO</t>
        </is>
      </c>
      <c r="F122" s="2" t="inlineStr"/>
      <c r="G122" s="2" t="inlineStr"/>
      <c r="H122" s="2" t="inlineStr"/>
      <c r="I122" s="2" t="inlineStr">
        <is>
          <t>MF-M16</t>
        </is>
      </c>
    </row>
    <row r="123">
      <c r="A123" s="4" t="inlineStr">
        <is>
          <t>qm_ortsfest_geprueft</t>
        </is>
      </c>
      <c r="B123" s="4" t="inlineStr">
        <is>
          <t>5.37</t>
        </is>
      </c>
      <c r="C123" s="4" t="inlineStr">
        <is>
          <t>M – Triebwerks-/Maschinenraum und Steuerung</t>
        </is>
      </c>
      <c r="D123" s="4" t="inlineStr">
        <is>
          <t>Prüfung der BAUSEITIGEN ortsfesten elektrischen Anlage des Raumes nachgewiesen (Zuleitung, Steckdosen, Raumbeleuchtung)?</t>
        </is>
      </c>
      <c r="E123" s="4" t="inlineStr">
        <is>
          <t>YES_NO</t>
        </is>
      </c>
      <c r="F123" s="4" t="inlineStr"/>
      <c r="G123" s="4" t="inlineStr">
        <is>
          <t>Bauseitige Installation, nicht die Aufzugsanlage (die steht unter 5.35). Zuständig ist der Betreiber bzw. das Elektrogewerk des Gebäudes.</t>
        </is>
      </c>
      <c r="H123" s="4" t="inlineStr"/>
      <c r="I123" s="4" t="inlineStr">
        <is>
          <t>MF-M16</t>
        </is>
      </c>
    </row>
    <row r="124">
      <c r="A124" s="2" t="inlineStr">
        <is>
          <t>qm_potenzialausgleich</t>
        </is>
      </c>
      <c r="B124" s="2" t="inlineStr">
        <is>
          <t>5.38</t>
        </is>
      </c>
      <c r="C124" s="2" t="inlineStr">
        <is>
          <t>M – Triebwerks-/Maschinenraum und Steuerung</t>
        </is>
      </c>
      <c r="D124" s="2" t="inlineStr">
        <is>
          <t>Hauptpotenzialausgleich an der Aufzugskonstruktion vorhanden?</t>
        </is>
      </c>
      <c r="E124" s="2" t="inlineStr">
        <is>
          <t>YES_NO</t>
        </is>
      </c>
      <c r="F124" s="2" t="inlineStr"/>
      <c r="G124" s="2" t="inlineStr"/>
      <c r="H124" s="2" t="inlineStr"/>
      <c r="I124" s="2" t="inlineStr">
        <is>
          <t>MF-M16</t>
        </is>
      </c>
    </row>
    <row r="125">
      <c r="A125" s="4" t="inlineStr">
        <is>
          <t>qm_einzug_treibscheibe</t>
        </is>
      </c>
      <c r="B125" s="4" t="inlineStr">
        <is>
          <t>5.40</t>
        </is>
      </c>
      <c r="C125" s="4" t="inlineStr">
        <is>
          <t>M – Triebwerks-/Maschinenraum und Steuerung</t>
        </is>
      </c>
      <c r="D125" s="4" t="inlineStr">
        <is>
          <t>Einzugsschutz an Treibscheibe, Umlenkrollen und Kopierwerk vorhanden?</t>
        </is>
      </c>
      <c r="E125" s="4" t="inlineStr">
        <is>
          <t>YES_NO</t>
        </is>
      </c>
      <c r="F125" s="4" t="inlineStr"/>
      <c r="G125" s="4" t="inlineStr"/>
      <c r="H125" s="4" t="inlineStr">
        <is>
          <t>3.1 Aufzugsart in [„Seil-/Riemenaufzug (Treibscheibe)", „Trommel- oder Kettenaufzug", „Seil-Hydraulikaufzug (indirekt)"]</t>
        </is>
      </c>
      <c r="I125" s="4" t="inlineStr">
        <is>
          <t>MF-M03</t>
        </is>
      </c>
    </row>
    <row r="126">
      <c r="A126" s="2" t="inlineStr">
        <is>
          <t>qm_einzug_begrenzer</t>
        </is>
      </c>
      <c r="B126" s="2" t="inlineStr">
        <is>
          <t>5.41</t>
        </is>
      </c>
      <c r="C126" s="2" t="inlineStr">
        <is>
          <t>M – Triebwerks-/Maschinenraum und Steuerung</t>
        </is>
      </c>
      <c r="D126" s="2" t="inlineStr">
        <is>
          <t>Einzugsschutz am Geschwindigkeitsbegrenzer vorhanden?</t>
        </is>
      </c>
      <c r="E126" s="2" t="inlineStr">
        <is>
          <t>YES_NO</t>
        </is>
      </c>
      <c r="F126" s="2" t="inlineStr"/>
      <c r="G126" s="2" t="inlineStr"/>
      <c r="H126" s="2" t="inlineStr">
        <is>
          <t>3.1 Aufzugsart in [„Seil-/Riemenaufzug (Treibscheibe)", „Trommel- oder Kettenaufzug", „Seil-Hydraulikaufzug (indirekt)"]</t>
        </is>
      </c>
      <c r="I126" s="2" t="inlineStr">
        <is>
          <t>MF-M03</t>
        </is>
      </c>
    </row>
    <row r="127">
      <c r="A127" s="4" t="inlineStr">
        <is>
          <t>qm_einzug_grad</t>
        </is>
      </c>
      <c r="B127" s="4" t="inlineStr">
        <is>
          <t>5.42</t>
        </is>
      </c>
      <c r="C127" s="4" t="inlineStr">
        <is>
          <t>M – Triebwerks-/Maschinenraum und Steuerung</t>
        </is>
      </c>
      <c r="D127" s="4" t="inlineStr">
        <is>
          <t>Abdeckung der Einzugstellen insgesamt</t>
        </is>
      </c>
      <c r="E127" s="4" t="inlineStr">
        <is>
          <t>SELECT</t>
        </is>
      </c>
      <c r="F127" s="4" t="inlineStr">
        <is>
          <t>Komplett abgedeckt
Teilweise abgedeckt
Einzugstellen offen</t>
        </is>
      </c>
      <c r="G127" s="4" t="inlineStr"/>
      <c r="H127" s="4" t="inlineStr">
        <is>
          <t>3.1 Aufzugsart in [„Seil-/Riemenaufzug (Treibscheibe)", „Trommel- oder Kettenaufzug", „Seil-Hydraulikaufzug (indirekt)"]</t>
        </is>
      </c>
      <c r="I127" s="4" t="inlineStr">
        <is>
          <t>MF-M03</t>
        </is>
      </c>
    </row>
    <row r="128">
      <c r="A128" s="2" t="inlineStr">
        <is>
          <t>qm_hoehe_180</t>
        </is>
      </c>
      <c r="B128" s="2" t="inlineStr">
        <is>
          <t>5.43</t>
        </is>
      </c>
      <c r="C128" s="2" t="inlineStr">
        <is>
          <t>M – Triebwerks-/Maschinenraum und Steuerung</t>
        </is>
      </c>
      <c r="D128" s="2" t="inlineStr">
        <is>
          <t>Lichte Höhe im Gehbereich mind. 1,80 m?</t>
        </is>
      </c>
      <c r="E128" s="2" t="inlineStr">
        <is>
          <t>YES_NO</t>
        </is>
      </c>
      <c r="F128" s="2" t="inlineStr"/>
      <c r="G128" s="2" t="inlineStr"/>
      <c r="H128" s="2" t="inlineStr">
        <is>
          <t>4.7 Eigener Triebwerks-/Maschinenraum vorhanden? = Ja</t>
        </is>
      </c>
      <c r="I128" s="2" t="inlineStr">
        <is>
          <t>MF-M04</t>
        </is>
      </c>
    </row>
    <row r="129">
      <c r="A129" s="4" t="inlineStr">
        <is>
          <t>qm_freiflaeche</t>
        </is>
      </c>
      <c r="B129" s="4" t="inlineStr">
        <is>
          <t>5.44</t>
        </is>
      </c>
      <c r="C129" s="4" t="inlineStr">
        <is>
          <t>M – Triebwerks-/Maschinenraum und Steuerung</t>
        </is>
      </c>
      <c r="D129" s="4" t="inlineStr">
        <is>
          <t>Freifläche für Notbetrieb/Handrad mind. 0,50 m × 0,60 m vor dem Antrieb vorhanden?</t>
        </is>
      </c>
      <c r="E129" s="4" t="inlineStr">
        <is>
          <t>YES_NO</t>
        </is>
      </c>
      <c r="F129" s="4" t="inlineStr"/>
      <c r="G129" s="4" t="inlineStr">
        <is>
          <t>Gemeint ist das Flächenmaß nach DIN EN 81-20 5.2.6.3.2. Ist der Zugang zu Handrad bzw. Bremslüftung dadurch vollständig versperrt, ist die Notbetriebseinrichtung nicht bedienbar – dann ist zusätzlich 5.53 mit Nein zu beantworten; erst darüber (MF-M15) entsteht die Einstufung Hoch.</t>
        </is>
      </c>
      <c r="H129" s="4" t="inlineStr">
        <is>
          <t>4.7 Eigener Triebwerks-/Maschinenraum vorhanden? = Ja</t>
        </is>
      </c>
      <c r="I129" s="4" t="inlineStr">
        <is>
          <t>MF-M04</t>
        </is>
      </c>
    </row>
    <row r="130">
      <c r="A130" s="2" t="inlineStr">
        <is>
          <t>qm_lagerung</t>
        </is>
      </c>
      <c r="B130" s="2" t="inlineStr">
        <is>
          <t>5.45</t>
        </is>
      </c>
      <c r="C130" s="2" t="inlineStr">
        <is>
          <t>M – Triebwerks-/Maschinenraum und Steuerung</t>
        </is>
      </c>
      <c r="D130" s="2" t="inlineStr">
        <is>
          <t>Bewegungsflächen durch Lagerung eingeengt?</t>
        </is>
      </c>
      <c r="E130" s="2" t="inlineStr">
        <is>
          <t>YES_NO</t>
        </is>
      </c>
      <c r="F130" s="2" t="inlineStr"/>
      <c r="G130" s="2" t="inlineStr"/>
      <c r="H130" s="2" t="inlineStr">
        <is>
          <t>4.7 Eigener Triebwerks-/Maschinenraum vorhanden? = Ja</t>
        </is>
      </c>
      <c r="I130" s="2" t="inlineStr">
        <is>
          <t>MF-M04</t>
        </is>
      </c>
    </row>
    <row r="131">
      <c r="A131" s="4" t="inlineStr">
        <is>
          <t>qm_niveau</t>
        </is>
      </c>
      <c r="B131" s="4" t="inlineStr">
        <is>
          <t>5.46</t>
        </is>
      </c>
      <c r="C131" s="4" t="inlineStr">
        <is>
          <t>M – Triebwerks-/Maschinenraum und Steuerung</t>
        </is>
      </c>
      <c r="D131" s="4" t="inlineStr">
        <is>
          <t>Niveauunterschiede über 0,50 m im Raum vorhanden?</t>
        </is>
      </c>
      <c r="E131" s="4" t="inlineStr">
        <is>
          <t>YES_NO</t>
        </is>
      </c>
      <c r="F131" s="4" t="inlineStr"/>
      <c r="G131" s="4" t="inlineStr"/>
      <c r="H131" s="4" t="inlineStr">
        <is>
          <t>4.7 Eigener Triebwerks-/Maschinenraum vorhanden? = Ja</t>
        </is>
      </c>
      <c r="I131" s="4" t="inlineStr">
        <is>
          <t>MF-M05</t>
        </is>
      </c>
    </row>
    <row r="132">
      <c r="A132" s="2" t="inlineStr">
        <is>
          <t>qm_niveau_gesichert</t>
        </is>
      </c>
      <c r="B132" s="2" t="inlineStr">
        <is>
          <t>5.46a</t>
        </is>
      </c>
      <c r="C132" s="2" t="inlineStr">
        <is>
          <t>M – Triebwerks-/Maschinenraum und Steuerung</t>
        </is>
      </c>
      <c r="D132" s="2" t="inlineStr">
        <is>
          <t>Niveauunterschied durch Treppe oder Leiter überwindbar?</t>
        </is>
      </c>
      <c r="E132" s="2" t="inlineStr">
        <is>
          <t>YES_NO</t>
        </is>
      </c>
      <c r="F132" s="2" t="inlineStr"/>
      <c r="G132" s="2" t="inlineStr"/>
      <c r="H132" s="2" t="inlineStr">
        <is>
          <t>5.46 Niveauunterschiede über 0,50 m im Raum vorhanden? = Ja</t>
        </is>
      </c>
      <c r="I132" s="2" t="inlineStr">
        <is>
          <t>MF-M05</t>
        </is>
      </c>
    </row>
    <row r="133">
      <c r="A133" s="4" t="inlineStr">
        <is>
          <t>qm_podest_absturz</t>
        </is>
      </c>
      <c r="B133" s="4" t="inlineStr">
        <is>
          <t>5.46b</t>
        </is>
      </c>
      <c r="C133" s="4" t="inlineStr">
        <is>
          <t>M – Triebwerks-/Maschinenraum und Steuerung</t>
        </is>
      </c>
      <c r="D133" s="4" t="inlineStr">
        <is>
          <t>Podest mit Absturzhöhe über 1,00 m ohne Geländer?</t>
        </is>
      </c>
      <c r="E133" s="4" t="inlineStr">
        <is>
          <t>YES_NO</t>
        </is>
      </c>
      <c r="F133" s="4" t="inlineStr"/>
      <c r="G133" s="4" t="inlineStr"/>
      <c r="H133" s="4" t="inlineStr">
        <is>
          <t>5.46 Niveauunterschiede über 0,50 m im Raum vorhanden? = Ja</t>
        </is>
      </c>
      <c r="I133" s="4" t="inlineStr">
        <is>
          <t>MF-M05</t>
        </is>
      </c>
    </row>
    <row r="134">
      <c r="A134" s="2" t="inlineStr">
        <is>
          <t>qm_bodenoeffnung</t>
        </is>
      </c>
      <c r="B134" s="2" t="inlineStr">
        <is>
          <t>5.47</t>
        </is>
      </c>
      <c r="C134" s="2" t="inlineStr">
        <is>
          <t>M – Triebwerks-/Maschinenraum und Steuerung</t>
        </is>
      </c>
      <c r="D134" s="2" t="inlineStr">
        <is>
          <t>Ungesicherte Bodenöffnung oder Vertiefung im Raum?</t>
        </is>
      </c>
      <c r="E134" s="2" t="inlineStr">
        <is>
          <t>YES_NO</t>
        </is>
      </c>
      <c r="F134" s="2" t="inlineStr"/>
      <c r="G134" s="2" t="inlineStr"/>
      <c r="H134" s="2" t="inlineStr">
        <is>
          <t>4.7 Eigener Triebwerks-/Maschinenraum vorhanden? = Ja</t>
        </is>
      </c>
      <c r="I134" s="2" t="inlineStr">
        <is>
          <t>MF-M05</t>
        </is>
      </c>
    </row>
    <row r="135">
      <c r="A135" s="4" t="inlineStr">
        <is>
          <t>qm_boden_rutschhemmend</t>
        </is>
      </c>
      <c r="B135" s="4" t="inlineStr">
        <is>
          <t>5.48</t>
        </is>
      </c>
      <c r="C135" s="4" t="inlineStr">
        <is>
          <t>M – Triebwerks-/Maschinenraum und Steuerung</t>
        </is>
      </c>
      <c r="D135" s="4" t="inlineStr">
        <is>
          <t>Boden rutschhemmend und sauber?</t>
        </is>
      </c>
      <c r="E135" s="4" t="inlineStr">
        <is>
          <t>YES_NO</t>
        </is>
      </c>
      <c r="F135" s="4" t="inlineStr"/>
      <c r="G135" s="4" t="inlineStr"/>
      <c r="H135" s="4" t="inlineStr">
        <is>
          <t>4.7 Eigener Triebwerks-/Maschinenraum vorhanden? = Ja</t>
        </is>
      </c>
      <c r="I135" s="4" t="inlineStr">
        <is>
          <t>MF-M06</t>
        </is>
      </c>
    </row>
    <row r="136">
      <c r="A136" s="2" t="inlineStr">
        <is>
          <t>qm_boden_oelfest</t>
        </is>
      </c>
      <c r="B136" s="2" t="inlineStr">
        <is>
          <t>5.49</t>
        </is>
      </c>
      <c r="C136" s="2" t="inlineStr">
        <is>
          <t>M – Triebwerks-/Maschinenraum und Steuerung</t>
        </is>
      </c>
      <c r="D136" s="2" t="inlineStr">
        <is>
          <t>Boden ölfest gestrichen und unbeschädigt?</t>
        </is>
      </c>
      <c r="E136" s="2" t="inlineStr">
        <is>
          <t>YES_NO</t>
        </is>
      </c>
      <c r="F136" s="2" t="inlineStr"/>
      <c r="G136" s="2" t="inlineStr"/>
      <c r="H136" s="2" t="inlineStr">
        <is>
          <t>4.7 Eigener Triebwerks-/Maschinenraum vorhanden? = Ja</t>
        </is>
      </c>
      <c r="I136" s="2" t="inlineStr">
        <is>
          <t>MF-M06</t>
        </is>
      </c>
    </row>
    <row r="137">
      <c r="A137" s="4" t="inlineStr">
        <is>
          <t>qm_oel_ausgetreten</t>
        </is>
      </c>
      <c r="B137" s="4" t="inlineStr">
        <is>
          <t>5.50</t>
        </is>
      </c>
      <c r="C137" s="4" t="inlineStr">
        <is>
          <t>M – Triebwerks-/Maschinenraum und Steuerung</t>
        </is>
      </c>
      <c r="D137" s="4" t="inlineStr">
        <is>
          <t>Ausgetretenes Öl / Hydrauliköl ohne Auffangmöglichkeit?</t>
        </is>
      </c>
      <c r="E137" s="4" t="inlineStr">
        <is>
          <t>YES_NO</t>
        </is>
      </c>
      <c r="F137" s="4" t="inlineStr"/>
      <c r="G137" s="4" t="inlineStr"/>
      <c r="H137" s="4" t="inlineStr"/>
      <c r="I137" s="4" t="inlineStr">
        <is>
          <t>MF-M06</t>
        </is>
      </c>
    </row>
    <row r="138">
      <c r="A138" s="2" t="inlineStr">
        <is>
          <t>qm_hauptschalter</t>
        </is>
      </c>
      <c r="B138" s="2" t="inlineStr">
        <is>
          <t>5.51</t>
        </is>
      </c>
      <c r="C138" s="2" t="inlineStr">
        <is>
          <t>M – Triebwerks-/Maschinenraum und Steuerung</t>
        </is>
      </c>
      <c r="D138" s="2" t="inlineStr">
        <is>
          <t>Hauptschalter vorhanden und Wirkung nachvollziehbar?</t>
        </is>
      </c>
      <c r="E138" s="2" t="inlineStr">
        <is>
          <t>YES_NO</t>
        </is>
      </c>
      <c r="F138" s="2" t="inlineStr"/>
      <c r="G138" s="2" t="inlineStr">
        <is>
          <t>Prüfen: Hauptschalter ausschalten – Antrieb und Steuerung müssen spannungsfrei sein (Beleuchtung und Notruf bleiben versorgt). Abschließbarkeit unter 5.51a erfassen.</t>
        </is>
      </c>
      <c r="H138" s="2" t="inlineStr"/>
      <c r="I138" s="2" t="inlineStr">
        <is>
          <t>MF-M07</t>
        </is>
      </c>
    </row>
    <row r="139">
      <c r="A139" s="4" t="inlineStr">
        <is>
          <t>qm_hauptschalter_abschliessbar</t>
        </is>
      </c>
      <c r="B139" s="4" t="inlineStr">
        <is>
          <t>5.51a</t>
        </is>
      </c>
      <c r="C139" s="4" t="inlineStr">
        <is>
          <t>M – Triebwerks-/Maschinenraum und Steuerung</t>
        </is>
      </c>
      <c r="D139" s="4" t="inlineStr">
        <is>
          <t>Hauptschalter abschließbar?</t>
        </is>
      </c>
      <c r="E139" s="4" t="inlineStr">
        <is>
          <t>YES_NO</t>
        </is>
      </c>
      <c r="F139" s="4" t="inlineStr"/>
      <c r="G139" s="4" t="inlineStr"/>
      <c r="H139" s="4" t="inlineStr">
        <is>
          <t>5.51 Hauptschalter vorhanden und Wirkung nachvollziehbar? = Ja</t>
        </is>
      </c>
      <c r="I139" s="4" t="inlineStr">
        <is>
          <t>MF-M07</t>
        </is>
      </c>
    </row>
    <row r="140">
      <c r="A140" s="2" t="inlineStr">
        <is>
          <t>qm_hauptschalter_gekennz</t>
        </is>
      </c>
      <c r="B140" s="2" t="inlineStr">
        <is>
          <t>5.51b</t>
        </is>
      </c>
      <c r="C140" s="2" t="inlineStr">
        <is>
          <t>M – Triebwerks-/Maschinenraum und Steuerung</t>
        </is>
      </c>
      <c r="D140" s="2" t="inlineStr">
        <is>
          <t>Hauptschalter eindeutig gekennzeichnet?</t>
        </is>
      </c>
      <c r="E140" s="2" t="inlineStr">
        <is>
          <t>YES_NO</t>
        </is>
      </c>
      <c r="F140" s="2" t="inlineStr"/>
      <c r="G140" s="2" t="inlineStr"/>
      <c r="H140" s="2" t="inlineStr">
        <is>
          <t>5.51 Hauptschalter vorhanden und Wirkung nachvollziehbar? = Ja</t>
        </is>
      </c>
      <c r="I140" s="2" t="inlineStr">
        <is>
          <t>MF-M07</t>
        </is>
      </c>
    </row>
    <row r="141">
      <c r="A141" s="4" t="inlineStr">
        <is>
          <t>qm_zweikreisbremse</t>
        </is>
      </c>
      <c r="B141" s="4" t="inlineStr">
        <is>
          <t>6.2</t>
        </is>
      </c>
      <c r="C141" s="4" t="inlineStr">
        <is>
          <t>M – Triebwerks-/Maschinenraum und Steuerung</t>
        </is>
      </c>
      <c r="D141" s="4" t="inlineStr">
        <is>
          <t>Zweikreisbremse (redundante Betriebsbremse) vorhanden?</t>
        </is>
      </c>
      <c r="E141" s="4" t="inlineStr">
        <is>
          <t>YES_NO</t>
        </is>
      </c>
      <c r="F141" s="4" t="inlineStr"/>
      <c r="G141" s="4" t="inlineStr">
        <is>
          <t>Nachweis aus den Herstellerunterlagen bzw. Baumuster der Bremse: zwei mechanisch unabhängig wirkende Bremskreise.</t>
        </is>
      </c>
      <c r="H141" s="4" t="inlineStr">
        <is>
          <t>3.1 Aufzugsart in [„Seil-/Riemenaufzug (Treibscheibe)", „Trommel- oder Kettenaufzug"]</t>
        </is>
      </c>
      <c r="I141" s="4" t="inlineStr">
        <is>
          <t>MF-K12, MF-M08</t>
        </is>
      </c>
    </row>
    <row r="142">
      <c r="A142" s="2" t="inlineStr">
        <is>
          <t>qm_bremse_ueberwacht</t>
        </is>
      </c>
      <c r="B142" s="2" t="inlineStr">
        <is>
          <t>6.2a</t>
        </is>
      </c>
      <c r="C142" s="2" t="inlineStr">
        <is>
          <t>M – Triebwerks-/Maschinenraum und Steuerung</t>
        </is>
      </c>
      <c r="D142" s="2" t="inlineStr">
        <is>
          <t>Bremse elektrisch überwacht (Bremskontrollschalter)?</t>
        </is>
      </c>
      <c r="E142" s="2" t="inlineStr">
        <is>
          <t>YES_NO</t>
        </is>
      </c>
      <c r="F142" s="2" t="inlineStr"/>
      <c r="G142" s="2" t="inlineStr">
        <is>
          <t>Prüfen: Bremskontrollschalter vorhanden und im Steuerungsplan eingebunden; bei Fehlfunktion darf die Anlage nicht erneut anfahren.</t>
        </is>
      </c>
      <c r="H142" s="2" t="inlineStr">
        <is>
          <t>6.2 Zweikreisbremse (redundante Betriebsbremse) vorhanden? = Ja</t>
        </is>
      </c>
      <c r="I142" s="2" t="inlineStr">
        <is>
          <t>MF-K12, MF-M08</t>
        </is>
      </c>
    </row>
    <row r="143">
      <c r="A143" s="4" t="inlineStr">
        <is>
          <t>qm_motorschutz</t>
        </is>
      </c>
      <c r="B143" s="4" t="inlineStr">
        <is>
          <t>6.3</t>
        </is>
      </c>
      <c r="C143" s="4" t="inlineStr">
        <is>
          <t>M – Triebwerks-/Maschinenraum und Steuerung</t>
        </is>
      </c>
      <c r="D143" s="4" t="inlineStr">
        <is>
          <t>Schutz gegen Überhitzen des Antriebsmotors vorhanden?</t>
        </is>
      </c>
      <c r="E143" s="4" t="inlineStr">
        <is>
          <t>YES_NO</t>
        </is>
      </c>
      <c r="F143" s="4" t="inlineStr"/>
      <c r="G143" s="4" t="inlineStr"/>
      <c r="H143" s="4" t="inlineStr"/>
      <c r="I143" s="4" t="inlineStr">
        <is>
          <t>MF-M09</t>
        </is>
      </c>
    </row>
    <row r="144">
      <c r="A144" s="2" t="inlineStr">
        <is>
          <t>qm_schuetze_unabhaengig</t>
        </is>
      </c>
      <c r="B144" s="2" t="inlineStr">
        <is>
          <t>6.4</t>
        </is>
      </c>
      <c r="C144" s="2" t="inlineStr">
        <is>
          <t>M – Triebwerks-/Maschinenraum und Steuerung</t>
        </is>
      </c>
      <c r="D144" s="2" t="inlineStr">
        <is>
          <t>Zwei unabhängige Fahrschütze / Abschaltwege vorhanden?</t>
        </is>
      </c>
      <c r="E144" s="2" t="inlineStr">
        <is>
          <t>YES_NO</t>
        </is>
      </c>
      <c r="F144" s="2" t="inlineStr"/>
      <c r="G144" s="2" t="inlineStr">
        <is>
          <t>Stromlaufplan prüfen: zwei voneinander unabhängige Schütze oder gleichwertige Abschaltung des Antriebs (TRBS 3121 Anh. 1 Nr. 20).</t>
        </is>
      </c>
      <c r="H144" s="2" t="inlineStr">
        <is>
          <t>NICHT 3.1 Aufzugsart in [„Hydraulikaufzug", „Seil-Hydraulikaufzug (indirekt)"]</t>
        </is>
      </c>
      <c r="I144" s="2" t="inlineStr">
        <is>
          <t>MF-M10</t>
        </is>
      </c>
    </row>
    <row r="145">
      <c r="A145" s="4" t="inlineStr">
        <is>
          <t>qm_steuerung_selbstueberw</t>
        </is>
      </c>
      <c r="B145" s="4" t="inlineStr">
        <is>
          <t>6.4a</t>
        </is>
      </c>
      <c r="C145" s="4" t="inlineStr">
        <is>
          <t>M – Triebwerks-/Maschinenraum und Steuerung</t>
        </is>
      </c>
      <c r="D145" s="4" t="inlineStr">
        <is>
          <t>Bei nur einem Schütz: selbstüberwachende Steuerung mit Baumusterprüfung?</t>
        </is>
      </c>
      <c r="E145" s="4" t="inlineStr">
        <is>
          <t>YES_NO</t>
        </is>
      </c>
      <c r="F145" s="4" t="inlineStr"/>
      <c r="G145" s="4" t="inlineStr">
        <is>
          <t>Nur Ja, wenn die Baumusterbescheinigung der Steuerung die Überwachung des Einzelschützes ausdrücklich nennt.</t>
        </is>
      </c>
      <c r="H145" s="4" t="inlineStr">
        <is>
          <t>6.4 Zwei unabhängige Fahrschütze / Abschaltwege vorhanden? = Nein</t>
        </is>
      </c>
      <c r="I145" s="4" t="inlineStr">
        <is>
          <t>MF-M10</t>
        </is>
      </c>
    </row>
    <row r="146">
      <c r="A146" s="2" t="inlineStr">
        <is>
          <t>qm_laufzeit</t>
        </is>
      </c>
      <c r="B146" s="2" t="inlineStr">
        <is>
          <t>6.5</t>
        </is>
      </c>
      <c r="C146" s="2" t="inlineStr">
        <is>
          <t>M – Triebwerks-/Maschinenraum und Steuerung</t>
        </is>
      </c>
      <c r="D146" s="2" t="inlineStr">
        <is>
          <t>Motor-Laufzeitüberwachung vorhanden?</t>
        </is>
      </c>
      <c r="E146" s="2" t="inlineStr">
        <is>
          <t>YES_NO</t>
        </is>
      </c>
      <c r="F146" s="2" t="inlineStr"/>
      <c r="G146" s="2" t="inlineStr"/>
      <c r="H146" s="2" t="inlineStr"/>
      <c r="I146" s="2" t="inlineStr">
        <is>
          <t>MF-M11</t>
        </is>
      </c>
    </row>
    <row r="147">
      <c r="A147" s="4" t="inlineStr">
        <is>
          <t>qm_phasenumkehr</t>
        </is>
      </c>
      <c r="B147" s="4" t="inlineStr">
        <is>
          <t>6.6</t>
        </is>
      </c>
      <c r="C147" s="4" t="inlineStr">
        <is>
          <t>M – Triebwerks-/Maschinenraum und Steuerung</t>
        </is>
      </c>
      <c r="D147" s="4" t="inlineStr">
        <is>
          <t>Schutz gegen Phasenumkehr / Phasenausfall vorhanden?</t>
        </is>
      </c>
      <c r="E147" s="4" t="inlineStr">
        <is>
          <t>YES_NO</t>
        </is>
      </c>
      <c r="F147" s="4" t="inlineStr"/>
      <c r="G147" s="4" t="inlineStr"/>
      <c r="H147" s="4" t="inlineStr">
        <is>
          <t>6.1 Antriebssystem / Regelung nicht in [„Geregelter Antrieb (Frequenzumrichter)", „Hydraulischer Antrieb"]</t>
        </is>
      </c>
      <c r="I147" s="4" t="inlineStr">
        <is>
          <t>MF-M12</t>
        </is>
      </c>
    </row>
    <row r="148">
      <c r="A148" s="2" t="inlineStr">
        <is>
          <t>qm_absperrventil</t>
        </is>
      </c>
      <c r="B148" s="2" t="inlineStr">
        <is>
          <t>6.10</t>
        </is>
      </c>
      <c r="C148" s="2" t="inlineStr">
        <is>
          <t>M – Triebwerks-/Maschinenraum und Steuerung</t>
        </is>
      </c>
      <c r="D148" s="2" t="inlineStr">
        <is>
          <t>Absperrventil am Hydraulikaggregat vorhanden?</t>
        </is>
      </c>
      <c r="E148" s="2" t="inlineStr">
        <is>
          <t>YES_NO</t>
        </is>
      </c>
      <c r="F148" s="2" t="inlineStr"/>
      <c r="G148" s="2" t="inlineStr">
        <is>
          <t>Sichtprüfung am Aggregat: Absperrventil in der Leitung zum Zylinder vorhanden und bedienbar.</t>
        </is>
      </c>
      <c r="H148" s="2" t="inlineStr">
        <is>
          <t>3.1 Aufzugsart in [„Hydraulikaufzug", „Seil-Hydraulikaufzug (indirekt)"]</t>
        </is>
      </c>
      <c r="I148" s="2" t="inlineStr">
        <is>
          <t>MF-M13</t>
        </is>
      </c>
    </row>
    <row r="149">
      <c r="A149" s="4" t="inlineStr">
        <is>
          <t>qm_absperrventil_zugang</t>
        </is>
      </c>
      <c r="B149" s="4" t="inlineStr">
        <is>
          <t>6.10a</t>
        </is>
      </c>
      <c r="C149" s="4" t="inlineStr">
        <is>
          <t>M – Triebwerks-/Maschinenraum und Steuerung</t>
        </is>
      </c>
      <c r="D149" s="4" t="inlineStr">
        <is>
          <t>Absperrventil gut zugänglich (ohne Hilfsmittel, ohne Umbauten erreichbar und bedienbar)?</t>
        </is>
      </c>
      <c r="E149" s="4" t="inlineStr">
        <is>
          <t>YES_NO</t>
        </is>
      </c>
      <c r="F149" s="4" t="inlineStr"/>
      <c r="G149" s="4" t="inlineStr">
        <is>
          <t>Regelprüfung 20.09.2026: Aus der früheren Doppelfrage „gekennzeichnet UND gut zugänglich" herausgelöst. Ein nicht zugängliches Ventil verhindert das sichere Absperren bei Arbeiten (Mittel, technische Abhilfe); die bloß fehlende Kennzeichnung ist ein Mangel ohne unmittelbaren Gefährdungsbeitrag und steht unter 6.10b (Niedrig).</t>
        </is>
      </c>
      <c r="H149" s="4" t="inlineStr">
        <is>
          <t>6.10 Absperrventil am Hydraulikaggregat vorhanden? = Ja</t>
        </is>
      </c>
      <c r="I149" s="4" t="inlineStr">
        <is>
          <t>MF-M13</t>
        </is>
      </c>
    </row>
    <row r="150">
      <c r="A150" s="2" t="inlineStr">
        <is>
          <t>qm_absperrventil_gekennz</t>
        </is>
      </c>
      <c r="B150" s="2" t="inlineStr">
        <is>
          <t>6.10b</t>
        </is>
      </c>
      <c r="C150" s="2" t="inlineStr">
        <is>
          <t>M – Triebwerks-/Maschinenraum und Steuerung</t>
        </is>
      </c>
      <c r="D150" s="2" t="inlineStr">
        <is>
          <t>Absperrventil dauerhaft gekennzeichnet (Funktion, Wirkrichtung)?</t>
        </is>
      </c>
      <c r="E150" s="2" t="inlineStr">
        <is>
          <t>YES_NO</t>
        </is>
      </c>
      <c r="F150" s="2" t="inlineStr"/>
      <c r="G150" s="2" t="inlineStr">
        <is>
          <t>Regelprüfung 20.09.2026: Aus 6.10a herausgelöst; eigener Befund mit Stufe Niedrig.</t>
        </is>
      </c>
      <c r="H150" s="2" t="inlineStr">
        <is>
          <t>6.10 Absperrventil am Hydraulikaggregat vorhanden? = Ja</t>
        </is>
      </c>
      <c r="I150" s="2" t="inlineStr">
        <is>
          <t>MF-M13</t>
        </is>
      </c>
    </row>
    <row r="151">
      <c r="A151" s="4" t="inlineStr">
        <is>
          <t>qm_rohrbruch</t>
        </is>
      </c>
      <c r="B151" s="4" t="inlineStr">
        <is>
          <t>6.11</t>
        </is>
      </c>
      <c r="C151" s="4" t="inlineStr">
        <is>
          <t>M – Triebwerks-/Maschinenraum und Steuerung</t>
        </is>
      </c>
      <c r="D151" s="4" t="inlineStr">
        <is>
          <t>Rohrbruchsicherungsventil (Leitungsbruchventil) vorhanden?</t>
        </is>
      </c>
      <c r="E151" s="4" t="inlineStr">
        <is>
          <t>YES_NO</t>
        </is>
      </c>
      <c r="F151" s="4" t="inlineStr"/>
      <c r="G151" s="4" t="inlineStr">
        <is>
          <t>Nachweis aus den Herstellerunterlagen; Rohrbruchventil am Zylinder bzw. in der Leitung unmittelbar am Zylinder.</t>
        </is>
      </c>
      <c r="H151" s="4" t="inlineStr">
        <is>
          <t>3.1 Aufzugsart in [„Hydraulikaufzug", „Seil-Hydraulikaufzug (indirekt)"]</t>
        </is>
      </c>
      <c r="I151" s="4" t="inlineStr">
        <is>
          <t>MF-M13</t>
        </is>
      </c>
    </row>
    <row r="152">
      <c r="A152" s="2" t="inlineStr">
        <is>
          <t>qm_absturzsicherung_alt</t>
        </is>
      </c>
      <c r="B152" s="2" t="inlineStr">
        <is>
          <t>6.11a</t>
        </is>
      </c>
      <c r="C152" s="2" t="inlineStr">
        <is>
          <t>M – Triebwerks-/Maschinenraum und Steuerung</t>
        </is>
      </c>
      <c r="D152" s="2" t="inlineStr">
        <is>
          <t>Zulässige Absturzsicherung statt Leitungsbruchventil</t>
        </is>
      </c>
      <c r="E152" s="2" t="inlineStr">
        <is>
          <t>SELECT</t>
        </is>
      </c>
      <c r="F152" s="2" t="inlineStr">
        <is>
          <t>Drossel oder Drosselrückschlagventil (DIN EN 81-20 5.6.4)
Fangvorrichtung, eingerückt durch Geschwindigkeitsbegrenzer (DIN EN 81-20 5.6.2.1 mit 5.6.2.2.1)
Keine dieser Einrichtungen vorhanden</t>
        </is>
      </c>
      <c r="G152" s="2" t="inlineStr">
        <is>
          <t>Regelprüfung 20.09.2026: Nur zu beantworten, wenn kein Leitungsbruchventil vorhanden ist. Maßgeblich ist DIN EN 81-20 Tabelle 12. Beim indirekt angetriebenen Aufzug genügt die Drossel allein nicht – sie muss mit einer Fangvorrichtung kombiniert sein, die durch Bruch der Tragmittel oder ein Sicherheitsseil ausgelöst wird; das wird unter 10.8 und 10.8a erhoben. Im Zweifel „Keine dieser Einrichtungen vorhanden".</t>
        </is>
      </c>
      <c r="H152" s="2" t="inlineStr">
        <is>
          <t>(3.1 Aufzugsart in [„Hydraulikaufzug", „Seil-Hydraulikaufzug (indirekt)"] UND 6.11 Rohrbruchsicherungsventil (Leitungsbruchventil) vorhanden? = Nein)</t>
        </is>
      </c>
      <c r="I152" s="2" t="inlineStr">
        <is>
          <t>MF-M13</t>
        </is>
      </c>
    </row>
    <row r="153">
      <c r="A153" s="4" t="inlineStr">
        <is>
          <t>qm_kav</t>
        </is>
      </c>
      <c r="B153" s="4" t="inlineStr">
        <is>
          <t>6.12</t>
        </is>
      </c>
      <c r="C153" s="4" t="inlineStr">
        <is>
          <t>M – Triebwerks-/Maschinenraum und Steuerung</t>
        </is>
      </c>
      <c r="D153" s="4" t="inlineStr">
        <is>
          <t>Einrichtung gegen Absinken (Kolbenabsinkverhinderung / Nachholsteuerung) vorhanden?</t>
        </is>
      </c>
      <c r="E153" s="4" t="inlineStr">
        <is>
          <t>YES_NO</t>
        </is>
      </c>
      <c r="F153" s="4" t="inlineStr"/>
      <c r="G153" s="4" t="inlineStr"/>
      <c r="H153" s="4" t="inlineStr">
        <is>
          <t>3.1 Aufzugsart in [„Hydraulikaufzug", „Seil-Hydraulikaufzug (indirekt)"]</t>
        </is>
      </c>
      <c r="I153" s="4" t="inlineStr">
        <is>
          <t>MF-M13</t>
        </is>
      </c>
    </row>
    <row r="154">
      <c r="A154" s="2" t="inlineStr">
        <is>
          <t>qm_absinkt</t>
        </is>
      </c>
      <c r="B154" s="2" t="inlineStr">
        <is>
          <t>6.13</t>
        </is>
      </c>
      <c r="C154" s="2" t="inlineStr">
        <is>
          <t>M – Triebwerks-/Maschinenraum und Steuerung</t>
        </is>
      </c>
      <c r="D154" s="2" t="inlineStr">
        <is>
          <t>Sinkt der Fahrkorb im Stillstand merklich ab?</t>
        </is>
      </c>
      <c r="E154" s="2" t="inlineStr">
        <is>
          <t>YES_NO</t>
        </is>
      </c>
      <c r="F154" s="2" t="inlineStr"/>
      <c r="G154" s="2" t="inlineStr"/>
      <c r="H154" s="2" t="inlineStr">
        <is>
          <t>3.1 Aufzugsart in [„Hydraulikaufzug", „Seil-Hydraulikaufzug (indirekt)"]</t>
        </is>
      </c>
      <c r="I154" s="2" t="inlineStr">
        <is>
          <t>MF-M13</t>
        </is>
      </c>
    </row>
    <row r="155">
      <c r="A155" s="4" t="inlineStr">
        <is>
          <t>qm_notendschalter</t>
        </is>
      </c>
      <c r="B155" s="4" t="inlineStr">
        <is>
          <t>6.14</t>
        </is>
      </c>
      <c r="C155" s="4" t="inlineStr">
        <is>
          <t>M – Triebwerks-/Maschinenraum und Steuerung</t>
        </is>
      </c>
      <c r="D155" s="4" t="inlineStr">
        <is>
          <t>Notendschalter (Endbegrenzung hinter den Endhaltestellen)</t>
        </is>
      </c>
      <c r="E155" s="4" t="inlineStr">
        <is>
          <t>SELECT</t>
        </is>
      </c>
      <c r="F155" s="4" t="inlineStr">
        <is>
          <t>Vorhanden, Wirksamkeit vor Pufferberührung nachgewiesen
Vorhanden, Wirksamkeit nicht nachgewiesen
Nicht vorhanden oder unwirksam (überbrückt, verstellt)</t>
        </is>
      </c>
      <c r="G155" s="4" t="inlineStr">
        <is>
          <t>EN 81-20 5.12.2.1: bei Treibscheiben-, Trommel- und Kettenaufzügen am oberen und unteren Ende des Fahrwegs, bei Hydraulikaufzügen nur am oberen Ende. Sie müssen wirksam werden, bevor Fahrkorb oder Gegengewicht die Puffer berühren.</t>
        </is>
      </c>
      <c r="H155" s="4" t="inlineStr"/>
      <c r="I155" s="4" t="inlineStr">
        <is>
          <t>MF-M21</t>
        </is>
      </c>
    </row>
    <row r="156">
      <c r="A156" s="2" t="inlineStr">
        <is>
          <t>qm_notendschalter_getrennt</t>
        </is>
      </c>
      <c r="B156" s="2" t="inlineStr">
        <is>
          <t>6.14a</t>
        </is>
      </c>
      <c r="C156" s="2" t="inlineStr">
        <is>
          <t>M – Triebwerks-/Maschinenraum und Steuerung</t>
        </is>
      </c>
      <c r="D156" s="2" t="inlineStr">
        <is>
          <t>Getrennte Betätigungseinrichtungen für das betriebsmäßige Anhalten und für die Notendschalter?</t>
        </is>
      </c>
      <c r="E156" s="2" t="inlineStr">
        <is>
          <t>YES_NO</t>
        </is>
      </c>
      <c r="F156" s="2" t="inlineStr"/>
      <c r="G156" s="2" t="inlineStr">
        <is>
          <t>EN 81-20 5.12.2.2.1.</t>
        </is>
      </c>
      <c r="H156" s="2" t="inlineStr">
        <is>
          <t>6.14 Notendschalter (Endbegrenzung hinter den Endhaltestellen) nicht in [„Nicht vorhanden oder unwirksam (überbrückt, verstellt)"]</t>
        </is>
      </c>
      <c r="I156" s="2" t="inlineStr">
        <is>
          <t>MF-M21</t>
        </is>
      </c>
    </row>
    <row r="157">
      <c r="A157" s="4" t="inlineStr">
        <is>
          <t>qm_notendschalter_verbindung_ueberwacht</t>
        </is>
      </c>
      <c r="B157" s="4" t="inlineStr">
        <is>
          <t>6.14b</t>
        </is>
      </c>
      <c r="C157" s="4" t="inlineStr">
        <is>
          <t>M – Triebwerks-/Maschinenraum und Steuerung</t>
        </is>
      </c>
      <c r="D157" s="4" t="inlineStr">
        <is>
          <t>Bei mittelbarer Betätigung (Seil, Riemen, Kette): Bruch oder Schlaffwerden hält das Triebwerk über eine elektrische Sicherheitseinrichtung an?</t>
        </is>
      </c>
      <c r="E157" s="4" t="inlineStr">
        <is>
          <t>YES_NO</t>
        </is>
      </c>
      <c r="F157" s="4" t="inlineStr"/>
      <c r="G157" s="4" t="inlineStr">
        <is>
          <t>EN 81-20 5.12.2.2.3 b) und 5.12.2.2.4 b). Bei direkter Betätigung durch den Fahrkorb mit „Ja" beantworten.</t>
        </is>
      </c>
      <c r="H157" s="4" t="inlineStr">
        <is>
          <t>6.14 Notendschalter (Endbegrenzung hinter den Endhaltestellen) nicht in [„Nicht vorhanden oder unwirksam (überbrückt, verstellt)"]</t>
        </is>
      </c>
      <c r="I157" s="4" t="inlineStr">
        <is>
          <t>MF-M21</t>
        </is>
      </c>
    </row>
    <row r="158">
      <c r="A158" s="2" t="inlineStr">
        <is>
          <t>qm_anschlagpunkte</t>
        </is>
      </c>
      <c r="B158" s="2" t="inlineStr">
        <is>
          <t>5.52</t>
        </is>
      </c>
      <c r="C158" s="2" t="inlineStr">
        <is>
          <t>M – Triebwerks-/Maschinenraum und Steuerung</t>
        </is>
      </c>
      <c r="D158" s="2" t="inlineStr">
        <is>
          <t>Anschlagpunkte / Hebezeuge zum Anheben schwerer Teile vorhanden?</t>
        </is>
      </c>
      <c r="E158" s="2" t="inlineStr">
        <is>
          <t>YES_NO</t>
        </is>
      </c>
      <c r="F158" s="2" t="inlineStr"/>
      <c r="G158" s="2" t="inlineStr"/>
      <c r="H158" s="2" t="inlineStr">
        <is>
          <t>4.7 Eigener Triebwerks-/Maschinenraum vorhanden? = Ja</t>
        </is>
      </c>
      <c r="I158" s="2" t="inlineStr">
        <is>
          <t>MF-M14</t>
        </is>
      </c>
    </row>
    <row r="159">
      <c r="A159" s="4" t="inlineStr">
        <is>
          <t>qm_tragfaehigkeit</t>
        </is>
      </c>
      <c r="B159" s="4" t="inlineStr">
        <is>
          <t>5.52a</t>
        </is>
      </c>
      <c r="C159" s="4" t="inlineStr">
        <is>
          <t>M – Triebwerks-/Maschinenraum und Steuerung</t>
        </is>
      </c>
      <c r="D159" s="4" t="inlineStr">
        <is>
          <t>Tragfähigkeit der Anschlagpunkte angegeben?</t>
        </is>
      </c>
      <c r="E159" s="4" t="inlineStr">
        <is>
          <t>YES_NO</t>
        </is>
      </c>
      <c r="F159" s="4" t="inlineStr"/>
      <c r="G159" s="4" t="inlineStr"/>
      <c r="H159" s="4" t="inlineStr">
        <is>
          <t>5.52 Anschlagpunkte / Hebezeuge zum Anheben schwerer Teile vorhanden? = Ja</t>
        </is>
      </c>
      <c r="I159" s="4" t="inlineStr">
        <is>
          <t>MF-M14</t>
        </is>
      </c>
    </row>
    <row r="160">
      <c r="A160" s="2" t="inlineStr">
        <is>
          <t>qm_anschlag_geprueft</t>
        </is>
      </c>
      <c r="B160" s="2" t="inlineStr">
        <is>
          <t>5.52b</t>
        </is>
      </c>
      <c r="C160" s="2" t="inlineStr">
        <is>
          <t>M – Triebwerks-/Maschinenraum und Steuerung</t>
        </is>
      </c>
      <c r="D160" s="2" t="inlineStr">
        <is>
          <t>Prüfung der Anschlagpunkte dokumentiert?</t>
        </is>
      </c>
      <c r="E160" s="2" t="inlineStr">
        <is>
          <t>YES_NO</t>
        </is>
      </c>
      <c r="F160" s="2" t="inlineStr"/>
      <c r="G160" s="2" t="inlineStr"/>
      <c r="H160" s="2" t="inlineStr">
        <is>
          <t>5.52 Anschlagpunkte / Hebezeuge zum Anheben schwerer Teile vorhanden? = Ja</t>
        </is>
      </c>
      <c r="I160" s="2" t="inlineStr">
        <is>
          <t>MF-M14</t>
        </is>
      </c>
    </row>
    <row r="161">
      <c r="A161" s="4" t="inlineStr">
        <is>
          <t>qm_notbetrieb</t>
        </is>
      </c>
      <c r="B161" s="4" t="inlineStr">
        <is>
          <t>5.53</t>
        </is>
      </c>
      <c r="C161" s="4" t="inlineStr">
        <is>
          <t>M – Triebwerks-/Maschinenraum und Steuerung</t>
        </is>
      </c>
      <c r="D161" s="4" t="inlineStr">
        <is>
          <t>Einrichtung für Notbetrieb / Personenbefreiung vorhanden (Handrad, Bremslüfthebel, Evakuierungseinheit, Notablass)?</t>
        </is>
      </c>
      <c r="E161" s="4" t="inlineStr">
        <is>
          <t>YES_NO</t>
        </is>
      </c>
      <c r="F161" s="4" t="inlineStr"/>
      <c r="G161" s="4" t="inlineStr">
        <is>
          <t>Prüfen: Einrichtung vorhanden, vollständig und für die beauftragte Person bedienbar; Notbefreiungsanleitung an der Einrichtung.</t>
        </is>
      </c>
      <c r="H161" s="4" t="inlineStr"/>
      <c r="I161" s="4" t="inlineStr">
        <is>
          <t>MF-M15</t>
        </is>
      </c>
    </row>
    <row r="162">
      <c r="A162" s="2" t="inlineStr">
        <is>
          <t>qm_notbetrieb_gekennz</t>
        </is>
      </c>
      <c r="B162" s="2" t="inlineStr">
        <is>
          <t>5.53a</t>
        </is>
      </c>
      <c r="C162" s="2" t="inlineStr">
        <is>
          <t>M – Triebwerks-/Maschinenraum und Steuerung</t>
        </is>
      </c>
      <c r="D162" s="2" t="inlineStr">
        <is>
          <t>Notbetriebseinrichtung gekennzeichnet (Fahrtrichtung, Bündigmarken)?</t>
        </is>
      </c>
      <c r="E162" s="2" t="inlineStr">
        <is>
          <t>YES_NO</t>
        </is>
      </c>
      <c r="F162" s="2" t="inlineStr"/>
      <c r="G162" s="2" t="inlineStr"/>
      <c r="H162" s="2" t="inlineStr">
        <is>
          <t>5.53 Einrichtung für Notbetrieb / Personenbefreiung vorhanden (Handrad, Bremslüfthebel, Evakuierungseinheit, Notablass)? = Ja</t>
        </is>
      </c>
      <c r="I162" s="2" t="inlineStr">
        <is>
          <t>MF-M15</t>
        </is>
      </c>
    </row>
    <row r="163">
      <c r="A163" s="4" t="inlineStr">
        <is>
          <t>qm_kennz_elektrisch</t>
        </is>
      </c>
      <c r="B163" s="4" t="inlineStr">
        <is>
          <t>5.54</t>
        </is>
      </c>
      <c r="C163" s="4" t="inlineStr">
        <is>
          <t>M – Triebwerks-/Maschinenraum und Steuerung</t>
        </is>
      </c>
      <c r="D163" s="4" t="inlineStr">
        <is>
          <t>Elektrische Einrichtungen gekennzeichnet (Zuordnung im Notfall möglich)?</t>
        </is>
      </c>
      <c r="E163" s="4" t="inlineStr">
        <is>
          <t>YES_NO</t>
        </is>
      </c>
      <c r="F163" s="4" t="inlineStr"/>
      <c r="G163" s="4" t="inlineStr"/>
      <c r="H163" s="4" t="inlineStr"/>
      <c r="I163" s="4" t="inlineStr">
        <is>
          <t>MF-M17</t>
        </is>
      </c>
    </row>
    <row r="164">
      <c r="A164" s="2" t="inlineStr">
        <is>
          <t>qm_beschilderung</t>
        </is>
      </c>
      <c r="B164" s="2" t="inlineStr">
        <is>
          <t>5.56</t>
        </is>
      </c>
      <c r="C164" s="2" t="inlineStr">
        <is>
          <t>M – Triebwerks-/Maschinenraum und Steuerung</t>
        </is>
      </c>
      <c r="D164" s="2" t="inlineStr">
        <is>
          <t>Beschilderung vollständig (Schutzraum, Notablass, Entriegelungsschlüssel, Verhalten bei Personenbefreiung)?</t>
        </is>
      </c>
      <c r="E164" s="2" t="inlineStr">
        <is>
          <t>YES_NO</t>
        </is>
      </c>
      <c r="F164" s="2" t="inlineStr"/>
      <c r="G164" s="2" t="inlineStr"/>
      <c r="H164" s="2" t="inlineStr"/>
      <c r="I164" s="2" t="inlineStr">
        <is>
          <t>MF-M17</t>
        </is>
      </c>
    </row>
    <row r="165">
      <c r="A165" s="4" t="inlineStr">
        <is>
          <t>qm_sprechverbindung</t>
        </is>
      </c>
      <c r="B165" s="4" t="inlineStr">
        <is>
          <t>5.58</t>
        </is>
      </c>
      <c r="C165" s="4" t="inlineStr">
        <is>
          <t>M – Triebwerks-/Maschinenraum und Steuerung</t>
        </is>
      </c>
      <c r="D165" s="4" t="inlineStr">
        <is>
          <t>Sprechverbindung zwischen Fahrkorb und Triebwerksraum/Steuerung</t>
        </is>
      </c>
      <c r="E165" s="4" t="inlineStr">
        <is>
          <t>SELECT</t>
        </is>
      </c>
      <c r="F165" s="4" t="inlineStr">
        <is>
          <t>Vorhanden und funktionsfähig
Vorhanden, Verständigung nur eingeschränkt
Keine Sprechverbindung
Verständigung ohne Hilfsmittel möglich (kurze Wege)</t>
        </is>
      </c>
      <c r="G165" s="4" t="inlineStr"/>
      <c r="H165" s="4" t="inlineStr">
        <is>
          <t>4.7 Eigener Triebwerks-/Maschinenraum vorhanden? = Ja</t>
        </is>
      </c>
      <c r="I165" s="4" t="inlineStr">
        <is>
          <t>MF-M18</t>
        </is>
      </c>
    </row>
    <row r="166">
      <c r="A166" s="2" t="inlineStr">
        <is>
          <t>qm_rollenraum_nothalt</t>
        </is>
      </c>
      <c r="B166" s="2" t="inlineStr">
        <is>
          <t>5.24</t>
        </is>
      </c>
      <c r="C166" s="2" t="inlineStr">
        <is>
          <t>M – Triebwerks-/Maschinenraum und Steuerung</t>
        </is>
      </c>
      <c r="D166" s="2" t="inlineStr">
        <is>
          <t>Notbremsschalter im zusätzlichen Rollenraum vorhanden?</t>
        </is>
      </c>
      <c r="E166" s="2" t="inlineStr">
        <is>
          <t>YES_NO</t>
        </is>
      </c>
      <c r="F166" s="2" t="inlineStr"/>
      <c r="G166" s="2" t="inlineStr"/>
      <c r="H166" s="2" t="inlineStr">
        <is>
          <t>4.7a Zusätzlicher Rollenraum vorhanden? = Ja</t>
        </is>
      </c>
      <c r="I166" s="2" t="inlineStr">
        <is>
          <t>MF-M20</t>
        </is>
      </c>
    </row>
    <row r="167">
      <c r="A167" s="4" t="inlineStr">
        <is>
          <t>qm_fremd_frei</t>
        </is>
      </c>
      <c r="B167" s="4" t="inlineStr">
        <is>
          <t>5.59</t>
        </is>
      </c>
      <c r="C167" s="4" t="inlineStr">
        <is>
          <t>M – Triebwerks-/Maschinenraum und Steuerung</t>
        </is>
      </c>
      <c r="D167" s="4" t="inlineStr">
        <is>
          <t>Triebwerksraum frei von aufzugsfremden Einrichtungen (Lager, Leitungen, Geräte Dritter)?</t>
        </is>
      </c>
      <c r="E167" s="4" t="inlineStr">
        <is>
          <t>YES_NO</t>
        </is>
      </c>
      <c r="F167" s="4" t="inlineStr"/>
      <c r="G167" s="4" t="inlineStr"/>
      <c r="H167" s="4" t="inlineStr">
        <is>
          <t>4.7 Eigener Triebwerks-/Maschinenraum vorhanden? = Ja</t>
        </is>
      </c>
      <c r="I167" s="4" t="inlineStr">
        <is>
          <t>MF-M19</t>
        </is>
      </c>
    </row>
    <row r="168">
      <c r="A168" s="2" t="inlineStr">
        <is>
          <t>qm_asbest</t>
        </is>
      </c>
      <c r="B168" s="2" t="inlineStr">
        <is>
          <t>5.61</t>
        </is>
      </c>
      <c r="C168" s="2" t="inlineStr">
        <is>
          <t>M – Triebwerks-/Maschinenraum und Steuerung</t>
        </is>
      </c>
      <c r="D168" s="2" t="inlineStr">
        <is>
          <t>Asbesthaltige oder andere schädliche Baustoffe im Triebwerks-/Maschinenraum (Bremsbeläge, Dichtungen, Brandschutzplatten, Isolierungen)?</t>
        </is>
      </c>
      <c r="E168" s="2" t="inlineStr">
        <is>
          <t>YES_NO</t>
        </is>
      </c>
      <c r="F168" s="2" t="inlineStr"/>
      <c r="G168" s="2" t="inlineStr"/>
      <c r="H168" s="2" t="inlineStr">
        <is>
          <t>4.7 Eigener Triebwerks-/Maschinenraum vorhanden? = Ja</t>
        </is>
      </c>
      <c r="I168" s="2" t="inlineStr">
        <is>
          <t>MF-U01</t>
        </is>
      </c>
    </row>
    <row r="169">
      <c r="A169" s="4" t="inlineStr">
        <is>
          <t>qm_verschmutzung</t>
        </is>
      </c>
      <c r="B169" s="4" t="inlineStr">
        <is>
          <t>5.63</t>
        </is>
      </c>
      <c r="C169" s="4" t="inlineStr">
        <is>
          <t>M – Triebwerks-/Maschinenraum und Steuerung</t>
        </is>
      </c>
      <c r="D169" s="4" t="inlineStr">
        <is>
          <t>Erhebliche Verschmutzungen (Taubenkot, Unrat, Schimmel, Ablagerungen) im Triebwerks-/Maschinenraum?</t>
        </is>
      </c>
      <c r="E169" s="4" t="inlineStr">
        <is>
          <t>YES_NO</t>
        </is>
      </c>
      <c r="F169" s="4" t="inlineStr"/>
      <c r="G169" s="4" t="inlineStr"/>
      <c r="H169" s="4" t="inlineStr">
        <is>
          <t>4.7 Eigener Triebwerks-/Maschinenraum vorhanden? = Ja</t>
        </is>
      </c>
      <c r="I169" s="4" t="inlineStr">
        <is>
          <t>MF-U02</t>
        </is>
      </c>
    </row>
    <row r="170">
      <c r="A170" s="2" t="inlineStr">
        <is>
          <t>qm_brennbar_lager</t>
        </is>
      </c>
      <c r="B170" s="2" t="inlineStr">
        <is>
          <t>5.65</t>
        </is>
      </c>
      <c r="C170" s="2" t="inlineStr">
        <is>
          <t>M – Triebwerks-/Maschinenraum und Steuerung</t>
        </is>
      </c>
      <c r="D170" s="2" t="inlineStr">
        <is>
          <t>Lagerung brennbarer oder leicht entzündlicher Stoffe im Triebwerks-/Maschinenraum?</t>
        </is>
      </c>
      <c r="E170" s="2" t="inlineStr">
        <is>
          <t>YES_NO</t>
        </is>
      </c>
      <c r="F170" s="2" t="inlineStr"/>
      <c r="G170" s="2" t="inlineStr"/>
      <c r="H170" s="2" t="inlineStr">
        <is>
          <t>4.7 Eigener Triebwerks-/Maschinenraum vorhanden? = Ja</t>
        </is>
      </c>
      <c r="I170" s="2" t="inlineStr">
        <is>
          <t>MF-U03</t>
        </is>
      </c>
    </row>
    <row r="171">
      <c r="A171" s="4" t="inlineStr">
        <is>
          <t>qm_asbest_zustand</t>
        </is>
      </c>
      <c r="B171" s="4" t="inlineStr">
        <is>
          <t>5.61a</t>
        </is>
      </c>
      <c r="C171" s="4" t="inlineStr">
        <is>
          <t>M – Triebwerks-/Maschinenraum und Steuerung</t>
        </is>
      </c>
      <c r="D171" s="4" t="inlineStr">
        <is>
          <t>Zustand des Fundes im Triebwerks-/Maschinenraum</t>
        </is>
      </c>
      <c r="E171" s="4" t="inlineStr">
        <is>
          <t>SELECT</t>
        </is>
      </c>
      <c r="F171" s="4" t="inlineStr">
        <is>
          <t>Fest gebunden und unbeschädigt (z. B. Asbestzementplatte, Dichtung, Brandschutzplatte ohne Bruchstellen)
Schwach gebunden, beschädigt oder abriebbelastet (Bruchstellen, Abrieb, Staubablagerungen)
Zustand nicht beurteilbar
Asbesthaltige Bremsbeläge oder Bremsstaubablagerungen an Maschine oder Bremse</t>
        </is>
      </c>
      <c r="G171" s="4" t="inlineStr">
        <is>
          <t>Bewertet wird der Zustand, nicht die Menge. Fest gebunden und unbeschädigt heißt: keine Bruch-, Bohr- oder Schleifstellen, keine Abplatzungen, keine Staubablagerungen mit Abriebanteil. Im Zweifel „Zustand nicht beurteilbar" wählen – das ergibt dieselbe Einstufung wie ein beschädigter Fund. Die Zuordnung ersetzt keine Probenahme. Für den Triebwerksraum gibt es eine vierte Option: Asbesthaltige Bremsbeläge und Bremsstaub werden im bestimmungsgemäßen Betrieb bei jedem Halt abgerieben – die Freisetzung erfolgt ohne weiteres Zutun. Dieser Fall bleibt Hoch, unabhängig vom Zustand des übrigen Materials.</t>
        </is>
      </c>
      <c r="H171" s="4" t="inlineStr">
        <is>
          <t>5.61 Asbesthaltige oder andere schädliche Baustoffe im Triebwerks-/Maschinenraum (Bremsbeläge, Dichtungen, Brandschutzplatten, Isolierungen)? = Ja</t>
        </is>
      </c>
      <c r="I171" s="4" t="inlineStr">
        <is>
          <t>MF-U01</t>
        </is>
      </c>
    </row>
    <row r="172">
      <c r="A172" s="2" t="inlineStr">
        <is>
          <t>qf_spalt_mm</t>
        </is>
      </c>
      <c r="B172" s="2" t="inlineStr">
        <is>
          <t>9.1</t>
        </is>
      </c>
      <c r="C172" s="2" t="inlineStr">
        <is>
          <t>F – Fahrkorbdach und Schachtkopf</t>
        </is>
      </c>
      <c r="D172" s="2" t="inlineStr">
        <is>
          <t>Größter horizontaler Abstand Fahrkorbdachkante – Schachtwand</t>
        </is>
      </c>
      <c r="E172" s="2" t="inlineStr">
        <is>
          <t>SELECT</t>
        </is>
      </c>
      <c r="F172" s="2" t="inlineStr">
        <is>
          <t>≤ 300 mm
301–500 mm
501–850 mm
über 850 mm</t>
        </is>
      </c>
      <c r="G172" s="2" t="inlineStr">
        <is>
          <t>Regelgrenzen 300, 500 und 850 mm: Geländer ab 0,30 m (DIN EN 81-20 5.4.7.2 b)); Höhe 0,70 m bis 0,50 m Abstand, 1,10 m darüber (5.4.7.4 b)); nach EN 81-1 8.13.3.2 lag die Grenze bei 0,85 m. Messwert optional im Feld daneben.</t>
        </is>
      </c>
      <c r="H172" s="2" t="inlineStr"/>
      <c r="I172" s="2" t="inlineStr">
        <is>
          <t>MF-F01</t>
        </is>
      </c>
    </row>
    <row r="173">
      <c r="A173" s="4" t="inlineStr">
        <is>
          <t>qf_spalt_mm_wert</t>
        </is>
      </c>
      <c r="B173" s="4" t="inlineStr">
        <is>
          <t>9.1m</t>
        </is>
      </c>
      <c r="C173" s="4" t="inlineStr">
        <is>
          <t>F – Fahrkorbdach und Schachtkopf</t>
        </is>
      </c>
      <c r="D173" s="4" t="inlineStr">
        <is>
          <t>Abstand gemessen [mm]</t>
        </is>
      </c>
      <c r="E173" s="4" t="inlineStr">
        <is>
          <t>NUMBER</t>
        </is>
      </c>
      <c r="F173" s="4" t="inlineStr"/>
      <c r="G173" s="4" t="inlineStr">
        <is>
          <t>Dokumentation des Messwerts; die Bewertung nimmt die Bereichsauswahl.</t>
        </is>
      </c>
      <c r="H173" s="4" t="inlineStr"/>
      <c r="I173" s="4" t="inlineStr">
        <is>
          <t>MF-F01</t>
        </is>
      </c>
    </row>
    <row r="174">
      <c r="A174" s="2" t="inlineStr">
        <is>
          <t>qf_gelaender</t>
        </is>
      </c>
      <c r="B174" s="2" t="inlineStr">
        <is>
          <t>9.2</t>
        </is>
      </c>
      <c r="C174" s="2" t="inlineStr">
        <is>
          <t>F – Fahrkorbdach und Schachtkopf</t>
        </is>
      </c>
      <c r="D174" s="2" t="inlineStr">
        <is>
          <t>Geländer auf dem Fahrkorbdach vorhanden?</t>
        </is>
      </c>
      <c r="E174" s="2" t="inlineStr">
        <is>
          <t>YES_NO</t>
        </is>
      </c>
      <c r="F174" s="2" t="inlineStr"/>
      <c r="G174" s="2" t="inlineStr">
        <is>
          <t>Erforderlich, wenn der freie Abstand zwischen Außenkante Fahrkorbdach und Schachtwand mehr als 0,30 m beträgt (TRBS 3121 Anh. 1 Nr. 15).</t>
        </is>
      </c>
      <c r="H174" s="2" t="inlineStr">
        <is>
          <t>9.1 Größter horizontaler Abstand Fahrkorbdachkante – Schachtwand in [„301–500 mm", „501–850 mm", „über 850 mm"]</t>
        </is>
      </c>
      <c r="I174" s="2" t="inlineStr">
        <is>
          <t>MF-F01</t>
        </is>
      </c>
    </row>
    <row r="175">
      <c r="A175" s="4" t="inlineStr">
        <is>
          <t>qf_gelaender_hoehe_mm</t>
        </is>
      </c>
      <c r="B175" s="4" t="inlineStr">
        <is>
          <t>9.3</t>
        </is>
      </c>
      <c r="C175" s="4" t="inlineStr">
        <is>
          <t>F – Fahrkorbdach und Schachtkopf</t>
        </is>
      </c>
      <c r="D175" s="4" t="inlineStr">
        <is>
          <t>Geländerhöhe auf dem Fahrkorbdach</t>
        </is>
      </c>
      <c r="E175" s="4" t="inlineStr">
        <is>
          <t>SELECT</t>
        </is>
      </c>
      <c r="F175" s="4" t="inlineStr">
        <is>
          <t>≥ 1 100 mm
700–1 099 mm
unter 700 mm</t>
        </is>
      </c>
      <c r="G175" s="4" t="inlineStr">
        <is>
          <t>Regelgrenzen 700 mm und 1 100 mm (DIN EN 81-20 5.4.7.4 b); EN 81-1 8.13.3.2).</t>
        </is>
      </c>
      <c r="H175" s="4" t="inlineStr">
        <is>
          <t>9.2 Geländer auf dem Fahrkorbdach vorhanden? = Ja</t>
        </is>
      </c>
      <c r="I175" s="4" t="inlineStr">
        <is>
          <t>MF-F01</t>
        </is>
      </c>
    </row>
    <row r="176">
      <c r="A176" s="2" t="inlineStr">
        <is>
          <t>qf_fussleiste</t>
        </is>
      </c>
      <c r="B176" s="2" t="inlineStr">
        <is>
          <t>9.4</t>
        </is>
      </c>
      <c r="C176" s="2" t="inlineStr">
        <is>
          <t>F – Fahrkorbdach und Schachtkopf</t>
        </is>
      </c>
      <c r="D176" s="2" t="inlineStr">
        <is>
          <t>Fußleiste (mind. 100 mm) am Rand des Fahrkorbdachs vorhanden?</t>
        </is>
      </c>
      <c r="E176" s="2" t="inlineStr">
        <is>
          <t>YES_NO</t>
        </is>
      </c>
      <c r="F176" s="2" t="inlineStr"/>
      <c r="G176" s="2" t="inlineStr"/>
      <c r="H176" s="2" t="inlineStr"/>
      <c r="I176" s="2" t="inlineStr">
        <is>
          <t>MF-F01</t>
        </is>
      </c>
    </row>
    <row r="177">
      <c r="A177" s="4" t="inlineStr">
        <is>
          <t>qf_einzugstellen</t>
        </is>
      </c>
      <c r="B177" s="4" t="inlineStr">
        <is>
          <t>9.5</t>
        </is>
      </c>
      <c r="C177" s="4" t="inlineStr">
        <is>
          <t>F – Fahrkorbdach und Schachtkopf</t>
        </is>
      </c>
      <c r="D177" s="4" t="inlineStr">
        <is>
          <t>Einzugstellen im Schachtkopf / auf dem Fahrkorbdach vorhanden (Umlenkrollen, Heberrolle, Seilrollen)?</t>
        </is>
      </c>
      <c r="E177" s="4" t="inlineStr">
        <is>
          <t>YES_NO</t>
        </is>
      </c>
      <c r="F177" s="4" t="inlineStr"/>
      <c r="G177" s="4" t="inlineStr"/>
      <c r="H177" s="4" t="inlineStr"/>
      <c r="I177" s="4" t="inlineStr">
        <is>
          <t>MF-F02</t>
        </is>
      </c>
    </row>
    <row r="178">
      <c r="A178" s="2" t="inlineStr">
        <is>
          <t>qf_einzug_abdeckung</t>
        </is>
      </c>
      <c r="B178" s="2" t="inlineStr">
        <is>
          <t>9.5a</t>
        </is>
      </c>
      <c r="C178" s="2" t="inlineStr">
        <is>
          <t>F – Fahrkorbdach und Schachtkopf</t>
        </is>
      </c>
      <c r="D178" s="2" t="inlineStr">
        <is>
          <t>Abdeckung der Einzugstellen</t>
        </is>
      </c>
      <c r="E178" s="2" t="inlineStr">
        <is>
          <t>SELECT</t>
        </is>
      </c>
      <c r="F178" s="2" t="inlineStr">
        <is>
          <t>Komplett abgedeckt
Teilweise abgedeckt
Einzugstellen offen</t>
        </is>
      </c>
      <c r="G178" s="2" t="inlineStr"/>
      <c r="H178" s="2" t="inlineStr">
        <is>
          <t>9.5 Einzugstellen im Schachtkopf / auf dem Fahrkorbdach vorhanden (Umlenkrollen, Heberrolle, Seilrollen)? = Ja</t>
        </is>
      </c>
      <c r="I178" s="2" t="inlineStr">
        <is>
          <t>MF-F02</t>
        </is>
      </c>
    </row>
    <row r="179">
      <c r="A179" s="4" t="inlineStr">
        <is>
          <t>qf_nachbar_trennung</t>
        </is>
      </c>
      <c r="B179" s="4" t="inlineStr">
        <is>
          <t>9.6</t>
        </is>
      </c>
      <c r="C179" s="4" t="inlineStr">
        <is>
          <t>F – Fahrkorbdach und Schachtkopf</t>
        </is>
      </c>
      <c r="D179" s="4" t="inlineStr">
        <is>
          <t>Abtrennung zum Nachbaraufzug / Nachbar-Gegengewicht im Bereich des Fahrkorbdachs</t>
        </is>
      </c>
      <c r="E179" s="4" t="inlineStr">
        <is>
          <t>SELECT</t>
        </is>
      </c>
      <c r="F179" s="4" t="inlineStr">
        <is>
          <t>Gefahrstellen komplett abgedeckt
Engmaschiges Trenngitter
Ausreichende Abstände (kein Erreichen möglich)
Teilweise Abdeckungen
Grobmaschiges Trenngitter oder Spanndrähte
Keine Abdeckung / kein Trenngitter</t>
        </is>
      </c>
      <c r="G179" s="4" t="inlineStr"/>
      <c r="H179" s="4" t="inlineStr">
        <is>
          <t>4.8 Mehrere Aufzüge in einem gemeinsamen Schacht? = Ja</t>
        </is>
      </c>
      <c r="I179" s="4" t="inlineStr">
        <is>
          <t>MF-F03</t>
        </is>
      </c>
    </row>
    <row r="180">
      <c r="A180" s="2" t="inlineStr">
        <is>
          <t>qf_nachbar_abschaltung</t>
        </is>
      </c>
      <c r="B180" s="2" t="inlineStr">
        <is>
          <t>9.6a</t>
        </is>
      </c>
      <c r="C180" s="2" t="inlineStr">
        <is>
          <t>F – Fahrkorbdach und Schachtkopf</t>
        </is>
      </c>
      <c r="D180" s="2" t="inlineStr">
        <is>
          <t>Einrichtung zum automatischen Abschalten des Nachbaraufzugs bei Arbeiten im Fahrschacht vorhanden?</t>
        </is>
      </c>
      <c r="E180" s="2" t="inlineStr">
        <is>
          <t>YES_NO</t>
        </is>
      </c>
      <c r="F180" s="2" t="inlineStr"/>
      <c r="G180" s="2" t="inlineStr"/>
      <c r="H180" s="2" t="inlineStr">
        <is>
          <t>9.6 Abtrennung zum Nachbaraufzug / Nachbar-Gegengewicht im Bereich des Fahrkorbdachs in [„Keine Abdeckung / kein Trenngitter", „Teilweise Abdeckungen", „Grobmaschiges Trenngitter oder Spanndrähte"]</t>
        </is>
      </c>
      <c r="I180" s="2" t="inlineStr">
        <is>
          <t>MF-F03</t>
        </is>
      </c>
    </row>
    <row r="181">
      <c r="A181" s="4" t="inlineStr">
        <is>
          <t>qf_nachbar_abschaltung_geprueft</t>
        </is>
      </c>
      <c r="B181" s="4" t="inlineStr">
        <is>
          <t>9.6b</t>
        </is>
      </c>
      <c r="C181" s="4" t="inlineStr">
        <is>
          <t>F – Fahrkorbdach und Schachtkopf</t>
        </is>
      </c>
      <c r="D181" s="4" t="inlineStr">
        <is>
          <t>Automatische Abschaltung in der Funktion geprüft, alle Nachbaranlagen erfasst und Wirkung bei Inspektionsbetrieb bestätigt?</t>
        </is>
      </c>
      <c r="E181" s="4" t="inlineStr">
        <is>
          <t>YES_NO</t>
        </is>
      </c>
      <c r="F181" s="4" t="inlineStr"/>
      <c r="G181" s="4" t="inlineStr"/>
      <c r="H181" s="4" t="inlineStr">
        <is>
          <t>9.6a Einrichtung zum automatischen Abschalten des Nachbaraufzugs bei Arbeiten im Fahrschacht vorhanden? = Ja</t>
        </is>
      </c>
      <c r="I181" s="4" t="inlineStr">
        <is>
          <t>MF-F03</t>
        </is>
      </c>
    </row>
    <row r="182">
      <c r="A182" s="2" t="inlineStr">
        <is>
          <t>qf_schutzraum</t>
        </is>
      </c>
      <c r="B182" s="2" t="inlineStr">
        <is>
          <t>9.7</t>
        </is>
      </c>
      <c r="C182" s="2" t="inlineStr">
        <is>
          <t>F – Fahrkorbdach und Schachtkopf</t>
        </is>
      </c>
      <c r="D182" s="2" t="inlineStr">
        <is>
          <t>Schutzraum im Schachtkopf</t>
        </is>
      </c>
      <c r="E182" s="2" t="inlineStr">
        <is>
          <t>SELECT</t>
        </is>
      </c>
      <c r="F182" s="2" t="inlineStr">
        <is>
          <t>Schutzraum nach EN 81-20 vorhanden (Abmessungen eingehalten)
Schutzraum nach TRA 200 / EN 81-1/-2 (kleiner als EN 81-20)
Reduzierter Schachtkopf mit wirksamer Zusatzeinrichtung und Betriebsanweisung
Schutzraum nicht gegeben (z. B. nachträgliche Einbauten)</t>
        </is>
      </c>
      <c r="G182" s="2" t="inlineStr">
        <is>
          <t>Mit dem Fahrkorb auf dem voll zusammengedrückten Puffer (bzw. Berechnung aus den Unterlagen) den freien Raum über dem Fahrkorbdach bestimmen. Nachträgliche Einbauten im Schachtkopf mitprüfen.</t>
        </is>
      </c>
      <c r="H182" s="2" t="inlineStr"/>
      <c r="I182" s="2" t="inlineStr">
        <is>
          <t>MF-F04</t>
        </is>
      </c>
    </row>
    <row r="183">
      <c r="A183" s="4" t="inlineStr">
        <is>
          <t>qf_kopffreiheit_gekennz</t>
        </is>
      </c>
      <c r="B183" s="4" t="inlineStr">
        <is>
          <t>9.7a</t>
        </is>
      </c>
      <c r="C183" s="4" t="inlineStr">
        <is>
          <t>F – Fahrkorbdach und Schachtkopf</t>
        </is>
      </c>
      <c r="D183" s="4" t="inlineStr">
        <is>
          <t>Warnkennzeichnung zur reduzierten Kopffreiheit vorhanden?</t>
        </is>
      </c>
      <c r="E183" s="4" t="inlineStr">
        <is>
          <t>YES_NO</t>
        </is>
      </c>
      <c r="F183" s="4" t="inlineStr"/>
      <c r="G183" s="4" t="inlineStr"/>
      <c r="H183" s="4" t="inlineStr">
        <is>
          <t>9.7 Schutzraum im Schachtkopf = „Reduzierter Schachtkopf mit wirksamer Zusatzeinrichtung und Betriebsanweisung"</t>
        </is>
      </c>
      <c r="I183" s="4" t="inlineStr">
        <is>
          <t>MF-F04</t>
        </is>
      </c>
    </row>
    <row r="184">
      <c r="A184" s="2" t="inlineStr">
        <is>
          <t>qf_inspektion</t>
        </is>
      </c>
      <c r="B184" s="2" t="inlineStr">
        <is>
          <t>9.8</t>
        </is>
      </c>
      <c r="C184" s="2" t="inlineStr">
        <is>
          <t>F – Fahrkorbdach und Schachtkopf</t>
        </is>
      </c>
      <c r="D184" s="2" t="inlineStr">
        <is>
          <t>Inspektionssteuerung auf dem Fahrkorbdach vorhanden?</t>
        </is>
      </c>
      <c r="E184" s="2" t="inlineStr">
        <is>
          <t>YES_NO</t>
        </is>
      </c>
      <c r="F184" s="2" t="inlineStr"/>
      <c r="G184" s="2" t="inlineStr">
        <is>
          <t>Prüfen: Inspektionsschalter umschalten – Normalbetrieb muss gesperrt sein, Fahrt nur mit Richtungstaste und Freigabe.</t>
        </is>
      </c>
      <c r="H184" s="2" t="inlineStr"/>
      <c r="I184" s="2" t="inlineStr">
        <is>
          <t>MF-F05</t>
        </is>
      </c>
    </row>
    <row r="185">
      <c r="A185" s="4" t="inlineStr">
        <is>
          <t>qf_inspektion_schutz</t>
        </is>
      </c>
      <c r="B185" s="4" t="inlineStr">
        <is>
          <t>9.8a</t>
        </is>
      </c>
      <c r="C185" s="4" t="inlineStr">
        <is>
          <t>F – Fahrkorbdach und Schachtkopf</t>
        </is>
      </c>
      <c r="D185" s="4" t="inlineStr">
        <is>
          <t>Inspektionssteuerung gegen unbeabsichtigtes Betätigen geschützt?</t>
        </is>
      </c>
      <c r="E185" s="4" t="inlineStr">
        <is>
          <t>YES_NO</t>
        </is>
      </c>
      <c r="F185" s="4" t="inlineStr"/>
      <c r="G185" s="4" t="inlineStr"/>
      <c r="H185" s="4" t="inlineStr">
        <is>
          <t>9.8 Inspektionssteuerung auf dem Fahrkorbdach vorhanden? = Ja</t>
        </is>
      </c>
      <c r="I185" s="4" t="inlineStr">
        <is>
          <t>MF-F05</t>
        </is>
      </c>
    </row>
    <row r="186">
      <c r="A186" s="2" t="inlineStr">
        <is>
          <t>qf_inspektion_erreichbar</t>
        </is>
      </c>
      <c r="B186" s="2" t="inlineStr">
        <is>
          <t>9.8b</t>
        </is>
      </c>
      <c r="C186" s="2" t="inlineStr">
        <is>
          <t>F – Fahrkorbdach und Schachtkopf</t>
        </is>
      </c>
      <c r="D186" s="2" t="inlineStr">
        <is>
          <t>Inspektionssteuerung vom Zugang aus gut erreichbar?</t>
        </is>
      </c>
      <c r="E186" s="2" t="inlineStr">
        <is>
          <t>YES_NO</t>
        </is>
      </c>
      <c r="F186" s="2" t="inlineStr"/>
      <c r="G186" s="2" t="inlineStr"/>
      <c r="H186" s="2" t="inlineStr">
        <is>
          <t>9.8 Inspektionssteuerung auf dem Fahrkorbdach vorhanden? = Ja</t>
        </is>
      </c>
      <c r="I186" s="2" t="inlineStr">
        <is>
          <t>MF-F05</t>
        </is>
      </c>
    </row>
    <row r="187">
      <c r="A187" s="4" t="inlineStr">
        <is>
          <t>qf_inspektion_geschw</t>
        </is>
      </c>
      <c r="B187" s="4" t="inlineStr">
        <is>
          <t>9.8c</t>
        </is>
      </c>
      <c r="C187" s="4" t="inlineStr">
        <is>
          <t>F – Fahrkorbdach und Schachtkopf</t>
        </is>
      </c>
      <c r="D187" s="4" t="inlineStr">
        <is>
          <t>Inspektionsgeschwindigkeit max. 0,63 m/s?</t>
        </is>
      </c>
      <c r="E187" s="4" t="inlineStr">
        <is>
          <t>YES_NO</t>
        </is>
      </c>
      <c r="F187" s="4" t="inlineStr"/>
      <c r="G187" s="4" t="inlineStr"/>
      <c r="H187" s="4" t="inlineStr">
        <is>
          <t>9.8 Inspektionssteuerung auf dem Fahrkorbdach vorhanden? = Ja</t>
        </is>
      </c>
      <c r="I187" s="4" t="inlineStr">
        <is>
          <t>MF-F05</t>
        </is>
      </c>
    </row>
    <row r="188">
      <c r="A188" s="2" t="inlineStr">
        <is>
          <t>qf_nothalt</t>
        </is>
      </c>
      <c r="B188" s="2" t="inlineStr">
        <is>
          <t>9.9</t>
        </is>
      </c>
      <c r="C188" s="2" t="inlineStr">
        <is>
          <t>F – Fahrkorbdach und Schachtkopf</t>
        </is>
      </c>
      <c r="D188" s="2" t="inlineStr">
        <is>
          <t>Notbremsschalter (Not-Halt) auf dem Fahrkorbdach vorhanden?</t>
        </is>
      </c>
      <c r="E188" s="2" t="inlineStr">
        <is>
          <t>YES_NO</t>
        </is>
      </c>
      <c r="F188" s="2" t="inlineStr"/>
      <c r="G188" s="2" t="inlineStr">
        <is>
          <t>Prüfen: Not-Halt vom Zugang aus erreichbar betätigen – Fahrt darf nicht möglich sein.</t>
        </is>
      </c>
      <c r="H188" s="2" t="inlineStr"/>
      <c r="I188" s="2" t="inlineStr">
        <is>
          <t>MF-F06</t>
        </is>
      </c>
    </row>
    <row r="189">
      <c r="A189" s="4" t="inlineStr">
        <is>
          <t>qf_nothalt_erreichbar</t>
        </is>
      </c>
      <c r="B189" s="4" t="inlineStr">
        <is>
          <t>9.9a</t>
        </is>
      </c>
      <c r="C189" s="4" t="inlineStr">
        <is>
          <t>F – Fahrkorbdach und Schachtkopf</t>
        </is>
      </c>
      <c r="D189" s="4" t="inlineStr">
        <is>
          <t>Not-Halt vom Zugang aus erreichbar?</t>
        </is>
      </c>
      <c r="E189" s="4" t="inlineStr">
        <is>
          <t>YES_NO</t>
        </is>
      </c>
      <c r="F189" s="4" t="inlineStr"/>
      <c r="G189" s="4" t="inlineStr"/>
      <c r="H189" s="4" t="inlineStr">
        <is>
          <t>9.9 Notbremsschalter (Not-Halt) auf dem Fahrkorbdach vorhanden? = Ja</t>
        </is>
      </c>
      <c r="I189" s="4" t="inlineStr">
        <is>
          <t>MF-F06</t>
        </is>
      </c>
    </row>
    <row r="190">
      <c r="A190" s="2" t="inlineStr">
        <is>
          <t>qf_nothalt_wirksam</t>
        </is>
      </c>
      <c r="B190" s="2" t="inlineStr">
        <is>
          <t>9.9b</t>
        </is>
      </c>
      <c r="C190" s="2" t="inlineStr">
        <is>
          <t>F – Fahrkorbdach und Schachtkopf</t>
        </is>
      </c>
      <c r="D190" s="2" t="inlineStr">
        <is>
          <t>Not-Halt wirksam (Funktion geprüft)?</t>
        </is>
      </c>
      <c r="E190" s="2" t="inlineStr">
        <is>
          <t>YES_NO</t>
        </is>
      </c>
      <c r="F190" s="2" t="inlineStr"/>
      <c r="G190" s="2" t="inlineStr"/>
      <c r="H190" s="2" t="inlineStr">
        <is>
          <t>9.9 Notbremsschalter (Not-Halt) auf dem Fahrkorbdach vorhanden? = Ja</t>
        </is>
      </c>
      <c r="I190" s="2" t="inlineStr">
        <is>
          <t>MF-F06</t>
        </is>
      </c>
    </row>
    <row r="191">
      <c r="A191" s="4" t="inlineStr">
        <is>
          <t>qf_dach_tragfaehig</t>
        </is>
      </c>
      <c r="B191" s="4" t="inlineStr">
        <is>
          <t>9.10</t>
        </is>
      </c>
      <c r="C191" s="4" t="inlineStr">
        <is>
          <t>F – Fahrkorbdach und Schachtkopf</t>
        </is>
      </c>
      <c r="D191" s="4" t="inlineStr">
        <is>
          <t>Fahrkorbdach tragfähig (200 kg auf 0,30 m × 0,30 m)?</t>
        </is>
      </c>
      <c r="E191" s="4" t="inlineStr">
        <is>
          <t>YES_NO</t>
        </is>
      </c>
      <c r="F191" s="4" t="inlineStr"/>
      <c r="G191" s="4" t="inlineStr">
        <is>
          <t>Nachweis aus den Herstellerunterlagen; bei Zweifeln (dünne Bleche, sichtbare Verformung) Nein wählen, bis der Nachweis vorliegt.</t>
        </is>
      </c>
      <c r="H191" s="4" t="inlineStr"/>
      <c r="I191" s="4" t="inlineStr">
        <is>
          <t>MF-F07</t>
        </is>
      </c>
    </row>
    <row r="192">
      <c r="A192" s="2" t="inlineStr">
        <is>
          <t>qf_klappe</t>
        </is>
      </c>
      <c r="B192" s="2" t="inlineStr">
        <is>
          <t>9.11</t>
        </is>
      </c>
      <c r="C192" s="2" t="inlineStr">
        <is>
          <t>F – Fahrkorbdach und Schachtkopf</t>
        </is>
      </c>
      <c r="D192" s="2" t="inlineStr">
        <is>
          <t>Klappe / Notausstieg im Fahrkorbdach vorhanden?</t>
        </is>
      </c>
      <c r="E192" s="2" t="inlineStr">
        <is>
          <t>YES_NO</t>
        </is>
      </c>
      <c r="F192" s="2" t="inlineStr"/>
      <c r="G192" s="2" t="inlineStr"/>
      <c r="H192" s="2" t="inlineStr"/>
      <c r="I192" s="2" t="inlineStr">
        <is>
          <t>MF-F07</t>
        </is>
      </c>
    </row>
    <row r="193">
      <c r="A193" s="4" t="inlineStr">
        <is>
          <t>qf_klappe_ueberwacht</t>
        </is>
      </c>
      <c r="B193" s="4" t="inlineStr">
        <is>
          <t>9.11a</t>
        </is>
      </c>
      <c r="C193" s="4" t="inlineStr">
        <is>
          <t>F – Fahrkorbdach und Schachtkopf</t>
        </is>
      </c>
      <c r="D193" s="4" t="inlineStr">
        <is>
          <t>Klappe elektrisch überwacht (Sicherheitskreis)?</t>
        </is>
      </c>
      <c r="E193" s="4" t="inlineStr">
        <is>
          <t>YES_NO</t>
        </is>
      </c>
      <c r="F193" s="4" t="inlineStr"/>
      <c r="G193" s="4" t="inlineStr"/>
      <c r="H193" s="4" t="inlineStr">
        <is>
          <t>9.11 Klappe / Notausstieg im Fahrkorbdach vorhanden? = Ja</t>
        </is>
      </c>
      <c r="I193" s="4" t="inlineStr">
        <is>
          <t>MF-F07</t>
        </is>
      </c>
    </row>
    <row r="194">
      <c r="A194" s="2" t="inlineStr">
        <is>
          <t>qf_notbeleuchtung</t>
        </is>
      </c>
      <c r="B194" s="2" t="inlineStr">
        <is>
          <t>9.12</t>
        </is>
      </c>
      <c r="C194" s="2" t="inlineStr">
        <is>
          <t>F – Fahrkorbdach und Schachtkopf</t>
        </is>
      </c>
      <c r="D194" s="2" t="inlineStr">
        <is>
          <t>Notbeleuchtung auf dem Fahrkorbdach (mind. 5 Lux, 1 h) vorhanden?</t>
        </is>
      </c>
      <c r="E194" s="2" t="inlineStr">
        <is>
          <t>YES_NO</t>
        </is>
      </c>
      <c r="F194" s="2" t="inlineStr"/>
      <c r="G194" s="2" t="inlineStr"/>
      <c r="H194" s="2" t="inlineStr"/>
      <c r="I194" s="2" t="inlineStr">
        <is>
          <t>MF-F08</t>
        </is>
      </c>
    </row>
    <row r="195">
      <c r="A195" s="4" t="inlineStr">
        <is>
          <t>qf_notruf_dach</t>
        </is>
      </c>
      <c r="B195" s="4" t="inlineStr">
        <is>
          <t>9.13</t>
        </is>
      </c>
      <c r="C195" s="4" t="inlineStr">
        <is>
          <t>F – Fahrkorbdach und Schachtkopf</t>
        </is>
      </c>
      <c r="D195" s="4" t="inlineStr">
        <is>
          <t>Eindeutig erkennbarer Auslöser für den (Fern-)Notruf auf dem Fahrkorbdach vorhanden?</t>
        </is>
      </c>
      <c r="E195" s="4" t="inlineStr">
        <is>
          <t>YES_NO</t>
        </is>
      </c>
      <c r="F195" s="4" t="inlineStr"/>
      <c r="G195" s="4" t="inlineStr"/>
      <c r="H195" s="4" t="inlineStr"/>
      <c r="I195" s="4" t="inlineStr">
        <is>
          <t>MF-F09</t>
        </is>
      </c>
    </row>
    <row r="196">
      <c r="A196" s="2" t="inlineStr">
        <is>
          <t>qs_bel_vorhanden</t>
        </is>
      </c>
      <c r="B196" s="2" t="inlineStr">
        <is>
          <t>10.1</t>
        </is>
      </c>
      <c r="C196" s="2" t="inlineStr">
        <is>
          <t>S – Schacht</t>
        </is>
      </c>
      <c r="D196" s="2" t="inlineStr">
        <is>
          <t>Schachtbeleuchtung vorhanden?</t>
        </is>
      </c>
      <c r="E196" s="2" t="inlineStr">
        <is>
          <t>YES_NO</t>
        </is>
      </c>
      <c r="F196" s="2" t="inlineStr"/>
      <c r="G196" s="2" t="inlineStr"/>
      <c r="H196" s="2" t="inlineStr"/>
      <c r="I196" s="2" t="inlineStr">
        <is>
          <t>MF-S01</t>
        </is>
      </c>
    </row>
    <row r="197">
      <c r="A197" s="4" t="inlineStr">
        <is>
          <t>qs_bel_ausreichend</t>
        </is>
      </c>
      <c r="B197" s="4" t="inlineStr">
        <is>
          <t>10.1a</t>
        </is>
      </c>
      <c r="C197" s="4" t="inlineStr">
        <is>
          <t>S – Schacht</t>
        </is>
      </c>
      <c r="D197" s="4" t="inlineStr">
        <is>
          <t>Schachtbeleuchtung ausreichend (mind. 50 Lux 1 m über dem Fahrkorbdach, mind. 20 Lux im übrigen Schacht)?</t>
        </is>
      </c>
      <c r="E197" s="4" t="inlineStr">
        <is>
          <t>YES_NO</t>
        </is>
      </c>
      <c r="F197" s="4" t="inlineStr"/>
      <c r="G197" s="4" t="inlineStr">
        <is>
          <t>TRBS 3121 Anh. 1 Nr. 8 / DIN EN 81-20 5.2.1.4.1: Arbeitsbereiche auf dem Fahrkorbdach und in der Grube mindestens 50 lx. Die Grube wird unter 11.2a erfasst.</t>
        </is>
      </c>
      <c r="H197" s="4" t="inlineStr">
        <is>
          <t>10.1 Schachtbeleuchtung vorhanden? = Ja</t>
        </is>
      </c>
      <c r="I197" s="4" t="inlineStr">
        <is>
          <t>MF-S01</t>
        </is>
      </c>
    </row>
    <row r="198">
      <c r="A198" s="2" t="inlineStr">
        <is>
          <t>qs_bel_altnorm</t>
        </is>
      </c>
      <c r="B198" s="2" t="inlineStr">
        <is>
          <t>10.1c</t>
        </is>
      </c>
      <c r="C198" s="2" t="inlineStr">
        <is>
          <t>S – Schacht</t>
        </is>
      </c>
      <c r="D198" s="2" t="inlineStr">
        <is>
          <t>Falls nicht ausreichend: erfüllt die Schachtbeleuchtung die Anforderungen des Errichtungs-Regelwerks (TRA 200 bzw. DIN EN 81-1/-2)?</t>
        </is>
      </c>
      <c r="E198" s="2" t="inlineStr">
        <is>
          <t>YES_NO</t>
        </is>
      </c>
      <c r="F198" s="2" t="inlineStr"/>
      <c r="G198" s="2" t="inlineStr"/>
      <c r="H198" s="2" t="inlineStr">
        <is>
          <t>10.1a Schachtbeleuchtung ausreichend (mind. 50 Lux 1 m über dem Fahrkorbdach, mind. 20 Lux im übrigen Schacht)? = Nein</t>
        </is>
      </c>
      <c r="I198" s="2" t="inlineStr">
        <is>
          <t>MF-S01</t>
        </is>
      </c>
    </row>
    <row r="199">
      <c r="A199" s="4" t="inlineStr">
        <is>
          <t>qs_bel_splitterschutz</t>
        </is>
      </c>
      <c r="B199" s="4" t="inlineStr">
        <is>
          <t>10.1b</t>
        </is>
      </c>
      <c r="C199" s="4" t="inlineStr">
        <is>
          <t>S – Schacht</t>
        </is>
      </c>
      <c r="D199" s="4" t="inlineStr">
        <is>
          <t>Leuchten im Schacht mit Splitterschutz und an geeigneter Stelle?</t>
        </is>
      </c>
      <c r="E199" s="4" t="inlineStr">
        <is>
          <t>YES_NO</t>
        </is>
      </c>
      <c r="F199" s="4" t="inlineStr"/>
      <c r="G199" s="4" t="inlineStr"/>
      <c r="H199" s="4" t="inlineStr">
        <is>
          <t>10.1 Schachtbeleuchtung vorhanden? = Ja</t>
        </is>
      </c>
      <c r="I199" s="4" t="inlineStr">
        <is>
          <t>MF-S01</t>
        </is>
      </c>
    </row>
    <row r="200">
      <c r="A200" s="2" t="inlineStr">
        <is>
          <t>qs_zugang_bel</t>
        </is>
      </c>
      <c r="B200" s="2" t="inlineStr">
        <is>
          <t>10.2</t>
        </is>
      </c>
      <c r="C200" s="2" t="inlineStr">
        <is>
          <t>S – Schacht</t>
        </is>
      </c>
      <c r="D200" s="2" t="inlineStr">
        <is>
          <t>Beleuchtung an den Schachtzugängen (Haltestellen) mind. 50 lx?</t>
        </is>
      </c>
      <c r="E200" s="2" t="inlineStr">
        <is>
          <t>YES_NO</t>
        </is>
      </c>
      <c r="F200" s="2" t="inlineStr"/>
      <c r="G200" s="2" t="inlineStr">
        <is>
          <t>Sollwert DIN EN 81-20:2020-06 5.3.7.1: mindestens 50 lx am Boden im Bereich der Schachttüren. Der bisherige Wert „75 Lux" stammte aus dem übernommenen Katalog und stand im Widerspruch zur eigenen Quellenangabe (Entscheidung Arne 20.09.2026 zum Prüfbericht, Befund B42).</t>
        </is>
      </c>
      <c r="H200" s="2" t="inlineStr"/>
      <c r="I200" s="2" t="inlineStr">
        <is>
          <t>MF-S02</t>
        </is>
      </c>
    </row>
    <row r="201">
      <c r="A201" s="4" t="inlineStr">
        <is>
          <t>qs_vollumwehrt</t>
        </is>
      </c>
      <c r="B201" s="4" t="inlineStr">
        <is>
          <t>10.3</t>
        </is>
      </c>
      <c r="C201" s="4" t="inlineStr">
        <is>
          <t>S – Schacht</t>
        </is>
      </c>
      <c r="D201" s="4" t="inlineStr">
        <is>
          <t>Schacht vollständig umwehrt (Wände, Decke, Boden)?</t>
        </is>
      </c>
      <c r="E201" s="4" t="inlineStr">
        <is>
          <t>YES_NO</t>
        </is>
      </c>
      <c r="F201" s="4" t="inlineStr"/>
      <c r="G201" s="4" t="inlineStr"/>
      <c r="H201" s="4" t="inlineStr"/>
      <c r="I201" s="4" t="inlineStr">
        <is>
          <t>MF-S03</t>
        </is>
      </c>
    </row>
    <row r="202">
      <c r="A202" s="2" t="inlineStr">
        <is>
          <t>qs_teilumwehrt_zulaessig</t>
        </is>
      </c>
      <c r="B202" s="2" t="inlineStr">
        <is>
          <t>10.3a</t>
        </is>
      </c>
      <c r="C202" s="2" t="inlineStr">
        <is>
          <t>S – Schacht</t>
        </is>
      </c>
      <c r="D202" s="2" t="inlineStr">
        <is>
          <t>Teilumwehrung nach EN 81-20 5.2.5.2.3 zulässig ausgeführt (Höhen, Abstände)?</t>
        </is>
      </c>
      <c r="E202" s="2" t="inlineStr">
        <is>
          <t>YES_NO</t>
        </is>
      </c>
      <c r="F202" s="2" t="inlineStr"/>
      <c r="G202" s="2" t="inlineStr"/>
      <c r="H202" s="2" t="inlineStr">
        <is>
          <t>10.3 Schacht vollständig umwehrt (Wände, Decke, Boden)? = Nein</t>
        </is>
      </c>
      <c r="I202" s="2" t="inlineStr">
        <is>
          <t>MF-S03</t>
        </is>
      </c>
    </row>
    <row r="203">
      <c r="A203" s="4" t="inlineStr">
        <is>
          <t>qs_wand_fest</t>
        </is>
      </c>
      <c r="B203" s="4" t="inlineStr">
        <is>
          <t>10.4</t>
        </is>
      </c>
      <c r="C203" s="4" t="inlineStr">
        <is>
          <t>S – Schacht</t>
        </is>
      </c>
      <c r="D203" s="4" t="inlineStr">
        <is>
          <t>Schachtwände ausreichend fest (100 kg auf 0,30 m × 0,30 m, keine Durchbrüche)?</t>
        </is>
      </c>
      <c r="E203" s="4" t="inlineStr">
        <is>
          <t>YES_NO</t>
        </is>
      </c>
      <c r="F203" s="4" t="inlineStr"/>
      <c r="G203" s="4" t="inlineStr"/>
      <c r="H203" s="4" t="inlineStr"/>
      <c r="I203" s="4" t="inlineStr">
        <is>
          <t>MF-S03</t>
        </is>
      </c>
    </row>
    <row r="204">
      <c r="A204" s="2" t="inlineStr">
        <is>
          <t>qs_glas_vsg</t>
        </is>
      </c>
      <c r="B204" s="2" t="inlineStr">
        <is>
          <t>10.5</t>
        </is>
      </c>
      <c r="C204" s="2" t="inlineStr">
        <is>
          <t>S – Schacht</t>
        </is>
      </c>
      <c r="D204" s="2" t="inlineStr">
        <is>
          <t>Nachweis Verbundsicherheitsglas für die Schachtverglasung vorhanden?</t>
        </is>
      </c>
      <c r="E204" s="2" t="inlineStr">
        <is>
          <t>YES_NO</t>
        </is>
      </c>
      <c r="F204" s="2" t="inlineStr"/>
      <c r="G204" s="2" t="inlineStr"/>
      <c r="H204" s="2" t="inlineStr">
        <is>
          <t>4.2 Schacht oder Schachtgerüst mit Glas? = Ja</t>
        </is>
      </c>
      <c r="I204" s="2" t="inlineStr">
        <is>
          <t>MF-S03</t>
        </is>
      </c>
    </row>
    <row r="205">
      <c r="A205" s="4" t="inlineStr">
        <is>
          <t>qs_schienen_stahl</t>
        </is>
      </c>
      <c r="B205" s="4" t="inlineStr">
        <is>
          <t>10.6</t>
        </is>
      </c>
      <c r="C205" s="4" t="inlineStr">
        <is>
          <t>S – Schacht</t>
        </is>
      </c>
      <c r="D205" s="4" t="inlineStr">
        <is>
          <t>Führungsschienen für Fahrkorb und Gegengewicht aus Stahl?</t>
        </is>
      </c>
      <c r="E205" s="4" t="inlineStr">
        <is>
          <t>YES_NO</t>
        </is>
      </c>
      <c r="F205" s="4" t="inlineStr"/>
      <c r="G205" s="4" t="inlineStr"/>
      <c r="H205" s="4" t="inlineStr"/>
      <c r="I205" s="4" t="inlineStr">
        <is>
          <t>MF-S04</t>
        </is>
      </c>
    </row>
    <row r="206">
      <c r="A206" s="2" t="inlineStr">
        <is>
          <t>qs_fang</t>
        </is>
      </c>
      <c r="B206" s="2" t="inlineStr">
        <is>
          <t>10.7</t>
        </is>
      </c>
      <c r="C206" s="2" t="inlineStr">
        <is>
          <t>S – Schacht</t>
        </is>
      </c>
      <c r="D206" s="2" t="inlineStr">
        <is>
          <t>Fangvorrichtung am Fahrkorb vorhanden?</t>
        </is>
      </c>
      <c r="E206" s="2" t="inlineStr">
        <is>
          <t>YES_NO</t>
        </is>
      </c>
      <c r="F206" s="2" t="inlineStr"/>
      <c r="G206" s="2" t="inlineStr">
        <is>
          <t>Nachweis über Typenschild und Prüfbuch; Sichtprüfung der Fangvorrichtung bei Inspektionsfahrt.</t>
        </is>
      </c>
      <c r="H206" s="2" t="inlineStr">
        <is>
          <t>3.1 Aufzugsart in [„Seil-/Riemenaufzug (Treibscheibe)", „Trommel- oder Kettenaufzug", „Seil-Hydraulikaufzug (indirekt)"]</t>
        </is>
      </c>
      <c r="I206" s="2" t="inlineStr">
        <is>
          <t>MF-S05</t>
        </is>
      </c>
    </row>
    <row r="207">
      <c r="A207" s="4" t="inlineStr">
        <is>
          <t>qs_begrenzer</t>
        </is>
      </c>
      <c r="B207" s="4" t="inlineStr">
        <is>
          <t>10.8</t>
        </is>
      </c>
      <c r="C207" s="4" t="inlineStr">
        <is>
          <t>S – Schacht</t>
        </is>
      </c>
      <c r="D207" s="4" t="inlineStr">
        <is>
          <t>Geschwindigkeitsbegrenzer vorhanden?</t>
        </is>
      </c>
      <c r="E207" s="4" t="inlineStr">
        <is>
          <t>YES_NO</t>
        </is>
      </c>
      <c r="F207" s="4" t="inlineStr"/>
      <c r="G207" s="4" t="inlineStr">
        <is>
          <t>Sichtprüfung im Triebwerksraum bzw. Schachtkopf; Typenschild und Auslösegeschwindigkeit mit dem Prüfbuch abgleichen.</t>
        </is>
      </c>
      <c r="H207" s="4" t="inlineStr">
        <is>
          <t>3.1 Aufzugsart in [„Seil-/Riemenaufzug (Treibscheibe)", „Trommel- oder Kettenaufzug", „Seil-Hydraulikaufzug (indirekt)"]</t>
        </is>
      </c>
      <c r="I207" s="4" t="inlineStr">
        <is>
          <t>MF-S05</t>
        </is>
      </c>
    </row>
    <row r="208">
      <c r="A208" s="2" t="inlineStr">
        <is>
          <t>qs_fang_geprueft</t>
        </is>
      </c>
      <c r="B208" s="2" t="inlineStr">
        <is>
          <t>10.9</t>
        </is>
      </c>
      <c r="C208" s="2" t="inlineStr">
        <is>
          <t>S – Schacht</t>
        </is>
      </c>
      <c r="D208" s="2" t="inlineStr">
        <is>
          <t>Prüfung von Fangvorrichtung und Begrenzer dokumentiert?</t>
        </is>
      </c>
      <c r="E208" s="2" t="inlineStr">
        <is>
          <t>YES_NO</t>
        </is>
      </c>
      <c r="F208" s="2" t="inlineStr"/>
      <c r="G208" s="2" t="inlineStr"/>
      <c r="H208" s="2" t="inlineStr">
        <is>
          <t>(10.7 Fangvorrichtung am Fahrkorb vorhanden? = Ja UND 10.8 Geschwindigkeitsbegrenzer vorhanden? = Ja)</t>
        </is>
      </c>
      <c r="I208" s="2" t="inlineStr">
        <is>
          <t>MF-S05</t>
        </is>
      </c>
    </row>
    <row r="209">
      <c r="A209" s="4" t="inlineStr">
        <is>
          <t>qs_spanngewicht_schalter</t>
        </is>
      </c>
      <c r="B209" s="4" t="inlineStr">
        <is>
          <t>10.10</t>
        </is>
      </c>
      <c r="C209" s="4" t="inlineStr">
        <is>
          <t>S – Schacht</t>
        </is>
      </c>
      <c r="D209" s="4" t="inlineStr">
        <is>
          <t>Spanngewicht des Begrenzerseils mit Schlaffseilschalter?</t>
        </is>
      </c>
      <c r="E209" s="4" t="inlineStr">
        <is>
          <t>YES_NO</t>
        </is>
      </c>
      <c r="F209" s="4" t="inlineStr"/>
      <c r="G209" s="4" t="inlineStr"/>
      <c r="H209" s="4" t="inlineStr">
        <is>
          <t>10.8 Geschwindigkeitsbegrenzer vorhanden? = Ja</t>
        </is>
      </c>
      <c r="I209" s="4" t="inlineStr">
        <is>
          <t>MF-S05</t>
        </is>
      </c>
    </row>
    <row r="210">
      <c r="A210" s="2" t="inlineStr">
        <is>
          <t>qs_fang_ersatzausloesung</t>
        </is>
      </c>
      <c r="B210" s="2" t="inlineStr">
        <is>
          <t>10.8a</t>
        </is>
      </c>
      <c r="C210" s="2" t="inlineStr">
        <is>
          <t>S – Schacht</t>
        </is>
      </c>
      <c r="D210" s="2" t="inlineStr">
        <is>
          <t>Fangvorrichtung durch Bruch der Tragmittel oder durch ein Sicherheitsseil ausgelöst, in Verbindung mit Leitungsbruchventil oder Drossel?</t>
        </is>
      </c>
      <c r="E210" s="2" t="inlineStr">
        <is>
          <t>YES_NO</t>
        </is>
      </c>
      <c r="F210" s="2" t="inlineStr"/>
      <c r="G210" s="2" t="inlineStr">
        <is>
          <t>Regelprüfung 20.09.2026: Folgefrage zu 10.8 für den indirekt angetriebenen Hydraulikaufzug. DIN EN 81-20 Tabelle 12 lässt dort drei Kombinationen zu: Fangvorrichtung, eingerückt durch Geschwindigkeitsbegrenzer (5.6.2.2.1) – ODER Leitungsbruchventil (5.6.3) bzw. Drossel (5.6.4) zusammen mit einer Fangvorrichtung, die durch Bruch der Tragmittel (5.6.2.2.2) oder durch ein Sicherheitsseil (5.6.2.2.3) ausgelöst wird. Ohne Geschwindigkeitsbegrenzer ist der Aufzug also nur dann normgerecht, wenn eine dieser beiden Ersatzkombinationen vollständig vorhanden ist. Im Zweifel Nein – dann wird der Mangel ausgewiesen. Nicht zu verwechseln mit der Schlaffseilüberwachung nach 5.5.5.3 b) (Frage 10.11): Die ist eine eigene elektrische Sicherheitseinrichtung und kein Auslösemittel der Fangvorrichtung.</t>
        </is>
      </c>
      <c r="H210" s="2" t="inlineStr">
        <is>
          <t>(3.1 Aufzugsart = „Seil-Hydraulikaufzug (indirekt)" UND 10.8 Geschwindigkeitsbegrenzer vorhanden? = Nein)</t>
        </is>
      </c>
      <c r="I210" s="2" t="inlineStr">
        <is>
          <t>MF-S05</t>
        </is>
      </c>
    </row>
    <row r="211">
      <c r="A211" s="4" t="inlineStr">
        <is>
          <t>qs_schlaffseil</t>
        </is>
      </c>
      <c r="B211" s="4" t="inlineStr">
        <is>
          <t>10.11</t>
        </is>
      </c>
      <c r="C211" s="4" t="inlineStr">
        <is>
          <t>S – Schacht</t>
        </is>
      </c>
      <c r="D211" s="4" t="inlineStr">
        <is>
          <t>Schlaffseil-/Schlaffkettensicherung vorhanden?</t>
        </is>
      </c>
      <c r="E211" s="4" t="inlineStr">
        <is>
          <t>YES_NO</t>
        </is>
      </c>
      <c r="F211" s="4" t="inlineStr"/>
      <c r="G211" s="4" t="inlineStr">
        <is>
          <t>Regelprüfung 20.09.2026: Sichtbarkeit auf den Seil-Hydraulikaufzug (indirekt) erweitert. DIN EN 81-20 5.5.5.3 b) verlangt die Schlaffseil-/Schlaffkettenüberwachung bei Ketten- und Trommelaufzügen sowie bei Hydraulikaufzügen, sobald eine Gefährdung durch Schlaffseil oder Schlaffkette besteht – also überall dort, wo Tragmittel vorhanden sind. Beim direkt angetriebenen Hydraulikaufzug gibt es keine Tragmittel, deshalb bleibt die Frage dort aus. Sie ist eine elektrische Sicherheitseinrichtung, die das Triebwerk stillsetzt – KEIN Auslösemittel der Fangvorrichtung; das regelt getrennt 10.8 bzw. 10.8a.</t>
        </is>
      </c>
      <c r="H211" s="4" t="inlineStr">
        <is>
          <t>3.1 Aufzugsart in [„Trommel- oder Kettenaufzug", „Seil-Hydraulikaufzug (indirekt)"]</t>
        </is>
      </c>
      <c r="I211" s="4" t="inlineStr">
        <is>
          <t>MF-S05</t>
        </is>
      </c>
    </row>
    <row r="212">
      <c r="A212" s="2" t="inlineStr">
        <is>
          <t>qs_fremd_frei</t>
        </is>
      </c>
      <c r="B212" s="2" t="inlineStr">
        <is>
          <t>10.12</t>
        </is>
      </c>
      <c r="C212" s="2" t="inlineStr">
        <is>
          <t>S – Schacht</t>
        </is>
      </c>
      <c r="D212" s="2" t="inlineStr">
        <is>
          <t>Schacht frei von aufzugsfremden Einrichtungen?</t>
        </is>
      </c>
      <c r="E212" s="2" t="inlineStr">
        <is>
          <t>YES_NO</t>
        </is>
      </c>
      <c r="F212" s="2" t="inlineStr"/>
      <c r="G212" s="2" t="inlineStr"/>
      <c r="H212" s="2" t="inlineStr"/>
      <c r="I212" s="2" t="inlineStr">
        <is>
          <t>MF-S06</t>
        </is>
      </c>
    </row>
    <row r="213">
      <c r="A213" s="4" t="inlineStr">
        <is>
          <t>qs_fremd_fachgerecht</t>
        </is>
      </c>
      <c r="B213" s="4" t="inlineStr">
        <is>
          <t>10.12a</t>
        </is>
      </c>
      <c r="C213" s="4" t="inlineStr">
        <is>
          <t>S – Schacht</t>
        </is>
      </c>
      <c r="D213" s="4" t="inlineStr">
        <is>
          <t>Aufzugsfremde Leitungen fachgerecht verlegt und gekennzeichnet?</t>
        </is>
      </c>
      <c r="E213" s="4" t="inlineStr">
        <is>
          <t>YES_NO</t>
        </is>
      </c>
      <c r="F213" s="4" t="inlineStr"/>
      <c r="G213" s="4" t="inlineStr"/>
      <c r="H213" s="4" t="inlineStr">
        <is>
          <t>10.12 Schacht frei von aufzugsfremden Einrichtungen? = Nein</t>
        </is>
      </c>
      <c r="I213" s="4" t="inlineStr">
        <is>
          <t>MF-S06</t>
        </is>
      </c>
    </row>
    <row r="214">
      <c r="A214" s="2" t="inlineStr">
        <is>
          <t>qs_fremd_behindert</t>
        </is>
      </c>
      <c r="B214" s="2" t="inlineStr">
        <is>
          <t>10.12b</t>
        </is>
      </c>
      <c r="C214" s="2" t="inlineStr">
        <is>
          <t>S – Schacht</t>
        </is>
      </c>
      <c r="D214" s="2" t="inlineStr">
        <is>
          <t>Behindern aufzugsfremde Einrichtungen Arbeiten oder Rettungswege im Schacht?</t>
        </is>
      </c>
      <c r="E214" s="2" t="inlineStr">
        <is>
          <t>YES_NO</t>
        </is>
      </c>
      <c r="F214" s="2" t="inlineStr"/>
      <c r="G214" s="2" t="inlineStr"/>
      <c r="H214" s="2" t="inlineStr">
        <is>
          <t>10.12 Schacht frei von aufzugsfremden Einrichtungen? = Nein</t>
        </is>
      </c>
      <c r="I214" s="2" t="inlineStr">
        <is>
          <t>MF-S06</t>
        </is>
      </c>
    </row>
    <row r="215">
      <c r="A215" s="4" t="inlineStr">
        <is>
          <t>qs_zugang_schacht_sicher</t>
        </is>
      </c>
      <c r="B215" s="4" t="inlineStr">
        <is>
          <t>10.13</t>
        </is>
      </c>
      <c r="C215" s="4" t="inlineStr">
        <is>
          <t>S – Schacht</t>
        </is>
      </c>
      <c r="D215" s="4" t="inlineStr">
        <is>
          <t>Zugänge zum Schacht (Schachttüren, Inspektionstüren) frei und sicher erreichbar (nicht zugestellt, nicht verbaut)?</t>
        </is>
      </c>
      <c r="E215" s="4" t="inlineStr">
        <is>
          <t>YES_NO</t>
        </is>
      </c>
      <c r="F215" s="4" t="inlineStr"/>
      <c r="G215" s="4" t="inlineStr">
        <is>
          <t>Nur die Erreichbarkeit. Die Wirksamkeit der zugehörigen Sicherheitsschalter steht unter 10.13a (Prüfbericht 20.09.2026: bisher beides in einer Frage mit Stufe Hoch).</t>
        </is>
      </c>
      <c r="H215" s="4" t="inlineStr"/>
      <c r="I215" s="4" t="inlineStr">
        <is>
          <t>MF-S07</t>
        </is>
      </c>
    </row>
    <row r="216">
      <c r="A216" s="2" t="inlineStr">
        <is>
          <t>qs_zugang_schalter_wirksam</t>
        </is>
      </c>
      <c r="B216" s="2" t="inlineStr">
        <is>
          <t>10.13a</t>
        </is>
      </c>
      <c r="C216" s="2" t="inlineStr">
        <is>
          <t>S – Schacht</t>
        </is>
      </c>
      <c r="D216" s="2" t="inlineStr">
        <is>
          <t>Elektrische Sicherheitseinrichtungen der Schacht- und Inspektionstüren vorhanden und wirksam (Türkontakt im Sicherheitskreis)?</t>
        </is>
      </c>
      <c r="E216" s="2" t="inlineStr">
        <is>
          <t>YES_NO</t>
        </is>
      </c>
      <c r="F216" s="2" t="inlineStr"/>
      <c r="G216" s="2" t="inlineStr"/>
      <c r="H216" s="2" t="inlineStr"/>
      <c r="I216" s="2" t="inlineStr">
        <is>
          <t>MF-S07</t>
        </is>
      </c>
    </row>
    <row r="217">
      <c r="A217" s="4" t="inlineStr">
        <is>
          <t>qs_asbest</t>
        </is>
      </c>
      <c r="B217" s="4" t="inlineStr">
        <is>
          <t>10.20</t>
        </is>
      </c>
      <c r="C217" s="4" t="inlineStr">
        <is>
          <t>S – Schacht</t>
        </is>
      </c>
      <c r="D217" s="4" t="inlineStr">
        <is>
          <t>Asbesthaltige oder andere schädliche Baustoffe im Schacht / am Fahrkorb (Bremsbeläge, Dichtungen, Brandschutzplatten, Isolierungen)?</t>
        </is>
      </c>
      <c r="E217" s="4" t="inlineStr">
        <is>
          <t>YES_NO</t>
        </is>
      </c>
      <c r="F217" s="4" t="inlineStr"/>
      <c r="G217" s="4" t="inlineStr"/>
      <c r="H217" s="4" t="inlineStr"/>
      <c r="I217" s="4" t="inlineStr">
        <is>
          <t>MF-U01</t>
        </is>
      </c>
    </row>
    <row r="218">
      <c r="A218" s="2" t="inlineStr">
        <is>
          <t>qs_verschmutzung</t>
        </is>
      </c>
      <c r="B218" s="2" t="inlineStr">
        <is>
          <t>10.21</t>
        </is>
      </c>
      <c r="C218" s="2" t="inlineStr">
        <is>
          <t>S – Schacht</t>
        </is>
      </c>
      <c r="D218" s="2" t="inlineStr">
        <is>
          <t>Erhebliche Verschmutzungen (Taubenkot, Unrat, Schimmel, Ablagerungen) im Schacht / am Fahrkorb?</t>
        </is>
      </c>
      <c r="E218" s="2" t="inlineStr">
        <is>
          <t>YES_NO</t>
        </is>
      </c>
      <c r="F218" s="2" t="inlineStr"/>
      <c r="G218" s="2" t="inlineStr"/>
      <c r="H218" s="2" t="inlineStr"/>
      <c r="I218" s="2" t="inlineStr">
        <is>
          <t>MF-U02</t>
        </is>
      </c>
    </row>
    <row r="219">
      <c r="A219" s="4" t="inlineStr">
        <is>
          <t>qs_brennbar_lager</t>
        </is>
      </c>
      <c r="B219" s="4" t="inlineStr">
        <is>
          <t>10.22</t>
        </is>
      </c>
      <c r="C219" s="4" t="inlineStr">
        <is>
          <t>S – Schacht</t>
        </is>
      </c>
      <c r="D219" s="4" t="inlineStr">
        <is>
          <t>Lagerung brennbarer oder leicht entzündlicher Stoffe im Schacht / am Fahrkorb?</t>
        </is>
      </c>
      <c r="E219" s="4" t="inlineStr">
        <is>
          <t>YES_NO</t>
        </is>
      </c>
      <c r="F219" s="4" t="inlineStr"/>
      <c r="G219" s="4" t="inlineStr"/>
      <c r="H219" s="4" t="inlineStr"/>
      <c r="I219" s="4" t="inlineStr">
        <is>
          <t>MF-U03</t>
        </is>
      </c>
    </row>
    <row r="220">
      <c r="A220" s="2" t="inlineStr">
        <is>
          <t>qs_asbest_zustand</t>
        </is>
      </c>
      <c r="B220" s="2" t="inlineStr">
        <is>
          <t>10.20a</t>
        </is>
      </c>
      <c r="C220" s="2" t="inlineStr">
        <is>
          <t>S – Schacht</t>
        </is>
      </c>
      <c r="D220" s="2" t="inlineStr">
        <is>
          <t>Zustand des Fundes im Schacht / am Fahrkorb</t>
        </is>
      </c>
      <c r="E220" s="2" t="inlineStr">
        <is>
          <t>SELECT</t>
        </is>
      </c>
      <c r="F220" s="2" t="inlineStr">
        <is>
          <t>Fest gebunden und unbeschädigt (z. B. Asbestzementplatte, Dichtung, Brandschutzplatte ohne Bruchstellen)
Schwach gebunden, beschädigt oder abriebbelastet (Bruchstellen, Abrieb, Staubablagerungen)
Zustand nicht beurteilbar</t>
        </is>
      </c>
      <c r="G220" s="2" t="inlineStr">
        <is>
          <t>Bewertet wird der Zustand, nicht die Menge. Fest gebunden und unbeschädigt heißt: keine Bruch-, Bohr- oder Schleifstellen, keine Abplatzungen, keine Staubablagerungen mit Abriebanteil. Im Zweifel „Zustand nicht beurteilbar" wählen – das ergibt dieselbe Einstufung wie ein beschädigter Fund. Die Zuordnung ersetzt keine Probenahme. Im Fahrgastbereich wirkt kein Bearbeitungsverbot und der Personenkreis ist unkontrolliert – beschädigte oder abriebbelastete Verkleidungen im Fahrkorb bleiben deshalb Hoch.</t>
        </is>
      </c>
      <c r="H220" s="2" t="inlineStr">
        <is>
          <t>10.20 Asbesthaltige oder andere schädliche Baustoffe im Schacht / am Fahrkorb (Bremsbeläge, Dichtungen, Brandschutzplatten, Isolierungen)? = Ja</t>
        </is>
      </c>
      <c r="I220" s="2" t="inlineStr">
        <is>
          <t>MF-U01</t>
        </is>
      </c>
    </row>
    <row r="221">
      <c r="A221" s="4" t="inlineStr">
        <is>
          <t>qg_bel_vorhanden</t>
        </is>
      </c>
      <c r="B221" s="4" t="inlineStr">
        <is>
          <t>11.2</t>
        </is>
      </c>
      <c r="C221" s="4" t="inlineStr">
        <is>
          <t>G – Schachtgrube</t>
        </is>
      </c>
      <c r="D221" s="4" t="inlineStr">
        <is>
          <t>Beleuchtung in der Schachtgrube vorhanden?</t>
        </is>
      </c>
      <c r="E221" s="4" t="inlineStr">
        <is>
          <t>YES_NO</t>
        </is>
      </c>
      <c r="F221" s="4" t="inlineStr"/>
      <c r="G221" s="4" t="inlineStr"/>
      <c r="H221" s="4" t="inlineStr"/>
      <c r="I221" s="4" t="inlineStr">
        <is>
          <t>MF-G01</t>
        </is>
      </c>
    </row>
    <row r="222">
      <c r="A222" s="2" t="inlineStr">
        <is>
          <t>qg_bel_50lux</t>
        </is>
      </c>
      <c r="B222" s="2" t="inlineStr">
        <is>
          <t>11.2a</t>
        </is>
      </c>
      <c r="C222" s="2" t="inlineStr">
        <is>
          <t>G – Schachtgrube</t>
        </is>
      </c>
      <c r="D222" s="2" t="inlineStr">
        <is>
          <t>Grubenbeleuchtung ausreichend (mind. 50 Lux), Leuchten geeignet angeordnet?</t>
        </is>
      </c>
      <c r="E222" s="2" t="inlineStr">
        <is>
          <t>YES_NO</t>
        </is>
      </c>
      <c r="F222" s="2" t="inlineStr"/>
      <c r="G222" s="2" t="inlineStr"/>
      <c r="H222" s="2" t="inlineStr">
        <is>
          <t>11.2 Beleuchtung in der Schachtgrube vorhanden? = Ja</t>
        </is>
      </c>
      <c r="I222" s="2" t="inlineStr">
        <is>
          <t>MF-G01</t>
        </is>
      </c>
    </row>
    <row r="223">
      <c r="A223" s="4" t="inlineStr">
        <is>
          <t>qg_schutzraum</t>
        </is>
      </c>
      <c r="B223" s="4" t="inlineStr">
        <is>
          <t>11.3</t>
        </is>
      </c>
      <c r="C223" s="4" t="inlineStr">
        <is>
          <t>G – Schachtgrube</t>
        </is>
      </c>
      <c r="D223" s="4" t="inlineStr">
        <is>
          <t>Schutzraum in der Schachtgrube</t>
        </is>
      </c>
      <c r="E223" s="4" t="inlineStr">
        <is>
          <t>SELECT</t>
        </is>
      </c>
      <c r="F223" s="4" t="inlineStr">
        <is>
          <t>Schutzraum nach EN 81-20 vorhanden, Abmessungen eingehalten
Schutzraum nach TRA 200 / EN 81-1/-2 (kleiner als EN 81-20)
Reduzierte Grube mit wirksamer Zusatzeinrichtung und Kennzeichnung
Schutzraum nicht gegeben</t>
        </is>
      </c>
      <c r="G223" s="4" t="inlineStr">
        <is>
          <t>Mit dem Fahrkorb auf dem voll zusammengedrückten Puffer den freien Raum in der Grube bestimmen (bzw. aus den Unterlagen).</t>
        </is>
      </c>
      <c r="H223" s="4" t="inlineStr"/>
      <c r="I223" s="4" t="inlineStr">
        <is>
          <t>MF-G02</t>
        </is>
      </c>
    </row>
    <row r="224">
      <c r="A224" s="2" t="inlineStr">
        <is>
          <t>qg_nothalt</t>
        </is>
      </c>
      <c r="B224" s="2" t="inlineStr">
        <is>
          <t>11.4</t>
        </is>
      </c>
      <c r="C224" s="2" t="inlineStr">
        <is>
          <t>G – Schachtgrube</t>
        </is>
      </c>
      <c r="D224" s="2" t="inlineStr">
        <is>
          <t>Notbremsschalter in der Schachtgrube vorhanden?</t>
        </is>
      </c>
      <c r="E224" s="2" t="inlineStr">
        <is>
          <t>YES_NO</t>
        </is>
      </c>
      <c r="F224" s="2" t="inlineStr"/>
      <c r="G224" s="2" t="inlineStr">
        <is>
          <t>Prüfen: Not-Halt in der Grube betätigen – Fahrt darf nicht möglich sein. Erreichbarkeit von der Schachttür aus unter 11.4a erfassen.</t>
        </is>
      </c>
      <c r="H224" s="2" t="inlineStr"/>
      <c r="I224" s="2" t="inlineStr">
        <is>
          <t>MF-G03</t>
        </is>
      </c>
    </row>
    <row r="225">
      <c r="A225" s="4" t="inlineStr">
        <is>
          <t>qg_nothalt_aussen</t>
        </is>
      </c>
      <c r="B225" s="4" t="inlineStr">
        <is>
          <t>11.4a</t>
        </is>
      </c>
      <c r="C225" s="4" t="inlineStr">
        <is>
          <t>G – Schachtgrube</t>
        </is>
      </c>
      <c r="D225" s="4" t="inlineStr">
        <is>
          <t>Notbremsschalter von der Schachttür aus erreichbar?</t>
        </is>
      </c>
      <c r="E225" s="4" t="inlineStr">
        <is>
          <t>YES_NO</t>
        </is>
      </c>
      <c r="F225" s="4" t="inlineStr"/>
      <c r="G225" s="4" t="inlineStr"/>
      <c r="H225" s="4" t="inlineStr">
        <is>
          <t>11.4 Notbremsschalter in der Schachtgrube vorhanden? = Ja</t>
        </is>
      </c>
      <c r="I225" s="4" t="inlineStr">
        <is>
          <t>MF-G03</t>
        </is>
      </c>
    </row>
    <row r="226">
      <c r="A226" s="2" t="inlineStr">
        <is>
          <t>qg_nothalt_zwei</t>
        </is>
      </c>
      <c r="B226" s="2" t="inlineStr">
        <is>
          <t>11.4b</t>
        </is>
      </c>
      <c r="C226" s="2" t="inlineStr">
        <is>
          <t>G – Schachtgrube</t>
        </is>
      </c>
      <c r="D226" s="2" t="inlineStr">
        <is>
          <t>Bei Grubentiefe über 1,60 m: zweiter Notbremsschalter am Grubenboden vorhanden?</t>
        </is>
      </c>
      <c r="E226" s="2" t="inlineStr">
        <is>
          <t>YES_NO</t>
        </is>
      </c>
      <c r="F226" s="2" t="inlineStr"/>
      <c r="G226" s="2" t="inlineStr"/>
      <c r="H226" s="2" t="inlineStr">
        <is>
          <t>(11.4 Notbremsschalter in der Schachtgrube vorhanden? = Ja UND 11.1 Schachtgrubentiefe über 1,60 m? = Ja)</t>
        </is>
      </c>
      <c r="I226" s="2" t="inlineStr">
        <is>
          <t>MF-G03</t>
        </is>
      </c>
    </row>
    <row r="227">
      <c r="A227" s="4" t="inlineStr">
        <is>
          <t>qg_inspektion</t>
        </is>
      </c>
      <c r="B227" s="4" t="inlineStr">
        <is>
          <t>11.5</t>
        </is>
      </c>
      <c r="C227" s="4" t="inlineStr">
        <is>
          <t>G – Schachtgrube</t>
        </is>
      </c>
      <c r="D227" s="4" t="inlineStr">
        <is>
          <t>Inspektionssteuerung in der Schachtgrube vorhanden?</t>
        </is>
      </c>
      <c r="E227" s="4" t="inlineStr">
        <is>
          <t>YES_NO</t>
        </is>
      </c>
      <c r="F227" s="4" t="inlineStr"/>
      <c r="G227" s="4" t="inlineStr"/>
      <c r="H227" s="4" t="inlineStr"/>
      <c r="I227" s="4" t="inlineStr">
        <is>
          <t>MF-G03</t>
        </is>
      </c>
    </row>
    <row r="228">
      <c r="A228" s="2" t="inlineStr">
        <is>
          <t>qg_zugangstuer</t>
        </is>
      </c>
      <c r="B228" s="2" t="inlineStr">
        <is>
          <t>11.7</t>
        </is>
      </c>
      <c r="C228" s="2" t="inlineStr">
        <is>
          <t>G – Schachtgrube</t>
        </is>
      </c>
      <c r="D228" s="2" t="inlineStr">
        <is>
          <t>Zugang zur Grube über eine separate Grubenzugangstür (ebenerdig, ohne Abstieg über eine Leiter)?</t>
        </is>
      </c>
      <c r="E228" s="2" t="inlineStr">
        <is>
          <t>YES_NO</t>
        </is>
      </c>
      <c r="F228" s="2" t="inlineStr"/>
      <c r="G228" s="2" t="inlineStr">
        <is>
          <t>Zuerst die Zugangsart klären: Nur wenn der Zugang über eine Leiter erfolgt, werden die Leiterfragen gestellt (TRBS 3121 Anh. 1 Nr. 6 a/b).</t>
        </is>
      </c>
      <c r="H228" s="2" t="inlineStr"/>
      <c r="I228" s="2" t="inlineStr">
        <is>
          <t>MF-G04</t>
        </is>
      </c>
    </row>
    <row r="229">
      <c r="A229" s="4" t="inlineStr">
        <is>
          <t>qg_leiter</t>
        </is>
      </c>
      <c r="B229" s="4" t="inlineStr">
        <is>
          <t>11.6</t>
        </is>
      </c>
      <c r="C229" s="4" t="inlineStr">
        <is>
          <t>G – Schachtgrube</t>
        </is>
      </c>
      <c r="D229" s="4" t="inlineStr">
        <is>
          <t>Grubenleiter</t>
        </is>
      </c>
      <c r="E229" s="4" t="inlineStr">
        <is>
          <t>SELECT</t>
        </is>
      </c>
      <c r="F229" s="4" t="inlineStr">
        <is>
          <t>Fest installierte Grubenleiter
Mobile Leiter im Schacht deponiert
Grubenleiter vorhanden, aber schwer erreichbar
Leiter beim Kunden deponiert
Leiter wird im Kundendienstfahrzeug mitgeführt
Keine Grubenleiter</t>
        </is>
      </c>
      <c r="G229" s="4" t="inlineStr"/>
      <c r="H229" s="4" t="inlineStr">
        <is>
          <t>11.7 Zugang zur Grube über eine separate Grubenzugangstür (ebenerdig, ohne Abstieg über eine Leiter)? = Nein</t>
        </is>
      </c>
      <c r="I229" s="4" t="inlineStr">
        <is>
          <t>MF-G04</t>
        </is>
      </c>
    </row>
    <row r="230">
      <c r="A230" s="2" t="inlineStr">
        <is>
          <t>qg_zugangstuer_schalter</t>
        </is>
      </c>
      <c r="B230" s="2" t="inlineStr">
        <is>
          <t>11.7a</t>
        </is>
      </c>
      <c r="C230" s="2" t="inlineStr">
        <is>
          <t>G – Schachtgrube</t>
        </is>
      </c>
      <c r="D230" s="2" t="inlineStr">
        <is>
          <t>Elektrische Sicherheitseinrichtung an der Grubenzugangstür?</t>
        </is>
      </c>
      <c r="E230" s="2" t="inlineStr">
        <is>
          <t>YES_NO</t>
        </is>
      </c>
      <c r="F230" s="2" t="inlineStr"/>
      <c r="G230" s="2" t="inlineStr"/>
      <c r="H230" s="2" t="inlineStr">
        <is>
          <t>11.7 Zugang zur Grube über eine separate Grubenzugangstür (ebenerdig, ohne Abstieg über eine Leiter)? = Ja</t>
        </is>
      </c>
      <c r="I230" s="2" t="inlineStr">
        <is>
          <t>MF-G04</t>
        </is>
      </c>
    </row>
    <row r="231">
      <c r="A231" s="4" t="inlineStr">
        <is>
          <t>qg_selbstbefreiung</t>
        </is>
      </c>
      <c r="B231" s="4" t="inlineStr">
        <is>
          <t>11.8</t>
        </is>
      </c>
      <c r="C231" s="4" t="inlineStr">
        <is>
          <t>G – Schachtgrube</t>
        </is>
      </c>
      <c r="D231" s="4" t="inlineStr">
        <is>
          <t>Selbstbefreiung aus der Grube über die Schachttür möglich (Verschluss innerhalb 1,80 m Höhe / 0,80 m horizontal)?</t>
        </is>
      </c>
      <c r="E231" s="4" t="inlineStr">
        <is>
          <t>YES_NO</t>
        </is>
      </c>
      <c r="F231" s="4" t="inlineStr"/>
      <c r="G231" s="4" t="inlineStr"/>
      <c r="H231" s="4" t="inlineStr"/>
      <c r="I231" s="4" t="inlineStr">
        <is>
          <t>MF-G05</t>
        </is>
      </c>
    </row>
    <row r="232">
      <c r="A232" s="2" t="inlineStr">
        <is>
          <t>qg_notruf</t>
        </is>
      </c>
      <c r="B232" s="2" t="inlineStr">
        <is>
          <t>11.9</t>
        </is>
      </c>
      <c r="C232" s="2" t="inlineStr">
        <is>
          <t>G – Schachtgrube</t>
        </is>
      </c>
      <c r="D232" s="2" t="inlineStr">
        <is>
          <t>Notrufeinrichtung in der Schachtgrube vorhanden?</t>
        </is>
      </c>
      <c r="E232" s="2" t="inlineStr">
        <is>
          <t>YES_NO</t>
        </is>
      </c>
      <c r="F232" s="2" t="inlineStr"/>
      <c r="G232" s="2" t="inlineStr"/>
      <c r="H232" s="2" t="inlineStr"/>
      <c r="I232" s="2" t="inlineStr">
        <is>
          <t>MF-G05</t>
        </is>
      </c>
    </row>
    <row r="233">
      <c r="A233" s="4" t="inlineStr">
        <is>
          <t>qg_puffer</t>
        </is>
      </c>
      <c r="B233" s="4" t="inlineStr">
        <is>
          <t>11.10</t>
        </is>
      </c>
      <c r="C233" s="4" t="inlineStr">
        <is>
          <t>G – Schachtgrube</t>
        </is>
      </c>
      <c r="D233" s="4" t="inlineStr">
        <is>
          <t>Puffer für Fahrkorb und Gegengewicht vorhanden?</t>
        </is>
      </c>
      <c r="E233" s="4" t="inlineStr">
        <is>
          <t>YES_NO</t>
        </is>
      </c>
      <c r="F233" s="4" t="inlineStr"/>
      <c r="G233" s="4" t="inlineStr">
        <is>
          <t>Sichtprüfung: Puffer unter Fahrkorb und Gegengewicht vorhanden und fest verankert.</t>
        </is>
      </c>
      <c r="H233" s="4" t="inlineStr"/>
      <c r="I233" s="4" t="inlineStr">
        <is>
          <t>MF-G06</t>
        </is>
      </c>
    </row>
    <row r="234">
      <c r="A234" s="2" t="inlineStr">
        <is>
          <t>qg_puffer_zustand</t>
        </is>
      </c>
      <c r="B234" s="2" t="inlineStr">
        <is>
          <t>11.10a</t>
        </is>
      </c>
      <c r="C234" s="2" t="inlineStr">
        <is>
          <t>G – Schachtgrube</t>
        </is>
      </c>
      <c r="D234" s="2" t="inlineStr">
        <is>
          <t>Zustand der Puffer</t>
        </is>
      </c>
      <c r="E234" s="2" t="inlineStr">
        <is>
          <t>SELECT</t>
        </is>
      </c>
      <c r="F234" s="2" t="inlineStr">
        <is>
          <t>Fest verankert, unbeschädigt und funktionsfähig
Verschleiß ohne Beeinträchtigung der Funktion (Oberflächenrisse, Verhärtung, Korrosion)
Beschädigung oder Funktionsverlust (Puffer lose oder gerissen, hydraulischer Puffer ohne Öl oder ohne Rückstellung)</t>
        </is>
      </c>
      <c r="G234" s="2" t="inlineStr">
        <is>
          <t>Regelprüfung 20.09.2026: Aus der Ja/Nein-Frage „unbeschädigt und nicht verschlissen?" geworden. Sie fasste Verschleiß und Funktionsverlust zusammen und belegte beides mit Hoch samt Stilllegung der gesamten Anlage – bei bloßem Alterungsverschleiß mit erhaltener Funktion ist das unverhältnismäßig. Maßgeblich ist die Funktion: Ein gerissener oder loser Puffer, ein hydraulischer Puffer ohne Öl oder ohne Rückstellung ist Funktionsverlust; Oberflächenrisse, Verhärtung und Korrosion am sonst festen, funktionsfähigen Puffer sind Verschleiß. Im Zweifel „Beschädigung oder Funktionsverlust".</t>
        </is>
      </c>
      <c r="H234" s="2" t="inlineStr">
        <is>
          <t>11.10 Puffer für Fahrkorb und Gegengewicht vorhanden? = Ja</t>
        </is>
      </c>
      <c r="I234" s="2" t="inlineStr">
        <is>
          <t>MF-G06</t>
        </is>
      </c>
    </row>
    <row r="235">
      <c r="A235" s="4" t="inlineStr">
        <is>
          <t>qg_puffer_art</t>
        </is>
      </c>
      <c r="B235" s="4" t="inlineStr">
        <is>
          <t>11.10b</t>
        </is>
      </c>
      <c r="C235" s="4" t="inlineStr">
        <is>
          <t>G – Schachtgrube</t>
        </is>
      </c>
      <c r="D235" s="4" t="inlineStr">
        <is>
          <t>Bauart der Puffer</t>
        </is>
      </c>
      <c r="E235" s="4" t="inlineStr">
        <is>
          <t>SELECT</t>
        </is>
      </c>
      <c r="F235" s="4" t="inlineStr">
        <is>
          <t>Energiespeichernd (Feder / Polyurethan)
Energieverzehrend (hydraulisch)</t>
        </is>
      </c>
      <c r="G235" s="4" t="inlineStr"/>
      <c r="H235" s="4" t="inlineStr">
        <is>
          <t>11.10 Puffer für Fahrkorb und Gegengewicht vorhanden? = Ja</t>
        </is>
      </c>
      <c r="I235" s="4" t="inlineStr">
        <is>
          <t>MF-G06</t>
        </is>
      </c>
    </row>
    <row r="236">
      <c r="A236" s="2" t="inlineStr">
        <is>
          <t>qg_puffer_oelstand</t>
        </is>
      </c>
      <c r="B236" s="2" t="inlineStr">
        <is>
          <t>11.10c</t>
        </is>
      </c>
      <c r="C236" s="2" t="inlineStr">
        <is>
          <t>G – Schachtgrube</t>
        </is>
      </c>
      <c r="D236" s="2" t="inlineStr">
        <is>
          <t>Ölstand hydraulischer Puffer prüfbar (Schauglas, Peilstab oder gleichwertig)?</t>
        </is>
      </c>
      <c r="E236" s="2" t="inlineStr">
        <is>
          <t>YES_NO</t>
        </is>
      </c>
      <c r="F236" s="2" t="inlineStr"/>
      <c r="G236" s="2" t="inlineStr">
        <is>
          <t>Regelprüfung 20.09.2026: Aus der früheren Doppelfrage „Ölstand prüfbar UND Kennzeichnung vorhanden" herausgelöst. Der nicht prüfbare Ölstand lässt die Funktion des Sicherheitsbauteils unbelegt (Mittel); die fehlende Kennzeichnung ist ein Mangel ohne unmittelbaren Gefährdungsbeitrag und steht jetzt unter 11.10d (Niedrig).</t>
        </is>
      </c>
      <c r="H236" s="2" t="inlineStr">
        <is>
          <t>11.10b Bauart der Puffer = „Energieverzehrend (hydraulisch)"</t>
        </is>
      </c>
      <c r="I236" s="2" t="inlineStr">
        <is>
          <t>MF-G06</t>
        </is>
      </c>
    </row>
    <row r="237">
      <c r="A237" s="4" t="inlineStr">
        <is>
          <t>qg_puffer_kennz</t>
        </is>
      </c>
      <c r="B237" s="4" t="inlineStr">
        <is>
          <t>11.10d</t>
        </is>
      </c>
      <c r="C237" s="4" t="inlineStr">
        <is>
          <t>G – Schachtgrube</t>
        </is>
      </c>
      <c r="D237" s="4" t="inlineStr">
        <is>
          <t>Hydraulische Puffer gekennzeichnet (Typ, Füllmenge bzw. Ölsorte, zulässiger Ölstand)?</t>
        </is>
      </c>
      <c r="E237" s="4" t="inlineStr">
        <is>
          <t>YES_NO</t>
        </is>
      </c>
      <c r="F237" s="4" t="inlineStr"/>
      <c r="G237" s="4" t="inlineStr">
        <is>
          <t>Regelprüfung 20.09.2026: Aus 11.10c herausgelöst; eigener Befund mit Stufe Niedrig.</t>
        </is>
      </c>
      <c r="H237" s="4" t="inlineStr">
        <is>
          <t>11.10b Bauart der Puffer = „Energieverzehrend (hydraulisch)"</t>
        </is>
      </c>
      <c r="I237" s="4" t="inlineStr">
        <is>
          <t>MF-G06</t>
        </is>
      </c>
    </row>
    <row r="238">
      <c r="A238" s="2" t="inlineStr">
        <is>
          <t>qg_gg_abtrennung</t>
        </is>
      </c>
      <c r="B238" s="2" t="inlineStr">
        <is>
          <t>11.11</t>
        </is>
      </c>
      <c r="C238" s="2" t="inlineStr">
        <is>
          <t>G – Schachtgrube</t>
        </is>
      </c>
      <c r="D238" s="2" t="inlineStr">
        <is>
          <t>Abtrennung der Gegengewichtsfahrbahn in der Grube</t>
        </is>
      </c>
      <c r="E238" s="2" t="inlineStr">
        <is>
          <t>SELECT</t>
        </is>
      </c>
      <c r="F238" s="2" t="inlineStr">
        <is>
          <t>Vollwandig oder engmaschig, normgerechte Höhe
Vorhanden, aber zu niedrig oder grobmaschig
Keine Abtrennung</t>
        </is>
      </c>
      <c r="G238" s="2" t="inlineStr">
        <is>
          <t>Messen: Abtrennung von höchstens 0,30 m bis mindestens 2,0 m über der Schachtgrubensohle, in der Breite des Gegengewichts (TRBS 3121 Anh. 1 Nr. 2).</t>
        </is>
      </c>
      <c r="H238" s="2" t="inlineStr">
        <is>
          <t>(3.1 Aufzugsart in [„Seil-/Riemenaufzug (Treibscheibe)", „Trommel- oder Kettenaufzug", „Seil-Hydraulikaufzug (indirekt)"] UND 3.1b Gegengewicht oder Ausgleichsgewicht vorhanden? = Ja)</t>
        </is>
      </c>
      <c r="I238" s="2" t="inlineStr">
        <is>
          <t>MF-G07</t>
        </is>
      </c>
    </row>
    <row r="239">
      <c r="A239" s="4" t="inlineStr">
        <is>
          <t>qg_gg_fuellung</t>
        </is>
      </c>
      <c r="B239" s="4" t="inlineStr">
        <is>
          <t>11.12</t>
        </is>
      </c>
      <c r="C239" s="4" t="inlineStr">
        <is>
          <t>G – Schachtgrube</t>
        </is>
      </c>
      <c r="D239" s="4" t="inlineStr">
        <is>
          <t>Gegengewichtsfüllung gegen Herausfallen gesichert (Rahmen)?</t>
        </is>
      </c>
      <c r="E239" s="4" t="inlineStr">
        <is>
          <t>YES_NO</t>
        </is>
      </c>
      <c r="F239" s="4" t="inlineStr"/>
      <c r="G239" s="4" t="inlineStr"/>
      <c r="H239" s="4" t="inlineStr">
        <is>
          <t>(3.1 Aufzugsart in [„Seil-/Riemenaufzug (Treibscheibe)", „Trommel- oder Kettenaufzug", „Seil-Hydraulikaufzug (indirekt)"] UND 3.1b Gegengewicht oder Ausgleichsgewicht vorhanden? = Ja)</t>
        </is>
      </c>
      <c r="I239" s="4" t="inlineStr">
        <is>
          <t>MF-G07</t>
        </is>
      </c>
    </row>
    <row r="240">
      <c r="A240" s="2" t="inlineStr">
        <is>
          <t>qg_gg_fang</t>
        </is>
      </c>
      <c r="B240" s="2" t="inlineStr">
        <is>
          <t>11.13</t>
        </is>
      </c>
      <c r="C240" s="2" t="inlineStr">
        <is>
          <t>G – Schachtgrube</t>
        </is>
      </c>
      <c r="D240" s="2" t="inlineStr">
        <is>
          <t>Fangvorrichtung am Gegengewicht (oder durchgehendes Fundament) bei betretbarem Raum unter der Grube?</t>
        </is>
      </c>
      <c r="E240" s="2" t="inlineStr">
        <is>
          <t>YES_NO</t>
        </is>
      </c>
      <c r="F240" s="2" t="inlineStr"/>
      <c r="G240" s="2" t="inlineStr"/>
      <c r="H240" s="2" t="inlineStr">
        <is>
          <t>((3.1 Aufzugsart in [„Seil-/Riemenaufzug (Treibscheibe)", „Trommel- oder Kettenaufzug", „Seil-Hydraulikaufzug (indirekt)"] UND 3.1b Gegengewicht oder Ausgleichsgewicht vorhanden? = Ja) UND 4.8a Betretbarer Raum unterhalb der Schachtgrube? = Ja)</t>
        </is>
      </c>
      <c r="I240" s="2" t="inlineStr">
        <is>
          <t>MF-G07</t>
        </is>
      </c>
    </row>
    <row r="241">
      <c r="A241" s="4" t="inlineStr">
        <is>
          <t>qg_nachbar_abtrennung</t>
        </is>
      </c>
      <c r="B241" s="4" t="inlineStr">
        <is>
          <t>11.14</t>
        </is>
      </c>
      <c r="C241" s="4" t="inlineStr">
        <is>
          <t>G – Schachtgrube</t>
        </is>
      </c>
      <c r="D241" s="4" t="inlineStr">
        <is>
          <t>Abtrennung zum Nachbaraufzug in der Schachtgrube vorhanden?</t>
        </is>
      </c>
      <c r="E241" s="4" t="inlineStr">
        <is>
          <t>YES_NO</t>
        </is>
      </c>
      <c r="F241" s="4" t="inlineStr"/>
      <c r="G241" s="4" t="inlineStr"/>
      <c r="H241" s="4" t="inlineStr">
        <is>
          <t>4.8 Mehrere Aufzüge in einem gemeinsamen Schacht? = Ja</t>
        </is>
      </c>
      <c r="I241" s="4" t="inlineStr">
        <is>
          <t>MF-G08</t>
        </is>
      </c>
    </row>
    <row r="242">
      <c r="A242" s="2" t="inlineStr">
        <is>
          <t>qg_nachbar_abschaltung</t>
        </is>
      </c>
      <c r="B242" s="2" t="inlineStr">
        <is>
          <t>11.14a</t>
        </is>
      </c>
      <c r="C242" s="2" t="inlineStr">
        <is>
          <t>G – Schachtgrube</t>
        </is>
      </c>
      <c r="D242" s="2" t="inlineStr">
        <is>
          <t>Einrichtung zum automatischen Abschalten des Nachbaraufzugs bei Arbeiten in der Schachtgrube vorhanden?</t>
        </is>
      </c>
      <c r="E242" s="2" t="inlineStr">
        <is>
          <t>YES_NO</t>
        </is>
      </c>
      <c r="F242" s="2" t="inlineStr"/>
      <c r="G242" s="2" t="inlineStr"/>
      <c r="H242" s="2" t="inlineStr">
        <is>
          <t>(4.8 Mehrere Aufzüge in einem gemeinsamen Schacht? = Ja UND 11.14 Abtrennung zum Nachbaraufzug in der Schachtgrube vorhanden? = Nein)</t>
        </is>
      </c>
      <c r="I242" s="2" t="inlineStr">
        <is>
          <t>MF-G08</t>
        </is>
      </c>
    </row>
    <row r="243">
      <c r="A243" s="4" t="inlineStr">
        <is>
          <t>qg_nachbar_abschaltung_geprueft</t>
        </is>
      </c>
      <c r="B243" s="4" t="inlineStr">
        <is>
          <t>11.14b</t>
        </is>
      </c>
      <c r="C243" s="4" t="inlineStr">
        <is>
          <t>G – Schachtgrube</t>
        </is>
      </c>
      <c r="D243" s="4" t="inlineStr">
        <is>
          <t>Automatische Abschaltung in der Funktion geprüft, alle Nachbaranlagen erfasst und Wirkung bei Inspektions- und Rückholbetrieb bestätigt?</t>
        </is>
      </c>
      <c r="E243" s="4" t="inlineStr">
        <is>
          <t>YES_NO</t>
        </is>
      </c>
      <c r="F243" s="4" t="inlineStr"/>
      <c r="G243" s="4" t="inlineStr"/>
      <c r="H243" s="4" t="inlineStr">
        <is>
          <t>11.14a Einrichtung zum automatischen Abschalten des Nachbaraufzugs bei Arbeiten in der Schachtgrube vorhanden? = Ja</t>
        </is>
      </c>
      <c r="I243" s="4" t="inlineStr">
        <is>
          <t>MF-G08</t>
        </is>
      </c>
    </row>
    <row r="244">
      <c r="A244" s="2" t="inlineStr">
        <is>
          <t>qg_wasser</t>
        </is>
      </c>
      <c r="B244" s="2" t="inlineStr">
        <is>
          <t>11.15</t>
        </is>
      </c>
      <c r="C244" s="2" t="inlineStr">
        <is>
          <t>G – Schachtgrube</t>
        </is>
      </c>
      <c r="D244" s="2" t="inlineStr">
        <is>
          <t>Wasser oder Feuchtigkeit in der Schachtgrube</t>
        </is>
      </c>
      <c r="E244" s="2" t="inlineStr">
        <is>
          <t>SELECT</t>
        </is>
      </c>
      <c r="F244" s="2" t="inlineStr">
        <is>
          <t>Keine Feuchtigkeit erkennbar
Nur Feuchte oder Kondensat ohne Kontakt zu Bauteilen
Stehendes Wasser in der Grube bzw. Wasser an elektrischen oder sicherheitsrelevanten Bauteilen
Umfang nicht beurteilbar</t>
        </is>
      </c>
      <c r="G244" s="2" t="inlineStr">
        <is>
          <t>Regelprüfung 20.09.2026: Aus der Ja/Nein-Frage „Wasser ODER Feuchtigkeit" geworden. Sie ordnete ausnahmslos Hoch mit Außerbetriebnahme an; feuchte Grubenwände und Kondensat sind in Altschächten aber der Regelfall und rechtfertigen keine Stilllegung. Maßgeblich ist der Kontakt zu Bauteilen: Stehendes Wasser an Puffern, Fangvorrichtung, Grubenschalter oder Leitungen bleibt Hoch – ebenso der nicht beurteilbare Umfang (fail-closed). Die Abgrenzung entspricht der bereits geschärften Frage 15.23a für den Bereich außerhalb der Grube.</t>
        </is>
      </c>
      <c r="H244" s="2" t="inlineStr"/>
      <c r="I244" s="2" t="inlineStr">
        <is>
          <t>MF-U07</t>
        </is>
      </c>
    </row>
    <row r="245">
      <c r="A245" s="4" t="inlineStr">
        <is>
          <t>qg_oel</t>
        </is>
      </c>
      <c r="B245" s="4" t="inlineStr">
        <is>
          <t>11.16</t>
        </is>
      </c>
      <c r="C245" s="4" t="inlineStr">
        <is>
          <t>G – Schachtgrube</t>
        </is>
      </c>
      <c r="D245" s="4" t="inlineStr">
        <is>
          <t>Öl oder wassergefährdende Stoffe in der Grube ohne Auffangmöglichkeit?</t>
        </is>
      </c>
      <c r="E245" s="4" t="inlineStr">
        <is>
          <t>YES_NO</t>
        </is>
      </c>
      <c r="F245" s="4" t="inlineStr"/>
      <c r="G245" s="4" t="inlineStr"/>
      <c r="H245" s="4" t="inlineStr"/>
      <c r="I245" s="4" t="inlineStr">
        <is>
          <t>MF-U07</t>
        </is>
      </c>
    </row>
    <row r="246">
      <c r="A246" s="2" t="inlineStr">
        <is>
          <t>qg_asbest</t>
        </is>
      </c>
      <c r="B246" s="2" t="inlineStr">
        <is>
          <t>11.20</t>
        </is>
      </c>
      <c r="C246" s="2" t="inlineStr">
        <is>
          <t>G – Schachtgrube</t>
        </is>
      </c>
      <c r="D246" s="2" t="inlineStr">
        <is>
          <t>Asbesthaltige oder andere schädliche Baustoffe in der Schachtgrube (Bremsbeläge, Dichtungen, Brandschutzplatten, Isolierungen)?</t>
        </is>
      </c>
      <c r="E246" s="2" t="inlineStr">
        <is>
          <t>YES_NO</t>
        </is>
      </c>
      <c r="F246" s="2" t="inlineStr"/>
      <c r="G246" s="2" t="inlineStr"/>
      <c r="H246" s="2" t="inlineStr"/>
      <c r="I246" s="2" t="inlineStr">
        <is>
          <t>MF-U01</t>
        </is>
      </c>
    </row>
    <row r="247">
      <c r="A247" s="4" t="inlineStr">
        <is>
          <t>qg_verschmutzung</t>
        </is>
      </c>
      <c r="B247" s="4" t="inlineStr">
        <is>
          <t>11.21</t>
        </is>
      </c>
      <c r="C247" s="4" t="inlineStr">
        <is>
          <t>G – Schachtgrube</t>
        </is>
      </c>
      <c r="D247" s="4" t="inlineStr">
        <is>
          <t>Erhebliche Verschmutzungen (Taubenkot, Unrat, Schimmel, Ablagerungen) in der Schachtgrube?</t>
        </is>
      </c>
      <c r="E247" s="4" t="inlineStr">
        <is>
          <t>YES_NO</t>
        </is>
      </c>
      <c r="F247" s="4" t="inlineStr"/>
      <c r="G247" s="4" t="inlineStr"/>
      <c r="H247" s="4" t="inlineStr"/>
      <c r="I247" s="4" t="inlineStr">
        <is>
          <t>MF-U02</t>
        </is>
      </c>
    </row>
    <row r="248">
      <c r="A248" s="2" t="inlineStr">
        <is>
          <t>qg_brennbar_lager</t>
        </is>
      </c>
      <c r="B248" s="2" t="inlineStr">
        <is>
          <t>11.22</t>
        </is>
      </c>
      <c r="C248" s="2" t="inlineStr">
        <is>
          <t>G – Schachtgrube</t>
        </is>
      </c>
      <c r="D248" s="2" t="inlineStr">
        <is>
          <t>Lagerung brennbarer oder leicht entzündlicher Stoffe in der Schachtgrube?</t>
        </is>
      </c>
      <c r="E248" s="2" t="inlineStr">
        <is>
          <t>YES_NO</t>
        </is>
      </c>
      <c r="F248" s="2" t="inlineStr"/>
      <c r="G248" s="2" t="inlineStr"/>
      <c r="H248" s="2" t="inlineStr"/>
      <c r="I248" s="2" t="inlineStr">
        <is>
          <t>MF-U03</t>
        </is>
      </c>
    </row>
    <row r="249">
      <c r="A249" s="4" t="inlineStr">
        <is>
          <t>qg_asbest_zustand</t>
        </is>
      </c>
      <c r="B249" s="4" t="inlineStr">
        <is>
          <t>11.20a</t>
        </is>
      </c>
      <c r="C249" s="4" t="inlineStr">
        <is>
          <t>G – Schachtgrube</t>
        </is>
      </c>
      <c r="D249" s="4" t="inlineStr">
        <is>
          <t>Zustand des Fundes in der Schachtgrube</t>
        </is>
      </c>
      <c r="E249" s="4" t="inlineStr">
        <is>
          <t>SELECT</t>
        </is>
      </c>
      <c r="F249" s="4" t="inlineStr">
        <is>
          <t>Fest gebunden und unbeschädigt (z. B. Asbestzementplatte, Dichtung, Brandschutzplatte ohne Bruchstellen)
Schwach gebunden, beschädigt oder abriebbelastet (Bruchstellen, Abrieb, Staubablagerungen)
Zustand nicht beurteilbar</t>
        </is>
      </c>
      <c r="G249" s="4" t="inlineStr">
        <is>
          <t>Bewertet wird der Zustand, nicht die Menge. Fest gebunden und unbeschädigt heißt: keine Bruch-, Bohr- oder Schleifstellen, keine Abplatzungen, keine Staubablagerungen mit Abriebanteil. Im Zweifel „Zustand nicht beurteilbar" wählen – das ergibt dieselbe Einstufung wie ein beschädigter Fund. Die Zuordnung ersetzt keine Probenahme. Ablagerungen und Staub mit Abriebanteil in der Grube gehören zu „schwach gebunden, beschädigt oder abriebbelastet" – Feuchte und Ablagerungen setzen beschädigtes Material dort eher frei.</t>
        </is>
      </c>
      <c r="H249" s="4" t="inlineStr">
        <is>
          <t>11.20 Asbesthaltige oder andere schädliche Baustoffe in der Schachtgrube (Bremsbeläge, Dichtungen, Brandschutzplatten, Isolierungen)? = Ja</t>
        </is>
      </c>
      <c r="I249" s="4" t="inlineStr">
        <is>
          <t>MF-U01</t>
        </is>
      </c>
    </row>
    <row r="250">
      <c r="A250" s="2" t="inlineStr">
        <is>
          <t>qt_verriegelung_elektrisch</t>
        </is>
      </c>
      <c r="B250" s="2" t="inlineStr">
        <is>
          <t>7.1</t>
        </is>
      </c>
      <c r="C250" s="2" t="inlineStr">
        <is>
          <t>T – Schachttüren und Fahrkorbtür</t>
        </is>
      </c>
      <c r="D250" s="2" t="inlineStr">
        <is>
          <t>Schachttürverriegelung vom Sicherheitskreis elektrisch überwacht?</t>
        </is>
      </c>
      <c r="E250" s="2" t="inlineStr">
        <is>
          <t>YES_NO</t>
        </is>
      </c>
      <c r="F250" s="2" t="inlineStr"/>
      <c r="G250" s="2" t="inlineStr">
        <is>
          <t>Prüfen: Tür bei Fahrkorb außerhalb der Zone öffnen lassen bzw. Kontakt am Verriegelungsbolzen kontrollieren – die Fahrt darf erst bei eingegriffenem Riegel möglich sein (Riegelkontakt im Sicherheitskreis). Nein bei reinen Türkontakten ohne Riegelüberwachung.</t>
        </is>
      </c>
      <c r="H250" s="2" t="inlineStr"/>
      <c r="I250" s="2" t="inlineStr">
        <is>
          <t>MF-T01</t>
        </is>
      </c>
    </row>
    <row r="251">
      <c r="A251" s="4" t="inlineStr">
        <is>
          <t>qt_fehlschliess</t>
        </is>
      </c>
      <c r="B251" s="4" t="inlineStr">
        <is>
          <t>7.2</t>
        </is>
      </c>
      <c r="C251" s="4" t="inlineStr">
        <is>
          <t>T – Schachttüren und Fahrkorbtür</t>
        </is>
      </c>
      <c r="D251" s="4" t="inlineStr">
        <is>
          <t>Fehlschließsicherung / Nachschließeinrichtung an den Schachttüren vorhanden?</t>
        </is>
      </c>
      <c r="E251" s="4" t="inlineStr">
        <is>
          <t>YES_NO</t>
        </is>
      </c>
      <c r="F251" s="4" t="inlineStr"/>
      <c r="G251" s="4" t="inlineStr">
        <is>
          <t>Prüfen: Tür mit Hindernis nicht vollständig schließen lassen – die Anlage darf nicht anfahren; die Tür muss selbsttätig nachschließen.</t>
        </is>
      </c>
      <c r="H251" s="4" t="inlineStr"/>
      <c r="I251" s="4" t="inlineStr">
        <is>
          <t>MF-T01</t>
        </is>
      </c>
    </row>
    <row r="252">
      <c r="A252" s="2" t="inlineStr">
        <is>
          <t>qt_selbstschliessend</t>
        </is>
      </c>
      <c r="B252" s="2" t="inlineStr">
        <is>
          <t>7.3</t>
        </is>
      </c>
      <c r="C252" s="2" t="inlineStr">
        <is>
          <t>T – Schachttüren und Fahrkorbtür</t>
        </is>
      </c>
      <c r="D252" s="2" t="inlineStr">
        <is>
          <t>Schachttüren selbstschließend (Feder oder Gewicht)?</t>
        </is>
      </c>
      <c r="E252" s="2" t="inlineStr">
        <is>
          <t>YES_NO</t>
        </is>
      </c>
      <c r="F252" s="2" t="inlineStr"/>
      <c r="G252" s="2" t="inlineStr">
        <is>
          <t>Prüfen: Schachttür bei Fahrkorb außerhalb der Zone mit Notentriegelung öffnen und loslassen – sie muss durch Feder oder Gewicht selbsttätig schließen.</t>
        </is>
      </c>
      <c r="H252" s="2" t="inlineStr"/>
      <c r="I252" s="2" t="inlineStr">
        <is>
          <t>MF-T03</t>
        </is>
      </c>
    </row>
    <row r="253">
      <c r="A253" s="4" t="inlineStr">
        <is>
          <t>qt_schliesst_nach_notentriegelung</t>
        </is>
      </c>
      <c r="B253" s="4" t="inlineStr">
        <is>
          <t>7.4</t>
        </is>
      </c>
      <c r="C253" s="4" t="inlineStr">
        <is>
          <t>T – Schachttüren und Fahrkorbtür</t>
        </is>
      </c>
      <c r="D253" s="4" t="inlineStr">
        <is>
          <t>Schließt die Schachttür nach einer Notentriegelung selbsttätig?</t>
        </is>
      </c>
      <c r="E253" s="4" t="inlineStr">
        <is>
          <t>YES_NO</t>
        </is>
      </c>
      <c r="F253" s="4" t="inlineStr"/>
      <c r="G253" s="4" t="inlineStr">
        <is>
          <t>Wie 7.3, aber vollständig bis zur Verriegelung: Nach dem Loslassen muss der Riegel wieder eingreifen. Bei jeder Haltestelle prüfen; eine einzige Abweichung = Nein.</t>
        </is>
      </c>
      <c r="H253" s="4" t="inlineStr"/>
      <c r="I253" s="4" t="inlineStr">
        <is>
          <t>MF-T03</t>
        </is>
      </c>
    </row>
    <row r="254">
      <c r="A254" s="2" t="inlineStr">
        <is>
          <t>qt_notentriegelung_alle</t>
        </is>
      </c>
      <c r="B254" s="2" t="inlineStr">
        <is>
          <t>7.5</t>
        </is>
      </c>
      <c r="C254" s="2" t="inlineStr">
        <is>
          <t>T – Schachttüren und Fahrkorbtür</t>
        </is>
      </c>
      <c r="D254" s="2" t="inlineStr">
        <is>
          <t>Notentriegelung an allen Schachttüren vorhanden?</t>
        </is>
      </c>
      <c r="E254" s="2" t="inlineStr">
        <is>
          <t>YES_NO</t>
        </is>
      </c>
      <c r="F254" s="2" t="inlineStr"/>
      <c r="G254" s="2" t="inlineStr">
        <is>
          <t>An jeder Schachttür prüfen, ob die Notentriegelung vorhanden und mit dem hinterlegten Schlüssel bedienbar ist.</t>
        </is>
      </c>
      <c r="H254" s="2" t="inlineStr"/>
      <c r="I254" s="2" t="inlineStr">
        <is>
          <t>MF-T02</t>
        </is>
      </c>
    </row>
    <row r="255">
      <c r="A255" s="4" t="inlineStr">
        <is>
          <t>qt_notentriegelung_hoehe</t>
        </is>
      </c>
      <c r="B255" s="4" t="inlineStr">
        <is>
          <t>7.7</t>
        </is>
      </c>
      <c r="C255" s="4" t="inlineStr">
        <is>
          <t>T – Schachttüren und Fahrkorbtür</t>
        </is>
      </c>
      <c r="D255" s="4" t="inlineStr">
        <is>
          <t>Notentriegelung erreichbar (max. 2,00 m über Boden im Türblatt bzw. 2,70 m im Rahmen mit langem Schlüssel)?</t>
        </is>
      </c>
      <c r="E255" s="4" t="inlineStr">
        <is>
          <t>YES_NO</t>
        </is>
      </c>
      <c r="F255" s="4" t="inlineStr"/>
      <c r="G255" s="4" t="inlineStr"/>
      <c r="H255" s="4" t="inlineStr">
        <is>
          <t>7.5 Notentriegelung an allen Schachttüren vorhanden? = Ja</t>
        </is>
      </c>
      <c r="I255" s="4" t="inlineStr">
        <is>
          <t>MF-T02</t>
        </is>
      </c>
    </row>
    <row r="256">
      <c r="A256" s="2" t="inlineStr">
        <is>
          <t>qt_glas_normgerecht</t>
        </is>
      </c>
      <c r="B256" s="2" t="inlineStr">
        <is>
          <t>7.8</t>
        </is>
      </c>
      <c r="C256" s="2" t="inlineStr">
        <is>
          <t>T – Schachttüren und Fahrkorbtür</t>
        </is>
      </c>
      <c r="D256" s="2" t="inlineStr">
        <is>
          <t>Glaseinsätze in Schacht-/Fahrkorbtüren aus normgerechtem Glas (Verbundsicherheitsglas nach EN 81-20 5.3.5.3)?</t>
        </is>
      </c>
      <c r="E256" s="2" t="inlineStr">
        <is>
          <t>YES_NO</t>
        </is>
      </c>
      <c r="F256" s="2" t="inlineStr"/>
      <c r="G256" s="2" t="inlineStr">
        <is>
          <t>Nur die Glasart. Drahtglas wird unter 7.9 erfasst, Beschädigungen unter 7.8a.</t>
        </is>
      </c>
      <c r="H256" s="2" t="inlineStr">
        <is>
          <t>(4.1 Schachttüren mit Glas? = Ja ODER 4.3 Fahrkorbtüren mit Glas? = Ja)</t>
        </is>
      </c>
      <c r="I256" s="2" t="inlineStr">
        <is>
          <t>MF-T04</t>
        </is>
      </c>
    </row>
    <row r="257">
      <c r="A257" s="4" t="inlineStr">
        <is>
          <t>qt_glas_beschaedigt</t>
        </is>
      </c>
      <c r="B257" s="4" t="inlineStr">
        <is>
          <t>7.8a</t>
        </is>
      </c>
      <c r="C257" s="4" t="inlineStr">
        <is>
          <t>T – Schachttüren und Fahrkorbtür</t>
        </is>
      </c>
      <c r="D257" s="4" t="inlineStr">
        <is>
          <t>Glaseinsatz beschädigt, lose oder nicht sicher befestigt?</t>
        </is>
      </c>
      <c r="E257" s="4" t="inlineStr">
        <is>
          <t>YES_NO</t>
        </is>
      </c>
      <c r="F257" s="4" t="inlineStr"/>
      <c r="G257" s="4" t="inlineStr"/>
      <c r="H257" s="4" t="inlineStr">
        <is>
          <t>(4.1 Schachttüren mit Glas? = Ja ODER 4.3 Fahrkorbtüren mit Glas? = Ja)</t>
        </is>
      </c>
      <c r="I257" s="4" t="inlineStr">
        <is>
          <t>MF-T04</t>
        </is>
      </c>
    </row>
    <row r="258">
      <c r="A258" s="2" t="inlineStr">
        <is>
          <t>qt_glas_drahtglas</t>
        </is>
      </c>
      <c r="B258" s="2" t="inlineStr">
        <is>
          <t>7.9</t>
        </is>
      </c>
      <c r="C258" s="2" t="inlineStr">
        <is>
          <t>T – Schachttüren und Fahrkorbtür</t>
        </is>
      </c>
      <c r="D258" s="2" t="inlineStr">
        <is>
          <t>Ist das nicht normgerechte Glas ausschließlich Drahtglas (Gitterglas)?</t>
        </is>
      </c>
      <c r="E258" s="2" t="inlineStr">
        <is>
          <t>YES_NO</t>
        </is>
      </c>
      <c r="F258" s="2" t="inlineStr"/>
      <c r="G258" s="2" t="inlineStr">
        <is>
          <t>Ja nur, wenn außer Drahtglas kein weiteres nicht normgerechtes Glas (Float, ESG, unbekannt) verbaut ist. Bei gemischter oder unbekannter Verglasung: Nein. Regelprüfung 20.09.2026: 7.8 und 7.9 sind zwei unabhängige Fragen zur Anlage insgesamt; bei gemischter Verglasung (Drahtglas an einem Teil der Türen, Float oder ESG am anderen) ergab sich vorher 7.8 = Nein und 7.9 = Ja, der Hoch-Befund für das tatsächlich gefährliche Glas fiel weg und es blieb bei Niedrig – fail-open.</t>
        </is>
      </c>
      <c r="H258" s="2" t="inlineStr">
        <is>
          <t>(4.1 Schachttüren mit Glas? = Ja ODER 4.3 Fahrkorbtüren mit Glas? = Ja)</t>
        </is>
      </c>
      <c r="I258" s="2" t="inlineStr">
        <is>
          <t>MF-T04</t>
        </is>
      </c>
    </row>
    <row r="259">
      <c r="A259" s="4" t="inlineStr">
        <is>
          <t>qt_glas_schiebetuer</t>
        </is>
      </c>
      <c r="B259" s="4" t="inlineStr">
        <is>
          <t>7.9a</t>
        </is>
      </c>
      <c r="C259" s="4" t="inlineStr">
        <is>
          <t>T – Schachttüren und Fahrkorbtür</t>
        </is>
      </c>
      <c r="D259" s="4" t="inlineStr">
        <is>
          <t>Verglaste Türen als kraftbetätigte Schiebetüren ausgeführt?</t>
        </is>
      </c>
      <c r="E259" s="4" t="inlineStr">
        <is>
          <t>YES_NO</t>
        </is>
      </c>
      <c r="F259" s="4" t="inlineStr"/>
      <c r="G259" s="4" t="inlineStr"/>
      <c r="H259" s="4" t="inlineStr">
        <is>
          <t>(4.1 Schachttüren mit Glas? = Ja ODER 4.3 Fahrkorbtüren mit Glas? = Ja)</t>
        </is>
      </c>
      <c r="I259" s="4" t="inlineStr">
        <is>
          <t>MF-T04</t>
        </is>
      </c>
    </row>
    <row r="260">
      <c r="A260" s="2" t="inlineStr">
        <is>
          <t>qt_glas_flaeche_gross</t>
        </is>
      </c>
      <c r="B260" s="2" t="inlineStr">
        <is>
          <t>7.9b</t>
        </is>
      </c>
      <c r="C260" s="2" t="inlineStr">
        <is>
          <t>T – Schachttüren und Fahrkorbtür</t>
        </is>
      </c>
      <c r="D260" s="2" t="inlineStr">
        <is>
          <t>Glasflächen in den kraftbetätigten Schiebetüren größer als ein Sichtfenster nach DIN EN 81-20 5.3.7.2.1 a) (Breite über 150 mm)?</t>
        </is>
      </c>
      <c r="E260" s="2" t="inlineStr">
        <is>
          <t>YES_NO</t>
        </is>
      </c>
      <c r="F260" s="2" t="inlineStr"/>
      <c r="G260" s="2" t="inlineStr">
        <is>
          <t>Regelprüfung 20.09.2026: Am Normtext nachgeschlagen: DIN EN 81-20 5.3.7.2.1 a) 4) lässt für Sichtfenster eine Breite von mindestens 60 mm und höchstens 150 mm zu; 5.3.6.2.2.1 i) verlangt Maßnahmen gegen das Einziehen von Kinderhänden nur für selbsttätig kraftbetätigte Schiebetüren mit Glasscheiben, die GRÖSSER sind als dort angegeben. Eine kraftbetätigte Schiebetür mit bloßem Sichtfenster braucht den Einzugsschutz also nicht. Bei größeren Glasflächen oder wenn die Breite nicht sicher feststellbar ist: Ja – die Im-Zweifel-Ja-Regel hält die Auslegung fail-closed.</t>
        </is>
      </c>
      <c r="H260" s="2" t="inlineStr">
        <is>
          <t>((4.1 Schachttüren mit Glas? = Ja ODER 4.3 Fahrkorbtüren mit Glas? = Ja) UND 7.9a Verglaste Türen als kraftbetätigte Schiebetüren ausgeführt? = Ja)</t>
        </is>
      </c>
      <c r="I260" s="2" t="inlineStr">
        <is>
          <t>MF-T04</t>
        </is>
      </c>
    </row>
    <row r="261">
      <c r="A261" s="4" t="inlineStr">
        <is>
          <t>qt_glas_einzugsschutz</t>
        </is>
      </c>
      <c r="B261" s="4" t="inlineStr">
        <is>
          <t>7.10</t>
        </is>
      </c>
      <c r="C261" s="4" t="inlineStr">
        <is>
          <t>T – Schachttüren und Fahrkorbtür</t>
        </is>
      </c>
      <c r="D261" s="4" t="inlineStr">
        <is>
          <t>Schutz gegen Einziehen von Kinderhänden an Glas-Schiebetüren vorhanden (Sensorleiste, Abstand, Beschichtung)?</t>
        </is>
      </c>
      <c r="E261" s="4" t="inlineStr">
        <is>
          <t>YES_NO</t>
        </is>
      </c>
      <c r="F261" s="4" t="inlineStr"/>
      <c r="G261" s="4" t="inlineStr"/>
      <c r="H261" s="4" t="inlineStr">
        <is>
          <t>((4.1 Schachttüren mit Glas? = Ja ODER 4.3 Fahrkorbtüren mit Glas? = Ja) UND 7.9a Verglaste Türen als kraftbetätigte Schiebetüren ausgeführt? = Ja UND 7.9b Glasflächen in den kraftbetätigten Schiebetüren größer als ein Sichtfenster nach DIN EN 81-20 5.3.7.2.1 a) (Breite über 150 mm)? = Ja)</t>
        </is>
      </c>
      <c r="I261" s="4" t="inlineStr">
        <is>
          <t>MF-T04</t>
        </is>
      </c>
    </row>
    <row r="262">
      <c r="A262" s="2" t="inlineStr">
        <is>
          <t>qt_feuerwiderstand</t>
        </is>
      </c>
      <c r="B262" s="2" t="inlineStr">
        <is>
          <t>7.11</t>
        </is>
      </c>
      <c r="C262" s="2" t="inlineStr">
        <is>
          <t>T – Schachttüren und Fahrkorbtür</t>
        </is>
      </c>
      <c r="D262" s="2" t="inlineStr">
        <is>
          <t>Feuerwiderstandsfähigkeit der Schachttüren (EN 81-58 / bauaufsichtliche Anforderung)</t>
        </is>
      </c>
      <c r="E262" s="2" t="inlineStr">
        <is>
          <t>SELECT</t>
        </is>
      </c>
      <c r="F262" s="2" t="inlineStr">
        <is>
          <t>Nachgewiesen (Zertifikat vorhanden)
Nicht gefordert (kein Brandschutzerfordernis)
Unbekannt / kein Nachweis
Gefordert, aber nicht gegeben</t>
        </is>
      </c>
      <c r="G262" s="2" t="inlineStr"/>
      <c r="H262" s="2" t="inlineStr"/>
      <c r="I262" s="2" t="inlineStr">
        <is>
          <t>MF-T05</t>
        </is>
      </c>
    </row>
    <row r="263">
      <c r="A263" s="4" t="inlineStr">
        <is>
          <t>qt_fk_tuer_automatisch</t>
        </is>
      </c>
      <c r="B263" s="4" t="inlineStr">
        <is>
          <t>8.7</t>
        </is>
      </c>
      <c r="C263" s="4" t="inlineStr">
        <is>
          <t>T – Schachttüren und Fahrkorbtür</t>
        </is>
      </c>
      <c r="D263" s="4" t="inlineStr">
        <is>
          <t>Fahrkorbtür kraftbetätigt (automatisch)?</t>
        </is>
      </c>
      <c r="E263" s="4" t="inlineStr">
        <is>
          <t>YES_NO</t>
        </is>
      </c>
      <c r="F263" s="4" t="inlineStr"/>
      <c r="G263" s="4" t="inlineStr">
        <is>
          <t>Steuerfrage für 8.8: Eine Schließkantensicherung ist nur bei kraftbetätigten Türen gefordert (EN 81-20 5.3.6.2). Handbetätigte Dreh- oder Schiebetüren brauchen keine (Prüfbericht 20.09.2026).</t>
        </is>
      </c>
      <c r="H263" s="4" t="inlineStr">
        <is>
          <t>8.6 Fahrkorbabschlusstür vorhanden? = Ja</t>
        </is>
      </c>
      <c r="I263" s="4" t="inlineStr">
        <is>
          <t>MF-T06</t>
        </is>
      </c>
    </row>
    <row r="264">
      <c r="A264" s="2" t="inlineStr">
        <is>
          <t>qt_schliesskante</t>
        </is>
      </c>
      <c r="B264" s="2" t="inlineStr">
        <is>
          <t>8.8</t>
        </is>
      </c>
      <c r="C264" s="2" t="inlineStr">
        <is>
          <t>T – Schachttüren und Fahrkorbtür</t>
        </is>
      </c>
      <c r="D264" s="2" t="inlineStr">
        <is>
          <t>Schließkantensicherung der Fahrkorbtür</t>
        </is>
      </c>
      <c r="E264" s="2" t="inlineStr">
        <is>
          <t>SELECT</t>
        </is>
      </c>
      <c r="F264" s="2" t="inlineStr">
        <is>
          <t>Lichtgitter / Lichtvorhang (vollflächige Personenerkennung)
Einzel-Lichtschranke mit Kraftbegrenzung 150 N / 10 J (ältere Ausführung)
Umsteuereinrichtung (Schachtdrehtür)
Andere Schließkantensicherung (Bauart dokumentieren)
Keine Schließkantensicherung</t>
        </is>
      </c>
      <c r="G264" s="2" t="inlineStr">
        <is>
          <t>Lichtgitter = mehrstrahlige Erkennung über die Türhöhe. Einzel-Lichtschranke nur bei nachgewiesener Kraftbegrenzung (150 N) und kinetischer Energie ≤ 10 J wählen, sonst „Keine Schließkantensicherung“.</t>
        </is>
      </c>
      <c r="H264" s="2" t="inlineStr">
        <is>
          <t>(8.6 Fahrkorbabschlusstür vorhanden? = Ja UND 8.7 Fahrkorbtür kraftbetätigt (automatisch)? = Ja)</t>
        </is>
      </c>
      <c r="I264" s="2" t="inlineStr">
        <is>
          <t>MF-T06</t>
        </is>
      </c>
    </row>
    <row r="265">
      <c r="A265" s="4" t="inlineStr">
        <is>
          <t>qt_lichtgitter_ohne_tuer</t>
        </is>
      </c>
      <c r="B265" s="4" t="inlineStr">
        <is>
          <t>8.9</t>
        </is>
      </c>
      <c r="C265" s="4" t="inlineStr">
        <is>
          <t>T – Schachttüren und Fahrkorbtür</t>
        </is>
      </c>
      <c r="D265" s="4" t="inlineStr">
        <is>
          <t>Ohne Fahrkorbtür: Sicherheitslichtgitter vorhanden?</t>
        </is>
      </c>
      <c r="E265" s="4" t="inlineStr">
        <is>
          <t>YES_NO</t>
        </is>
      </c>
      <c r="F265" s="4" t="inlineStr"/>
      <c r="G265" s="4" t="inlineStr"/>
      <c r="H265" s="4" t="inlineStr">
        <is>
          <t>8.6 Fahrkorbabschlusstür vorhanden? = Nein</t>
        </is>
      </c>
      <c r="I265" s="4" t="inlineStr">
        <is>
          <t>MF-T06</t>
        </is>
      </c>
    </row>
    <row r="266">
      <c r="A266" s="2" t="inlineStr">
        <is>
          <t>qt_scherengitter</t>
        </is>
      </c>
      <c r="B266" s="2" t="inlineStr">
        <is>
          <t>8.9a</t>
        </is>
      </c>
      <c r="C266" s="2" t="inlineStr">
        <is>
          <t>T – Schachttüren und Fahrkorbtür</t>
        </is>
      </c>
      <c r="D266" s="2" t="inlineStr">
        <is>
          <t>Ohne Fahrkorbtür: Scherengitter vorhanden?</t>
        </is>
      </c>
      <c r="E266" s="2" t="inlineStr">
        <is>
          <t>YES_NO</t>
        </is>
      </c>
      <c r="F266" s="2" t="inlineStr"/>
      <c r="G266" s="2" t="inlineStr"/>
      <c r="H266" s="2" t="inlineStr">
        <is>
          <t>8.6 Fahrkorbabschlusstür vorhanden? = Nein</t>
        </is>
      </c>
      <c r="I266" s="2" t="inlineStr">
        <is>
          <t>MF-T06</t>
        </is>
      </c>
    </row>
    <row r="267">
      <c r="A267" s="4" t="inlineStr">
        <is>
          <t>qt_flaeche_unter_schwelle</t>
        </is>
      </c>
      <c r="B267" s="4" t="inlineStr">
        <is>
          <t>7.12</t>
        </is>
      </c>
      <c r="C267" s="4" t="inlineStr">
        <is>
          <t>T – Schachttüren und Fahrkorbtür</t>
        </is>
      </c>
      <c r="D267" s="4" t="inlineStr">
        <is>
          <t>Schachtwand unterhalb der Schachttürschwelle (vertikale Fläche zur Entriegelungszone)</t>
        </is>
      </c>
      <c r="E267" s="4" t="inlineStr">
        <is>
          <t>SELECT</t>
        </is>
      </c>
      <c r="F267" s="4" t="inlineStr">
        <is>
          <t>Durchgehende, glatte und harte vertikale Fläche in voller Höhe und Breite (EN 81-20 5.2.5.3.2)
Vorhanden, aber mit Mängeln (Vorsprünge über 5 mm, zu geringe Höhe oder Breite, nachgiebig, offene Fugen)
Keine geschlossene Fläche (offene Konstruktion, Gitter, Mauerwerk mit Absätzen)</t>
        </is>
      </c>
      <c r="G267" s="4" t="inlineStr">
        <is>
          <t>Schützt beim Verlassen des Fahrkorbs außerhalb der Haltestelle vor Absturz und vor dem Einklemmen zwischen Fahrkorbschwelle und Schachtwand. Gefordert sind mindestens die halbe Entriegelungszone + 50 mm Höhe und die lichte Zugangsbreite + 25 mm je Seite.</t>
        </is>
      </c>
      <c r="H267" s="4" t="inlineStr"/>
      <c r="I267" s="4" t="inlineStr">
        <is>
          <t>MF-T07</t>
        </is>
      </c>
    </row>
    <row r="268">
      <c r="A268" s="2" t="inlineStr">
        <is>
          <t>qt_rueckhaltung_tuerblatt</t>
        </is>
      </c>
      <c r="B268" s="2" t="inlineStr">
        <is>
          <t>7.13</t>
        </is>
      </c>
      <c r="C268" s="2" t="inlineStr">
        <is>
          <t>T – Schachttüren und Fahrkorbtür</t>
        </is>
      </c>
      <c r="D268" s="2" t="inlineStr">
        <is>
          <t>Rückhalteeinrichtungen an den horizontal bewegten Schacht-Schiebetüren vorhanden (Türblatt bleibt in seiner Lage, wenn ein Führungselement versagt)?</t>
        </is>
      </c>
      <c r="E268" s="2" t="inlineStr">
        <is>
          <t>YES_NO</t>
        </is>
      </c>
      <c r="F268" s="2" t="inlineStr"/>
      <c r="G268" s="2" t="inlineStr">
        <is>
          <t>EN 81-20 5.3.5.3.2. Auch die Aufhängung/Befestigung selbst prüfen: Ein Türblatt, das aus der Führung fällt, gibt den Schacht frei.</t>
        </is>
      </c>
      <c r="H268" s="2" t="inlineStr"/>
      <c r="I268" s="2" t="inlineStr">
        <is>
          <t>MF-T08</t>
        </is>
      </c>
    </row>
    <row r="269">
      <c r="A269" s="4" t="inlineStr">
        <is>
          <t>qt_fuehrung_tuerblatt_ok</t>
        </is>
      </c>
      <c r="B269" s="4" t="inlineStr">
        <is>
          <t>7.13a</t>
        </is>
      </c>
      <c r="C269" s="4" t="inlineStr">
        <is>
          <t>T – Schachttüren und Fahrkorbtür</t>
        </is>
      </c>
      <c r="D269" s="4" t="inlineStr">
        <is>
          <t>Führungselemente, Hänger und Befestigungen der Türblätter unbeschädigt und ohne auffälliges Spiel?</t>
        </is>
      </c>
      <c r="E269" s="4" t="inlineStr">
        <is>
          <t>YES_NO</t>
        </is>
      </c>
      <c r="F269" s="4" t="inlineStr"/>
      <c r="G269" s="4" t="inlineStr"/>
      <c r="H269" s="4" t="inlineStr"/>
      <c r="I269" s="4" t="inlineStr">
        <is>
          <t>MF-T08</t>
        </is>
      </c>
    </row>
    <row r="270">
      <c r="A270" s="2" t="inlineStr">
        <is>
          <t>qt_tuer_mehrteilig</t>
        </is>
      </c>
      <c r="B270" s="2" t="inlineStr">
        <is>
          <t>7.14</t>
        </is>
      </c>
      <c r="C270" s="2" t="inlineStr">
        <is>
          <t>T – Schachttüren und Fahrkorbtür</t>
        </is>
      </c>
      <c r="D270" s="2" t="inlineStr">
        <is>
          <t>Schachttüren mehrteilig (Teleskop- oder Mitteltür mit mehreren Türblättern)?</t>
        </is>
      </c>
      <c r="E270" s="2" t="inlineStr">
        <is>
          <t>YES_NO</t>
        </is>
      </c>
      <c r="F270" s="2" t="inlineStr"/>
      <c r="G270" s="2" t="inlineStr"/>
      <c r="H270" s="2" t="inlineStr"/>
      <c r="I270" s="2" t="inlineStr">
        <is>
          <t>MF-T09</t>
        </is>
      </c>
    </row>
    <row r="271">
      <c r="A271" s="4" t="inlineStr">
        <is>
          <t>qt_tuerblatt_verbindung</t>
        </is>
      </c>
      <c r="B271" s="4" t="inlineStr">
        <is>
          <t>7.14a</t>
        </is>
      </c>
      <c r="C271" s="4" t="inlineStr">
        <is>
          <t>T – Schachttüren und Fahrkorbtür</t>
        </is>
      </c>
      <c r="D271" s="4" t="inlineStr">
        <is>
          <t>Verbindung der Türblätter mehrteiliger Schachttüren</t>
        </is>
      </c>
      <c r="E271" s="4" t="inlineStr">
        <is>
          <t>SELECT</t>
        </is>
      </c>
      <c r="F271" s="4" t="inlineStr">
        <is>
          <t>Unmittelbar mechanisch verbunden (Ineinandergreifen, Blechumkantung, Verriegelungselemente am Hänger)
Mittelbar verbunden (Seil, Riemen, Kette); Schließstellung der nicht verriegelten Türblätter elektrisch überwacht, keine Griffe
Mittelbar verbunden, Schließstellung der übrigen Türblätter nicht überwacht
Keine wirksame Verbindung; nur ein Türblatt verriegelt</t>
        </is>
      </c>
      <c r="G271" s="4" t="inlineStr">
        <is>
          <t>EN 81-20 5.3.11: Die Verbindung gilt als Teil der Verriegelung und muss auch bei Bruch eines Führungselements halten.</t>
        </is>
      </c>
      <c r="H271" s="4" t="inlineStr">
        <is>
          <t>7.14 Schachttüren mehrteilig (Teleskop- oder Mitteltür mit mehreren Türblättern)? = Ja</t>
        </is>
      </c>
      <c r="I271" s="4" t="inlineStr">
        <is>
          <t>MF-T09</t>
        </is>
      </c>
    </row>
    <row r="272">
      <c r="A272" s="2" t="inlineStr">
        <is>
          <t>qk_notruf_vorhanden</t>
        </is>
      </c>
      <c r="B272" s="2" t="inlineStr">
        <is>
          <t>8.1</t>
        </is>
      </c>
      <c r="C272" s="2" t="inlineStr">
        <is>
          <t>K – Fahrkorb</t>
        </is>
      </c>
      <c r="D272" s="2" t="inlineStr">
        <is>
          <t>Notrufeinrichtung im Fahrkorb vorhanden?</t>
        </is>
      </c>
      <c r="E272" s="2" t="inlineStr">
        <is>
          <t>YES_NO</t>
        </is>
      </c>
      <c r="F272" s="2" t="inlineStr"/>
      <c r="G272" s="2" t="inlineStr">
        <is>
          <t>Prüfen: Notruf aus dem Fahrkorb auslösen und Verbindung bis zur Notrufstelle nachverfolgen.</t>
        </is>
      </c>
      <c r="H272" s="2" t="inlineStr"/>
      <c r="I272" s="2" t="inlineStr">
        <is>
          <t>MF-K01</t>
        </is>
      </c>
    </row>
    <row r="273">
      <c r="A273" s="4" t="inlineStr">
        <is>
          <t>qk_notruf_art</t>
        </is>
      </c>
      <c r="B273" s="4" t="inlineStr">
        <is>
          <t>8.2</t>
        </is>
      </c>
      <c r="C273" s="4" t="inlineStr">
        <is>
          <t>K – Fahrkorb</t>
        </is>
      </c>
      <c r="D273" s="4" t="inlineStr">
        <is>
          <t>Art der Notrufeinrichtung</t>
        </is>
      </c>
      <c r="E273" s="4" t="inlineStr">
        <is>
          <t>SELECT</t>
        </is>
      </c>
      <c r="F273" s="4" t="inlineStr">
        <is>
          <t>Sprechverbindung zu ständig besetzter Stelle
Klingel zu ständig besetzter Stelle
Sprechverbindung oder Klingel zu nicht ständig besetzter Stelle
Klingel im Schacht ohne Weiterleitung</t>
        </is>
      </c>
      <c r="G273" s="4" t="inlineStr">
        <is>
          <t>Nach dem tatsächlichen Empfänger einstufen, nicht nach der Beschriftung des Tasters. Klingel im Gebäude ohne ständig besetzte Stelle = „nicht ständig besetzt“.</t>
        </is>
      </c>
      <c r="H273" s="4" t="inlineStr">
        <is>
          <t>8.1 Notrufeinrichtung im Fahrkorb vorhanden? = Ja</t>
        </is>
      </c>
      <c r="I273" s="4" t="inlineStr">
        <is>
          <t>MF-K01</t>
        </is>
      </c>
    </row>
    <row r="274">
      <c r="A274" s="2" t="inlineStr">
        <is>
          <t>qk_notruf_24h</t>
        </is>
      </c>
      <c r="B274" s="2" t="inlineStr">
        <is>
          <t>8.3</t>
        </is>
      </c>
      <c r="C274" s="2" t="inlineStr">
        <is>
          <t>K – Fahrkorb</t>
        </is>
      </c>
      <c r="D274" s="2" t="inlineStr">
        <is>
          <t>Nachweis: Notruf auf eine rund um die Uhr besetzte Stelle aufgeschaltet (Aufschaltbestätigung, Testruf)?</t>
        </is>
      </c>
      <c r="E274" s="2" t="inlineStr">
        <is>
          <t>YES_NO</t>
        </is>
      </c>
      <c r="F274" s="2" t="inlineStr"/>
      <c r="G274" s="2" t="inlineStr">
        <is>
          <t>Nur, wenn unter 8.2 eine ständig besetzte Stelle angegeben ist – 8.3 ist deren Nachweis. Bei „nicht ständig besetzt" oder „Klingel im Schacht" ist der Mangel bereits unter 8.2 erfasst (Prüfbericht 20.09.2026).</t>
        </is>
      </c>
      <c r="H274" s="2" t="inlineStr">
        <is>
          <t>8.2 Art der Notrufeinrichtung in [„Sprechverbindung zu ständig besetzter Stelle", „Klingel zu ständig besetzter Stelle"]</t>
        </is>
      </c>
      <c r="I274" s="2" t="inlineStr">
        <is>
          <t>MF-K01</t>
        </is>
      </c>
    </row>
    <row r="275">
      <c r="A275" s="4" t="inlineStr">
        <is>
          <t>qk_notbeleuchtung</t>
        </is>
      </c>
      <c r="B275" s="4" t="inlineStr">
        <is>
          <t>8.5</t>
        </is>
      </c>
      <c r="C275" s="4" t="inlineStr">
        <is>
          <t>K – Fahrkorb</t>
        </is>
      </c>
      <c r="D275" s="4" t="inlineStr">
        <is>
          <t>Notbeleuchtung im Fahrkorb</t>
        </is>
      </c>
      <c r="E275" s="4" t="inlineStr">
        <is>
          <t>SELECT</t>
        </is>
      </c>
      <c r="F275" s="4" t="inlineStr">
        <is>
          <t>Leuchte mit Netzersatzfunktion (mind. 5 Lux, 1 h)
Keine Notbeleuchtung, aber beleuchteter Notruftaster
Keine Notbeleuchtung</t>
        </is>
      </c>
      <c r="G275" s="4" t="inlineStr">
        <is>
          <t>Prüfen: Netz abschalten (Hauptschalter der Fahrkorbbeleuchtung) – die Notbeleuchtung muss selbsttätig einschalten. Ein nur beleuchteter Notruftaster ist keine Notbeleuchtung.</t>
        </is>
      </c>
      <c r="H275" s="4" t="inlineStr"/>
      <c r="I275" s="4" t="inlineStr">
        <is>
          <t>MF-K02</t>
        </is>
      </c>
    </row>
    <row r="276">
      <c r="A276" s="2" t="inlineStr">
        <is>
          <t>qk_stufe_mm</t>
        </is>
      </c>
      <c r="B276" s="2" t="inlineStr">
        <is>
          <t>8.10</t>
        </is>
      </c>
      <c r="C276" s="2" t="inlineStr">
        <is>
          <t>K – Fahrkorb</t>
        </is>
      </c>
      <c r="D276" s="2" t="inlineStr">
        <is>
          <t>Größte Stufenbildung / Haltegenauigkeit an den Haltestellen</t>
        </is>
      </c>
      <c r="E276" s="2" t="inlineStr">
        <is>
          <t>SELECT</t>
        </is>
      </c>
      <c r="F276" s="2" t="inlineStr">
        <is>
          <t>≤ 10 mm
11–20 mm
über 20 mm</t>
        </is>
      </c>
      <c r="G276" s="2" t="inlineStr">
        <is>
          <t>Regelgrenzen 10 mm und 20 mm (DIN EN 81-20 5.12.1.1.4: Anhaltegenauigkeit ± 10 mm). Vorbelegung aus dem ZÜS-Prüfbericht (Hauptprüfung Nr. 5, Haltegenauigkeit in allen Etagen). Messwert optional im Feld daneben.</t>
        </is>
      </c>
      <c r="H276" s="2" t="inlineStr"/>
      <c r="I276" s="2" t="inlineStr">
        <is>
          <t>MF-K03</t>
        </is>
      </c>
    </row>
    <row r="277">
      <c r="A277" s="4" t="inlineStr">
        <is>
          <t>qk_stufe_mm_wert</t>
        </is>
      </c>
      <c r="B277" s="4" t="inlineStr">
        <is>
          <t>8.10m</t>
        </is>
      </c>
      <c r="C277" s="4" t="inlineStr">
        <is>
          <t>K – Fahrkorb</t>
        </is>
      </c>
      <c r="D277" s="4" t="inlineStr">
        <is>
          <t>Stufenbildung gemessen [mm]</t>
        </is>
      </c>
      <c r="E277" s="4" t="inlineStr">
        <is>
          <t>NUMBER</t>
        </is>
      </c>
      <c r="F277" s="4" t="inlineStr"/>
      <c r="G277" s="4" t="inlineStr">
        <is>
          <t>Dokumentation des Messwerts; die Bewertung nimmt die Bereichsauswahl.</t>
        </is>
      </c>
      <c r="H277" s="4" t="inlineStr"/>
      <c r="I277" s="4" t="inlineStr">
        <is>
          <t>MF-K03</t>
        </is>
      </c>
    </row>
    <row r="278">
      <c r="A278" s="2" t="inlineStr">
        <is>
          <t>qk_schuerze_mm</t>
        </is>
      </c>
      <c r="B278" s="2" t="inlineStr">
        <is>
          <t>8.12</t>
        </is>
      </c>
      <c r="C278" s="2" t="inlineStr">
        <is>
          <t>K – Fahrkorb</t>
        </is>
      </c>
      <c r="D278" s="2" t="inlineStr">
        <is>
          <t>Fahrkorbtürschürze</t>
        </is>
      </c>
      <c r="E278" s="2" t="inlineStr">
        <is>
          <t>SELECT</t>
        </is>
      </c>
      <c r="F278" s="2" t="inlineStr">
        <is>
          <t>≥ 750 mm
300–749 mm
unter 300 mm oder keine Schürze</t>
        </is>
      </c>
      <c r="G278" s="2" t="inlineStr">
        <is>
          <t>Regelgrenzen 300 mm und 750 mm (DIN EN 81-20 5.4.5.2: vertikaler Teil mindestens 0,75 m; TRA 200 Nr. 245.1: 0,75 m, Güteraufzüge 0,3 m). Messwert optional im Feld daneben.</t>
        </is>
      </c>
      <c r="H278" s="2" t="inlineStr"/>
      <c r="I278" s="2" t="inlineStr">
        <is>
          <t>MF-K04</t>
        </is>
      </c>
    </row>
    <row r="279">
      <c r="A279" s="4" t="inlineStr">
        <is>
          <t>qk_schuerze_mm_wert</t>
        </is>
      </c>
      <c r="B279" s="4" t="inlineStr">
        <is>
          <t>8.12m</t>
        </is>
      </c>
      <c r="C279" s="4" t="inlineStr">
        <is>
          <t>K – Fahrkorb</t>
        </is>
      </c>
      <c r="D279" s="4" t="inlineStr">
        <is>
          <t>Schürzenlänge gemessen [mm]</t>
        </is>
      </c>
      <c r="E279" s="4" t="inlineStr">
        <is>
          <t>NUMBER</t>
        </is>
      </c>
      <c r="F279" s="4" t="inlineStr"/>
      <c r="G279" s="4" t="inlineStr">
        <is>
          <t>Dokumentation des Messwerts; die Bewertung nimmt die Bereichsauswahl.</t>
        </is>
      </c>
      <c r="H279" s="4" t="inlineStr"/>
      <c r="I279" s="4" t="inlineStr">
        <is>
          <t>MF-K04</t>
        </is>
      </c>
    </row>
    <row r="280">
      <c r="A280" s="2" t="inlineStr">
        <is>
          <t>qk_befreiung_nur_fachkundig</t>
        </is>
      </c>
      <c r="B280" s="2" t="inlineStr">
        <is>
          <t>8.13</t>
        </is>
      </c>
      <c r="C280" s="2" t="inlineStr">
        <is>
          <t>K – Fahrkorb</t>
        </is>
      </c>
      <c r="D280" s="2" t="inlineStr">
        <is>
          <t>Personenbefreiung ausschließlich durch fachkundige Personen (Betriebsanweisung, keine Selbstbefreiung durch Aufzugswärter)?</t>
        </is>
      </c>
      <c r="E280" s="2" t="inlineStr">
        <is>
          <t>YES_NO</t>
        </is>
      </c>
      <c r="F280" s="2" t="inlineStr"/>
      <c r="G280" s="2" t="inlineStr"/>
      <c r="H280" s="2" t="inlineStr">
        <is>
          <t>8.12 Fahrkorbtürschürze in [„unter 300 mm oder keine Schürze"]</t>
        </is>
      </c>
      <c r="I280" s="2" t="inlineStr">
        <is>
          <t>MF-K04</t>
        </is>
      </c>
    </row>
    <row r="281">
      <c r="A281" s="4" t="inlineStr">
        <is>
          <t>qk_abstand_schwelle_mm</t>
        </is>
      </c>
      <c r="B281" s="4" t="inlineStr">
        <is>
          <t>8.14</t>
        </is>
      </c>
      <c r="C281" s="4" t="inlineStr">
        <is>
          <t>K – Fahrkorb</t>
        </is>
      </c>
      <c r="D281" s="4" t="inlineStr">
        <is>
          <t>Abstand Fahrkorbschwelle – Schachtwand über 150 mm?</t>
        </is>
      </c>
      <c r="E281" s="4" t="inlineStr">
        <is>
          <t>YES_NO</t>
        </is>
      </c>
      <c r="F281" s="4" t="inlineStr"/>
      <c r="G281" s="4" t="inlineStr">
        <is>
          <t>Regelgrenze 150 mm (DIN EN 81-20 5.2.5.3.1: höchstens 0,15 m über die gesamte Schachthöhe). Nur bei Ja oder Unsicherheit messen; Messwert optional im Feld daneben.</t>
        </is>
      </c>
      <c r="H281" s="4" t="inlineStr"/>
      <c r="I281" s="4" t="inlineStr">
        <is>
          <t>MF-K05</t>
        </is>
      </c>
    </row>
    <row r="282">
      <c r="A282" s="2" t="inlineStr">
        <is>
          <t>qk_abstand_schwelle_mm_wert</t>
        </is>
      </c>
      <c r="B282" s="2" t="inlineStr">
        <is>
          <t>8.14m</t>
        </is>
      </c>
      <c r="C282" s="2" t="inlineStr">
        <is>
          <t>K – Fahrkorb</t>
        </is>
      </c>
      <c r="D282" s="2" t="inlineStr">
        <is>
          <t>Abstand gemessen [mm]</t>
        </is>
      </c>
      <c r="E282" s="2" t="inlineStr">
        <is>
          <t>NUMBER</t>
        </is>
      </c>
      <c r="F282" s="2" t="inlineStr"/>
      <c r="G282" s="2" t="inlineStr">
        <is>
          <t>Dokumentation des Messwerts; die Bewertung nimmt die Bereichsauswahl.</t>
        </is>
      </c>
      <c r="H282" s="2" t="inlineStr"/>
      <c r="I282" s="2" t="inlineStr">
        <is>
          <t>MF-K05</t>
        </is>
      </c>
    </row>
    <row r="283">
      <c r="A283" s="4" t="inlineStr">
        <is>
          <t>qk_fk_tuer_verriegelt</t>
        </is>
      </c>
      <c r="B283" s="4" t="inlineStr">
        <is>
          <t>8.15</t>
        </is>
      </c>
      <c r="C283" s="4" t="inlineStr">
        <is>
          <t>K – Fahrkorb</t>
        </is>
      </c>
      <c r="D283" s="4" t="inlineStr">
        <is>
          <t>Fahrkorbtür-Verriegelung (Fahrkorbtür außerhalb der Entriegelungszone verriegelt)?</t>
        </is>
      </c>
      <c r="E283" s="4" t="inlineStr">
        <is>
          <t>YES_NO</t>
        </is>
      </c>
      <c r="F283" s="4" t="inlineStr"/>
      <c r="G283" s="4" t="inlineStr">
        <is>
          <t>Prüfen: Fahrkorb außerhalb der Entriegelungszone anhalten und versuchen, die Fahrkorbtür von innen aufzuschieben – sie darf sich nicht öffnen lassen.</t>
        </is>
      </c>
      <c r="H283" s="4" t="inlineStr">
        <is>
          <t>8.14 Abstand Fahrkorbschwelle – Schachtwand über 150 mm? = Ja</t>
        </is>
      </c>
      <c r="I283" s="4" t="inlineStr">
        <is>
          <t>MF-K05</t>
        </is>
      </c>
    </row>
    <row r="284">
      <c r="A284" s="2" t="inlineStr">
        <is>
          <t>qk_schachttuer_zusatzverriegelung</t>
        </is>
      </c>
      <c r="B284" s="2" t="inlineStr">
        <is>
          <t>8.15a</t>
        </is>
      </c>
      <c r="C284" s="2" t="inlineStr">
        <is>
          <t>K – Fahrkorb</t>
        </is>
      </c>
      <c r="D284" s="2" t="inlineStr">
        <is>
          <t>Zusatzverriegelung an den Schachttüren vorhanden?</t>
        </is>
      </c>
      <c r="E284" s="2" t="inlineStr">
        <is>
          <t>YES_NO</t>
        </is>
      </c>
      <c r="F284" s="2" t="inlineStr"/>
      <c r="G284" s="2" t="inlineStr"/>
      <c r="H284" s="2" t="inlineStr">
        <is>
          <t>8.14 Abstand Fahrkorbschwelle – Schachtwand über 150 mm? = Ja</t>
        </is>
      </c>
      <c r="I284" s="2" t="inlineStr">
        <is>
          <t>MF-K05</t>
        </is>
      </c>
    </row>
    <row r="285">
      <c r="A285" s="4" t="inlineStr">
        <is>
          <t>qk_nennlast_gekennz</t>
        </is>
      </c>
      <c r="B285" s="4" t="inlineStr">
        <is>
          <t>8.16</t>
        </is>
      </c>
      <c r="C285" s="4" t="inlineStr">
        <is>
          <t>K – Fahrkorb</t>
        </is>
      </c>
      <c r="D285" s="4" t="inlineStr">
        <is>
          <t>Nennlast und zulässige Personenzahl im Fahrkorb gekennzeichnet?</t>
        </is>
      </c>
      <c r="E285" s="4" t="inlineStr">
        <is>
          <t>YES_NO</t>
        </is>
      </c>
      <c r="F285" s="4" t="inlineStr"/>
      <c r="G285" s="4" t="inlineStr"/>
      <c r="H285" s="4" t="inlineStr"/>
      <c r="I285" s="4" t="inlineStr">
        <is>
          <t>MF-K06</t>
        </is>
      </c>
    </row>
    <row r="286">
      <c r="A286" s="2" t="inlineStr">
        <is>
          <t>qk_nutzflaeche_ok</t>
        </is>
      </c>
      <c r="B286" s="2" t="inlineStr">
        <is>
          <t>8.17</t>
        </is>
      </c>
      <c r="C286" s="2" t="inlineStr">
        <is>
          <t>K – Fahrkorb</t>
        </is>
      </c>
      <c r="D286" s="2" t="inlineStr">
        <is>
          <t>Nutzfläche des Fahrkorbs passt zur Nennlast (Tabelle EN 81-20 5.4.2)?</t>
        </is>
      </c>
      <c r="E286" s="2" t="inlineStr">
        <is>
          <t>YES_NO</t>
        </is>
      </c>
      <c r="F286" s="2" t="inlineStr"/>
      <c r="G286" s="2" t="inlineStr"/>
      <c r="H286" s="2" t="inlineStr"/>
      <c r="I286" s="2" t="inlineStr">
        <is>
          <t>MF-K06</t>
        </is>
      </c>
    </row>
    <row r="287">
      <c r="A287" s="4" t="inlineStr">
        <is>
          <t>qk_ueberlast</t>
        </is>
      </c>
      <c r="B287" s="4" t="inlineStr">
        <is>
          <t>8.18</t>
        </is>
      </c>
      <c r="C287" s="4" t="inlineStr">
        <is>
          <t>K – Fahrkorb</t>
        </is>
      </c>
      <c r="D287" s="4" t="inlineStr">
        <is>
          <t>Überlastkontrolle / Lastmessung vorhanden?</t>
        </is>
      </c>
      <c r="E287" s="4" t="inlineStr">
        <is>
          <t>YES_NO</t>
        </is>
      </c>
      <c r="F287" s="4" t="inlineStr"/>
      <c r="G287" s="4" t="inlineStr"/>
      <c r="H287" s="4" t="inlineStr"/>
      <c r="I287" s="4" t="inlineStr">
        <is>
          <t>MF-K06</t>
        </is>
      </c>
    </row>
    <row r="288">
      <c r="A288" s="2" t="inlineStr">
        <is>
          <t>qk_ueberlast_geprueft</t>
        </is>
      </c>
      <c r="B288" s="2" t="inlineStr">
        <is>
          <t>8.18a</t>
        </is>
      </c>
      <c r="C288" s="2" t="inlineStr">
        <is>
          <t>K – Fahrkorb</t>
        </is>
      </c>
      <c r="D288" s="2" t="inlineStr">
        <is>
          <t>Funktion der Überlastkontrolle nachweislich geprüft?</t>
        </is>
      </c>
      <c r="E288" s="2" t="inlineStr">
        <is>
          <t>YES_NO</t>
        </is>
      </c>
      <c r="F288" s="2" t="inlineStr"/>
      <c r="G288" s="2" t="inlineStr"/>
      <c r="H288" s="2" t="inlineStr">
        <is>
          <t>8.18 Überlastkontrolle / Lastmessung vorhanden? = Ja</t>
        </is>
      </c>
      <c r="I288" s="2" t="inlineStr">
        <is>
          <t>MF-K06</t>
        </is>
      </c>
    </row>
    <row r="289">
      <c r="A289" s="4" t="inlineStr">
        <is>
          <t>qk_lueftung</t>
        </is>
      </c>
      <c r="B289" s="4" t="inlineStr">
        <is>
          <t>8.19</t>
        </is>
      </c>
      <c r="C289" s="4" t="inlineStr">
        <is>
          <t>K – Fahrkorb</t>
        </is>
      </c>
      <c r="D289" s="4" t="inlineStr">
        <is>
          <t>Lüftung des Fahrkorbs</t>
        </is>
      </c>
      <c r="E289" s="4" t="inlineStr">
        <is>
          <t>SELECT</t>
        </is>
      </c>
      <c r="F289" s="4" t="inlineStr">
        <is>
          <t>Lüftungsöffnungen ausreichend (≥ 1 % der Grundfläche) und frei
Lüftungsöffnungen teilweise verdeckt oder verschmutzt
Keine Zwangsbelüftung bei langen Fahrzeiten / hoher Belegung
Lüftungsöffnungen fehlen oder unzureichend</t>
        </is>
      </c>
      <c r="G289" s="4" t="inlineStr"/>
      <c r="H289" s="4" t="inlineStr"/>
      <c r="I289" s="4" t="inlineStr">
        <is>
          <t>MF-K07</t>
        </is>
      </c>
    </row>
    <row r="290">
      <c r="A290" s="2" t="inlineStr">
        <is>
          <t>qk_hinweis_brandfall</t>
        </is>
      </c>
      <c r="B290" s="2" t="inlineStr">
        <is>
          <t>8.20</t>
        </is>
      </c>
      <c r="C290" s="2" t="inlineStr">
        <is>
          <t>K – Fahrkorb</t>
        </is>
      </c>
      <c r="D290" s="2" t="inlineStr">
        <is>
          <t>Hinweisschild „Aufzug im Brandfall nicht benutzen" an allen Haltestellen vorhanden und lesbar?</t>
        </is>
      </c>
      <c r="E290" s="2" t="inlineStr">
        <is>
          <t>YES_NO</t>
        </is>
      </c>
      <c r="F290" s="2" t="inlineStr"/>
      <c r="G290" s="2" t="inlineStr"/>
      <c r="H290" s="2" t="inlineStr"/>
      <c r="I290" s="2" t="inlineStr">
        <is>
          <t>MF-K09</t>
        </is>
      </c>
    </row>
    <row r="291">
      <c r="A291" s="4" t="inlineStr">
        <is>
          <t>qk_bfs_vorhanden</t>
        </is>
      </c>
      <c r="B291" s="4" t="inlineStr">
        <is>
          <t>8.21</t>
        </is>
      </c>
      <c r="C291" s="4" t="inlineStr">
        <is>
          <t>K – Fahrkorb</t>
        </is>
      </c>
      <c r="D291" s="4" t="inlineStr">
        <is>
          <t>Brandfallsteuerung vorhanden?</t>
        </is>
      </c>
      <c r="E291" s="4" t="inlineStr">
        <is>
          <t>YES_NO</t>
        </is>
      </c>
      <c r="F291" s="4" t="inlineStr"/>
      <c r="G291" s="4" t="inlineStr">
        <is>
          <t>Nur das Vorhandensein. Wie sie ausgelöst wird, steht unter 8.21b – bisher war beides in einer Frage, sodass die Maßnahme „Brandfallsteuerung nachrüsten" auch dann erschien, wenn nur die Einbindung fehlte (Prüfbericht 20.09.2026).</t>
        </is>
      </c>
      <c r="H291" s="4" t="inlineStr">
        <is>
          <t>4.11 Fordert das Brandschutzkonzept des Gebäudes eine Brandfallsteuerung? = Ja</t>
        </is>
      </c>
      <c r="I291" s="4" t="inlineStr">
        <is>
          <t>MF-K08</t>
        </is>
      </c>
    </row>
    <row r="292">
      <c r="A292" s="2" t="inlineStr">
        <is>
          <t>qk_bfs_ausloesung</t>
        </is>
      </c>
      <c r="B292" s="2" t="inlineStr">
        <is>
          <t>8.21b</t>
        </is>
      </c>
      <c r="C292" s="2" t="inlineStr">
        <is>
          <t>K – Fahrkorb</t>
        </is>
      </c>
      <c r="D292" s="2" t="inlineStr">
        <is>
          <t>Auslösung der Brandfallsteuerung</t>
        </is>
      </c>
      <c r="E292" s="2" t="inlineStr">
        <is>
          <t>SELECT</t>
        </is>
      </c>
      <c r="F292" s="2" t="inlineStr">
        <is>
          <t>Automatisch über Branddetektion (Brandmelder im Aufzugsvorraum oder Brandmeldeanlage des Gebäudes)
Nur manuell (Schlüsselschalter, Taster, Feuerwehr) – keine automatische Auslösung durch Branddetektion
Einbindung in das Brandschutzkonzept unbekannt</t>
        </is>
      </c>
      <c r="G292" s="2" t="inlineStr">
        <is>
          <t>DIN EN 81-73: Die Brandfallsteuerung wird durch die Branddetektion ausgelöst. Eine nur manuelle Auslösung wirkt erst, wenn jemand vor Ort ist. Regelprüfung 20.09.2026: Die erste Option umfasst ausdrücklich auch Brandmelder im Aufzugsvorraum ohne gebäudeweite Brandmeldeanlage – dieser häufige Fall musste vorher als „nur manuell" erfasst werden und erzeugte einen Fehlbefund. Schreibt das Brandschutzkonzept ausdrücklich nur die manuelle Auslösung vor, ist das im Prüfbericht zu vermerken; die Abstimmung der Schnittstelle wird über 15.8a/15.8c bewertet.</t>
        </is>
      </c>
      <c r="H292" s="2" t="inlineStr">
        <is>
          <t>8.21 Brandfallsteuerung vorhanden? = Ja</t>
        </is>
      </c>
      <c r="I292" s="2" t="inlineStr">
        <is>
          <t>MF-K08</t>
        </is>
      </c>
    </row>
    <row r="293">
      <c r="A293" s="4" t="inlineStr">
        <is>
          <t>qk_bfs_geprueft</t>
        </is>
      </c>
      <c r="B293" s="4" t="inlineStr">
        <is>
          <t>8.21a</t>
        </is>
      </c>
      <c r="C293" s="4" t="inlineStr">
        <is>
          <t>K – Fahrkorb</t>
        </is>
      </c>
      <c r="D293" s="4" t="inlineStr">
        <is>
          <t>Funktion der Brandfallsteuerung regelmäßig geprüft (Nachweis der Wartung/Prüfung der Aufzugsanlage)?</t>
        </is>
      </c>
      <c r="E293" s="4" t="inlineStr">
        <is>
          <t>YES_NO</t>
        </is>
      </c>
      <c r="F293" s="4" t="inlineStr"/>
      <c r="G293" s="4" t="inlineStr">
        <is>
          <t>Funktionsprüfung der Aufzugs-Brandfallsteuerung. Die Wirk-Prinzip-Prüfung des Zusammenwirkens von Brandmeldeanlage und Aufzug (Gebäudeseite, Prüfverordnung der Länder) wird unter 15.8b erfasst.</t>
        </is>
      </c>
      <c r="H293" s="4" t="inlineStr">
        <is>
          <t>8.21 Brandfallsteuerung vorhanden? = Ja</t>
        </is>
      </c>
      <c r="I293" s="4" t="inlineStr">
        <is>
          <t>MF-K08</t>
        </is>
      </c>
    </row>
    <row r="294">
      <c r="A294" s="2" t="inlineStr">
        <is>
          <t>qk_en8170</t>
        </is>
      </c>
      <c r="B294" s="2" t="inlineStr">
        <is>
          <t>8.22</t>
        </is>
      </c>
      <c r="C294" s="2" t="inlineStr">
        <is>
          <t>K – Fahrkorb</t>
        </is>
      </c>
      <c r="D294" s="2" t="inlineStr">
        <is>
          <t>Anlage nach DIN EN 81-70 barrierefrei ausgeführt?</t>
        </is>
      </c>
      <c r="E294" s="2" t="inlineStr">
        <is>
          <t>YES_NO</t>
        </is>
      </c>
      <c r="F294" s="2" t="inlineStr"/>
      <c r="G294" s="2" t="inlineStr"/>
      <c r="H294" s="2" t="inlineStr">
        <is>
          <t>(4.9 Nutzung durch Personen mit eingeschränkter Mobilität (Rollstuhl, Rollator, Sehbehinderung) zu erwarten? = Ja ODER 4.9a Barrierefreie Ausführung gefordert (Baugenehmigung, Nutzungskonzept, öffentlich zugängliches Gebäude)? = Ja)</t>
        </is>
      </c>
      <c r="I294" s="2" t="inlineStr">
        <is>
          <t>MF-K10</t>
        </is>
      </c>
    </row>
    <row r="295">
      <c r="A295" s="4" t="inlineStr">
        <is>
          <t>qk_bedienelemente</t>
        </is>
      </c>
      <c r="B295" s="4" t="inlineStr">
        <is>
          <t>8.23</t>
        </is>
      </c>
      <c r="C295" s="4" t="inlineStr">
        <is>
          <t>K – Fahrkorb</t>
        </is>
      </c>
      <c r="D295" s="4" t="inlineStr">
        <is>
          <t>Bedienelemente in erreichbarer Höhe und ertastbar?</t>
        </is>
      </c>
      <c r="E295" s="4" t="inlineStr">
        <is>
          <t>YES_NO</t>
        </is>
      </c>
      <c r="F295" s="4" t="inlineStr"/>
      <c r="G295" s="4" t="inlineStr">
        <is>
          <t>Teilaspekt von 8.22: nur zu prüfen, wenn die Anlage NICHT nach EN 81-70 ausgeführt ist (Prüfbericht 20.09.2026).</t>
        </is>
      </c>
      <c r="H295" s="4" t="inlineStr">
        <is>
          <t>((4.9 Nutzung durch Personen mit eingeschränkter Mobilität (Rollstuhl, Rollator, Sehbehinderung) zu erwarten? = Ja ODER 4.9a Barrierefreie Ausführung gefordert (Baugenehmigung, Nutzungskonzept, öffentlich zugängliches Gebäude)? = Ja) UND 8.22 Anlage nach DIN EN 81-70 barrierefrei ausgeführt? = Nein)</t>
        </is>
      </c>
      <c r="I295" s="4" t="inlineStr">
        <is>
          <t>MF-K10</t>
        </is>
      </c>
    </row>
    <row r="296">
      <c r="A296" s="2" t="inlineStr">
        <is>
          <t>qk_rollstuhl_mass</t>
        </is>
      </c>
      <c r="B296" s="2" t="inlineStr">
        <is>
          <t>8.24</t>
        </is>
      </c>
      <c r="C296" s="2" t="inlineStr">
        <is>
          <t>K – Fahrkorb</t>
        </is>
      </c>
      <c r="D296" s="2" t="inlineStr">
        <is>
          <t>Fahrkorbabmessungen für Rollstuhlnutzung ausreichend (mind. 1,00 m × 1,25 m, Fahrkorbtyp 1 nach DIN EN 81-70:2022-12)?</t>
        </is>
      </c>
      <c r="E296" s="2" t="inlineStr">
        <is>
          <t>YES_NO</t>
        </is>
      </c>
      <c r="F296" s="2" t="inlineStr"/>
      <c r="G296" s="2" t="inlineStr">
        <is>
          <t>Teilaspekt von 8.22, nur bei nicht normgerechter Ausführung zu prüfen. Typ 1 nach DIN EN 81-70 ist das Mindestmaß für einen Rollstuhl ohne Begleitperson; fordert die Genehmigung einen größeren Typ (2 oder 3), gilt dieser.</t>
        </is>
      </c>
      <c r="H296" s="2" t="inlineStr">
        <is>
          <t>((4.9 Nutzung durch Personen mit eingeschränkter Mobilität (Rollstuhl, Rollator, Sehbehinderung) zu erwarten? = Ja ODER 4.9a Barrierefreie Ausführung gefordert (Baugenehmigung, Nutzungskonzept, öffentlich zugängliches Gebäude)? = Ja) UND 8.22 Anlage nach DIN EN 81-70 barrierefrei ausgeführt? = Nein)</t>
        </is>
      </c>
      <c r="I296" s="2" t="inlineStr">
        <is>
          <t>MF-K10</t>
        </is>
      </c>
    </row>
    <row r="297">
      <c r="A297" s="4" t="inlineStr">
        <is>
          <t>qk_ausstattung</t>
        </is>
      </c>
      <c r="B297" s="4" t="inlineStr">
        <is>
          <t>8.25</t>
        </is>
      </c>
      <c r="C297" s="4" t="inlineStr">
        <is>
          <t>K – Fahrkorb</t>
        </is>
      </c>
      <c r="D297" s="4" t="inlineStr">
        <is>
          <t>Zustand der Fahrkorbausstattung</t>
        </is>
      </c>
      <c r="E297" s="4" t="inlineStr">
        <is>
          <t>SELECT</t>
        </is>
      </c>
      <c r="F297" s="4" t="inlineStr">
        <is>
          <t>Unbeschädigt, keine Hinweise auf Vandalismus
Beschädigt ohne unmittelbare Gefährdung (Tableau, Spiegel, Verkleidung)
Beschädigt mit unmittelbarer Gefährdung (freiliegende Elektrik, gebrochenes Glas, defekter Notruf)</t>
        </is>
      </c>
      <c r="G297" s="4" t="inlineStr"/>
      <c r="H297" s="4" t="inlineStr"/>
      <c r="I297" s="4" t="inlineStr">
        <is>
          <t>MF-K11</t>
        </is>
      </c>
    </row>
    <row r="298">
      <c r="A298" s="2" t="inlineStr">
        <is>
          <t>qk_vandalismus_wiederholt</t>
        </is>
      </c>
      <c r="B298" s="2" t="inlineStr">
        <is>
          <t>8.26</t>
        </is>
      </c>
      <c r="C298" s="2" t="inlineStr">
        <is>
          <t>K – Fahrkorb</t>
        </is>
      </c>
      <c r="D298" s="2" t="inlineStr">
        <is>
          <t>Wiederholte Vandalismusschäden?</t>
        </is>
      </c>
      <c r="E298" s="2" t="inlineStr">
        <is>
          <t>YES_NO</t>
        </is>
      </c>
      <c r="F298" s="2" t="inlineStr"/>
      <c r="G298" s="2" t="inlineStr"/>
      <c r="H298" s="2" t="inlineStr"/>
      <c r="I298" s="2" t="inlineStr">
        <is>
          <t>MF-K11</t>
        </is>
      </c>
    </row>
    <row r="299">
      <c r="A299" s="4" t="inlineStr">
        <is>
          <t>qk_en8171</t>
        </is>
      </c>
      <c r="B299" s="4" t="inlineStr">
        <is>
          <t>8.26a</t>
        </is>
      </c>
      <c r="C299" s="4" t="inlineStr">
        <is>
          <t>K – Fahrkorb</t>
        </is>
      </c>
      <c r="D299" s="4" t="inlineStr">
        <is>
          <t>Vandalismussichere Ausführung nach DIN EN 81-71?</t>
        </is>
      </c>
      <c r="E299" s="4" t="inlineStr">
        <is>
          <t>YES_NO</t>
        </is>
      </c>
      <c r="F299" s="4" t="inlineStr"/>
      <c r="G299" s="4" t="inlineStr"/>
      <c r="H299" s="4" t="inlineStr">
        <is>
          <t>8.26 Wiederholte Vandalismusschäden? = Ja</t>
        </is>
      </c>
      <c r="I299" s="4" t="inlineStr">
        <is>
          <t>MF-K11</t>
        </is>
      </c>
    </row>
    <row r="300">
      <c r="A300" s="2" t="inlineStr">
        <is>
          <t>qk_ucm_sr_modul</t>
        </is>
      </c>
      <c r="B300" s="2" t="inlineStr">
        <is>
          <t>8.27</t>
        </is>
      </c>
      <c r="C300" s="2" t="inlineStr">
        <is>
          <t>K – Fahrkorb</t>
        </is>
      </c>
      <c r="D300" s="2" t="inlineStr">
        <is>
          <t>Türüberbrückung (SR-Modul) für Nachregulieren / Voraböffnen mit offener Tür vorhanden?</t>
        </is>
      </c>
      <c r="E300" s="2" t="inlineStr">
        <is>
          <t>YES_NO</t>
        </is>
      </c>
      <c r="F300" s="2" t="inlineStr"/>
      <c r="G300" s="2" t="inlineStr">
        <is>
          <t>Bei Hydraulikaufzügen nicht gefragt: das Nachregulieren bei Druckverlust setzt die Türüberbrückung immer voraus (Entscheidung 02.09.2026, K-K12).</t>
        </is>
      </c>
      <c r="H300" s="2" t="inlineStr">
        <is>
          <t>NICHT 3.1 Aufzugsart in [„Hydraulikaufzug", „Seil-Hydraulikaufzug (indirekt)"]</t>
        </is>
      </c>
      <c r="I300" s="2" t="inlineStr">
        <is>
          <t>MF-K12, MF-M08</t>
        </is>
      </c>
    </row>
    <row r="301">
      <c r="A301" s="4" t="inlineStr">
        <is>
          <t>qk_schutz_aufwaerts</t>
        </is>
      </c>
      <c r="B301" s="4" t="inlineStr">
        <is>
          <t>8.28</t>
        </is>
      </c>
      <c r="C301" s="4" t="inlineStr">
        <is>
          <t>K – Fahrkorb</t>
        </is>
      </c>
      <c r="D301" s="4" t="inlineStr">
        <is>
          <t>Schutz gegen Übergeschwindigkeit aufwärts / Sturz nach oben</t>
        </is>
      </c>
      <c r="E301" s="4" t="inlineStr">
        <is>
          <t>SELECT</t>
        </is>
      </c>
      <c r="F301" s="4" t="inlineStr">
        <is>
          <t>Aktive Maßnahme (Notbremssystem / SAFÜ auf Seil oder Treibscheibe)
Passive Maßnahme (geringer Beschleunigungsweg, Gegengewichtsverhältnis)
Nicht verhindert</t>
        </is>
      </c>
      <c r="G301" s="4" t="inlineStr">
        <is>
          <t>Nur bei Treibscheiben- und Trommelantrieb mit Gegengewicht (MF-K13/MF-K14). Ein indirekter Hydraulikaufzug kann nicht durch Treibfähigkeitsverlust nach oben durchgehen (Prüfbericht 20.09.2026).</t>
        </is>
      </c>
      <c r="H301" s="4" t="inlineStr">
        <is>
          <t>(3.1 Aufzugsart in [„Seil-/Riemenaufzug (Treibscheibe)", „Trommel- oder Kettenaufzug"] UND 3.1b Gegengewicht oder Ausgleichsgewicht vorhanden? = Ja)</t>
        </is>
      </c>
      <c r="I301" s="4" t="inlineStr">
        <is>
          <t>MF-K13, MF-K14</t>
        </is>
      </c>
    </row>
    <row r="302">
      <c r="A302" s="2" t="inlineStr">
        <is>
          <t>qk_beleuchtung</t>
        </is>
      </c>
      <c r="B302" s="2" t="inlineStr">
        <is>
          <t>8.29</t>
        </is>
      </c>
      <c r="C302" s="2" t="inlineStr">
        <is>
          <t>K – Fahrkorb</t>
        </is>
      </c>
      <c r="D302" s="2" t="inlineStr">
        <is>
          <t>Beleuchtung im Fahrkorb (Normalbetrieb)</t>
        </is>
      </c>
      <c r="E302" s="2" t="inlineStr">
        <is>
          <t>SELECT</t>
        </is>
      </c>
      <c r="F302" s="2" t="inlineStr">
        <is>
          <t>Mindestens 100 Lux an den Befehlsgebern und 1 m über dem Boden bis 100 mm an die Wände
Beleuchtung vorhanden, aber unter 100 Lux, einzelne Lampen defekt oder stark vergilbte Abdeckung
Keine funktionsfähige Beleuchtung im Fahrkorb</t>
        </is>
      </c>
      <c r="G302" s="2" t="inlineStr">
        <is>
          <t>EN 81-20 5.4.10.1: gemessen an den Befehlsgebern und 1 m über dem Boden an allen Stellen, die nicht mehr als 100 mm von einer Wand entfernt sind. Schatten durch Handlauf oder Klappsitz dürfen vernachlässigt werden.</t>
        </is>
      </c>
      <c r="H302" s="2" t="inlineStr"/>
      <c r="I302" s="2" t="inlineStr">
        <is>
          <t>MF-K15</t>
        </is>
      </c>
    </row>
    <row r="303">
      <c r="A303" s="4" t="inlineStr">
        <is>
          <t>qk_bel_zwei_lampen</t>
        </is>
      </c>
      <c r="B303" s="4" t="inlineStr">
        <is>
          <t>8.29a</t>
        </is>
      </c>
      <c r="C303" s="4" t="inlineStr">
        <is>
          <t>K – Fahrkorb</t>
        </is>
      </c>
      <c r="D303" s="4" t="inlineStr">
        <is>
          <t>Mindestens zwei parallel geschaltete Lampen im Fahrkorb?</t>
        </is>
      </c>
      <c r="E303" s="4" t="inlineStr">
        <is>
          <t>YES_NO</t>
        </is>
      </c>
      <c r="F303" s="4" t="inlineStr"/>
      <c r="G303" s="4" t="inlineStr">
        <is>
          <t>EN 81-20 5.4.10.2: Ausfall einer Lampe darf den Fahrkorb nicht dunkel werden lassen.</t>
        </is>
      </c>
      <c r="H303" s="4" t="inlineStr"/>
      <c r="I303" s="4" t="inlineStr">
        <is>
          <t>MF-K15</t>
        </is>
      </c>
    </row>
    <row r="304">
      <c r="A304" s="2" t="inlineStr">
        <is>
          <t>qk_bel_staendig</t>
        </is>
      </c>
      <c r="B304" s="2" t="inlineStr">
        <is>
          <t>8.29b</t>
        </is>
      </c>
      <c r="C304" s="2" t="inlineStr">
        <is>
          <t>K – Fahrkorb</t>
        </is>
      </c>
      <c r="D304" s="2" t="inlineStr">
        <is>
          <t>Fahrkorb ständig beleuchtet (Ausnahme: Parken mit geschlossenen Türen)?</t>
        </is>
      </c>
      <c r="E304" s="2" t="inlineStr">
        <is>
          <t>YES_NO</t>
        </is>
      </c>
      <c r="F304" s="2" t="inlineStr"/>
      <c r="G304" s="2" t="inlineStr">
        <is>
          <t>EN 81-20 5.4.10.3.</t>
        </is>
      </c>
      <c r="H304" s="2" t="inlineStr"/>
      <c r="I304" s="2" t="inlineStr">
        <is>
          <t>MF-K15</t>
        </is>
      </c>
    </row>
    <row r="305">
      <c r="A305" s="4" t="inlineStr">
        <is>
          <t>qsf_unterlagen</t>
        </is>
      </c>
      <c r="B305" s="4" t="inlineStr">
        <is>
          <t>16.1</t>
        </is>
      </c>
      <c r="C305" s="4" t="inlineStr">
        <is>
          <t>SF – Sonderfunktionen</t>
        </is>
      </c>
      <c r="D305" s="4" t="inlineStr">
        <is>
          <t>Anforderungen und Unterlagen des Feuerwehraufzugs (EN 81-72, Brandschutzkonzept) vorhanden und erfüllt?</t>
        </is>
      </c>
      <c r="E305" s="4" t="inlineStr">
        <is>
          <t>YES_NO</t>
        </is>
      </c>
      <c r="F305" s="4" t="inlineStr"/>
      <c r="G305" s="4" t="inlineStr"/>
      <c r="H305" s="4" t="inlineStr">
        <is>
          <t>15.6 Feuerwehraufzug oder Aufzug mit Brandfall-Sonderbetrieb (EN 81-72 / EN 81-73 Evakuierung)? = Ja</t>
        </is>
      </c>
      <c r="I305" s="4" t="inlineStr">
        <is>
          <t>MF-SF01</t>
        </is>
      </c>
    </row>
    <row r="306">
      <c r="A306" s="2" t="inlineStr">
        <is>
          <t>qsf_bma</t>
        </is>
      </c>
      <c r="B306" s="2" t="inlineStr">
        <is>
          <t>16.2</t>
        </is>
      </c>
      <c r="C306" s="2" t="inlineStr">
        <is>
          <t>SF – Sonderfunktionen</t>
        </is>
      </c>
      <c r="D306" s="2" t="inlineStr">
        <is>
          <t>Brandmeldeanlage und Feuerwehraufzugsfunktion aufeinander abgestimmt?</t>
        </is>
      </c>
      <c r="E306" s="2" t="inlineStr">
        <is>
          <t>YES_NO</t>
        </is>
      </c>
      <c r="F306" s="2" t="inlineStr"/>
      <c r="G306" s="2" t="inlineStr"/>
      <c r="H306" s="2" t="inlineStr">
        <is>
          <t>15.6 Feuerwehraufzug oder Aufzug mit Brandfall-Sonderbetrieb (EN 81-72 / EN 81-73 Evakuierung)? = Ja</t>
        </is>
      </c>
      <c r="I306" s="2" t="inlineStr">
        <is>
          <t>MF-SF01</t>
        </is>
      </c>
    </row>
    <row r="307">
      <c r="A307" s="4" t="inlineStr">
        <is>
          <t>qsf_druckbelueftung</t>
        </is>
      </c>
      <c r="B307" s="4" t="inlineStr">
        <is>
          <t>16.3</t>
        </is>
      </c>
      <c r="C307" s="4" t="inlineStr">
        <is>
          <t>SF – Sonderfunktionen</t>
        </is>
      </c>
      <c r="D307" s="4" t="inlineStr">
        <is>
          <t>Druckbelüftungs-/Rauchschutzanlagen für Schacht und Vorräume vorhanden und geprüft?</t>
        </is>
      </c>
      <c r="E307" s="4" t="inlineStr">
        <is>
          <t>YES_NO</t>
        </is>
      </c>
      <c r="F307" s="4" t="inlineStr"/>
      <c r="G307" s="4" t="inlineStr"/>
      <c r="H307" s="4" t="inlineStr">
        <is>
          <t>15.6 Feuerwehraufzug oder Aufzug mit Brandfall-Sonderbetrieb (EN 81-72 / EN 81-73 Evakuierung)? = Ja</t>
        </is>
      </c>
      <c r="I307" s="4" t="inlineStr">
        <is>
          <t>MF-SF01</t>
        </is>
      </c>
    </row>
    <row r="308">
      <c r="A308" s="2" t="inlineStr">
        <is>
          <t>qsf_loeschwasser</t>
        </is>
      </c>
      <c r="B308" s="2" t="inlineStr">
        <is>
          <t>16.4</t>
        </is>
      </c>
      <c r="C308" s="2" t="inlineStr">
        <is>
          <t>SF – Sonderfunktionen</t>
        </is>
      </c>
      <c r="D308" s="2" t="inlineStr">
        <is>
          <t>Löschwasser-/Pumpeneinrichtungen mit Schnittstelle zum Aufzug berücksichtigt?</t>
        </is>
      </c>
      <c r="E308" s="2" t="inlineStr">
        <is>
          <t>YES_NO</t>
        </is>
      </c>
      <c r="F308" s="2" t="inlineStr"/>
      <c r="G308" s="2" t="inlineStr"/>
      <c r="H308" s="2" t="inlineStr">
        <is>
          <t>15.6 Feuerwehraufzug oder Aufzug mit Brandfall-Sonderbetrieb (EN 81-72 / EN 81-73 Evakuierung)? = Ja</t>
        </is>
      </c>
      <c r="I308" s="2" t="inlineStr">
        <is>
          <t>MF-SF01</t>
        </is>
      </c>
    </row>
    <row r="309">
      <c r="A309" s="4" t="inlineStr">
        <is>
          <t>qsf_ersatzstrom</t>
        </is>
      </c>
      <c r="B309" s="4" t="inlineStr">
        <is>
          <t>16.5</t>
        </is>
      </c>
      <c r="C309" s="4" t="inlineStr">
        <is>
          <t>SF – Sonderfunktionen</t>
        </is>
      </c>
      <c r="D309" s="4" t="inlineStr">
        <is>
          <t>Sicherheits-/Ersatzstromversorgung vorhanden und geprüft?</t>
        </is>
      </c>
      <c r="E309" s="4" t="inlineStr">
        <is>
          <t>YES_NO</t>
        </is>
      </c>
      <c r="F309" s="4" t="inlineStr"/>
      <c r="G309" s="4" t="inlineStr"/>
      <c r="H309" s="4" t="inlineStr">
        <is>
          <t>15.6 Feuerwehraufzug oder Aufzug mit Brandfall-Sonderbetrieb (EN 81-72 / EN 81-73 Evakuierung)? = Ja</t>
        </is>
      </c>
      <c r="I309" s="4" t="inlineStr">
        <is>
          <t>MF-SF01</t>
        </is>
      </c>
    </row>
    <row r="310">
      <c r="A310" s="2" t="inlineStr">
        <is>
          <t>qsf_ersatzstrom_test</t>
        </is>
      </c>
      <c r="B310" s="2" t="inlineStr">
        <is>
          <t>16.6</t>
        </is>
      </c>
      <c r="C310" s="2" t="inlineStr">
        <is>
          <t>SF – Sonderfunktionen</t>
        </is>
      </c>
      <c r="D310" s="2" t="inlineStr">
        <is>
          <t>Funktion des Aufzugs unter Ersatzstrombedingungen geprüft?</t>
        </is>
      </c>
      <c r="E310" s="2" t="inlineStr">
        <is>
          <t>YES_NO</t>
        </is>
      </c>
      <c r="F310" s="2" t="inlineStr"/>
      <c r="G310" s="2" t="inlineStr"/>
      <c r="H310" s="2" t="inlineStr">
        <is>
          <t>15.6 Feuerwehraufzug oder Aufzug mit Brandfall-Sonderbetrieb (EN 81-72 / EN 81-73 Evakuierung)? = Ja</t>
        </is>
      </c>
      <c r="I310" s="2" t="inlineStr">
        <is>
          <t>MF-SF01</t>
        </is>
      </c>
    </row>
    <row r="311">
      <c r="A311" s="4" t="inlineStr">
        <is>
          <t>qsf_nachweise</t>
        </is>
      </c>
      <c r="B311" s="4" t="inlineStr">
        <is>
          <t>16.7</t>
        </is>
      </c>
      <c r="C311" s="4" t="inlineStr">
        <is>
          <t>SF – Sonderfunktionen</t>
        </is>
      </c>
      <c r="D311" s="4" t="inlineStr">
        <is>
          <t>Erforderliche Prüfnachweise der Fremdgewerke verfügbar?</t>
        </is>
      </c>
      <c r="E311" s="4" t="inlineStr">
        <is>
          <t>YES_NO</t>
        </is>
      </c>
      <c r="F311" s="4" t="inlineStr"/>
      <c r="G311" s="4" t="inlineStr"/>
      <c r="H311" s="4" t="inlineStr">
        <is>
          <t>15.6 Feuerwehraufzug oder Aufzug mit Brandfall-Sonderbetrieb (EN 81-72 / EN 81-73 Evakuierung)? = Ja</t>
        </is>
      </c>
      <c r="I311" s="4" t="inlineStr">
        <is>
          <t>MF-SF01</t>
        </is>
      </c>
    </row>
    <row r="312">
      <c r="A312" s="2" t="inlineStr">
        <is>
          <t>qsf_feuerwehr_doku</t>
        </is>
      </c>
      <c r="B312" s="2" t="inlineStr">
        <is>
          <t>16.8</t>
        </is>
      </c>
      <c r="C312" s="2" t="inlineStr">
        <is>
          <t>SF – Sonderfunktionen</t>
        </is>
      </c>
      <c r="D312" s="2" t="inlineStr">
        <is>
          <t>Schnittstellen zur Feuerwehr / Brandschutzdienststelle dokumentiert (Feuerwehrplan, Schlüsseldepot)?</t>
        </is>
      </c>
      <c r="E312" s="2" t="inlineStr">
        <is>
          <t>YES_NO</t>
        </is>
      </c>
      <c r="F312" s="2" t="inlineStr"/>
      <c r="G312" s="2" t="inlineStr"/>
      <c r="H312" s="2" t="inlineStr">
        <is>
          <t>15.6 Feuerwehraufzug oder Aufzug mit Brandfall-Sonderbetrieb (EN 81-72 / EN 81-73 Evakuierung)? = Ja</t>
        </is>
      </c>
      <c r="I312" s="2" t="inlineStr">
        <is>
          <t>MF-SF01</t>
        </is>
      </c>
    </row>
    <row r="313">
      <c r="A313" s="4" t="inlineStr">
        <is>
          <t>qsf_organisation</t>
        </is>
      </c>
      <c r="B313" s="4" t="inlineStr">
        <is>
          <t>16.9</t>
        </is>
      </c>
      <c r="C313" s="4" t="inlineStr">
        <is>
          <t>SF – Sonderfunktionen</t>
        </is>
      </c>
      <c r="D313" s="4" t="inlineStr">
        <is>
          <t>Betreiberorganisation auf den Sonderbetrieb abgestimmt (Zuständigkeit, Unterweisung, Übungen)?</t>
        </is>
      </c>
      <c r="E313" s="4" t="inlineStr">
        <is>
          <t>YES_NO</t>
        </is>
      </c>
      <c r="F313" s="4" t="inlineStr"/>
      <c r="G313" s="4" t="inlineStr"/>
      <c r="H313" s="4" t="inlineStr">
        <is>
          <t>15.6 Feuerwehraufzug oder Aufzug mit Brandfall-Sonderbetrieb (EN 81-72 / EN 81-73 Evakuierung)? = Ja</t>
        </is>
      </c>
      <c r="I313" s="4" t="inlineStr">
        <is>
          <t>MF-SF01</t>
        </is>
      </c>
    </row>
    <row r="314">
      <c r="A314" s="2" t="inlineStr">
        <is>
          <t>qsf_cyber</t>
        </is>
      </c>
      <c r="B314" s="2" t="inlineStr">
        <is>
          <t>16.10</t>
        </is>
      </c>
      <c r="C314" s="2" t="inlineStr">
        <is>
          <t>SF – Sonderfunktionen</t>
        </is>
      </c>
      <c r="D314" s="2" t="inlineStr">
        <is>
          <t>Cyber-Auswirkungen auf die Feuerwehrfunktionen gesondert betrachtet?</t>
        </is>
      </c>
      <c r="E314" s="2" t="inlineStr">
        <is>
          <t>YES_NO</t>
        </is>
      </c>
      <c r="F314" s="2" t="inlineStr"/>
      <c r="G314" s="2" t="inlineStr"/>
      <c r="H314" s="2" t="inlineStr">
        <is>
          <t>15.6 Feuerwehraufzug oder Aufzug mit Brandfall-Sonderbetrieb (EN 81-72 / EN 81-73 Evakuierung)? = Ja</t>
        </is>
      </c>
      <c r="I314" s="2" t="inlineStr">
        <is>
          <t>MF-SF01</t>
        </is>
      </c>
    </row>
  </sheetData>
  <autoFilter ref="A1:I3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20" customWidth="1" min="1" max="1"/>
  </cols>
  <sheetData>
    <row r="1">
      <c r="A1" s="8" t="inlineStr">
        <is>
          <t>Mehrfragiger GBU-Typ „EN 81-20 mehrfragig" (MF) – Klärungsliste zur fachlichen Gegenlesung</t>
        </is>
      </c>
    </row>
    <row r="2">
      <c r="A2" s="9" t="inlineStr">
        <is>
          <t>Stand 02.09.2026 · Regelwerk 81-20-mf-2026.10 · 313 Fragen · 100 Gefährdungen · 432 Regeln · 47 Klärungspunkte</t>
        </is>
      </c>
    </row>
    <row r="3">
      <c r="A3" s="9" t="inlineStr"/>
    </row>
    <row r="4">
      <c r="A4" s="9" t="inlineStr">
        <is>
          <t>Aufbau: Frage → Gefährdung (Rolle) → Regel → Stufe. Eine Gefährdung hat mehrere Fragen. Anlagenmerkmale (Blatt Fragen, Bereich A) filtern Gefährdungen auf „Nicht zutreffend". Fehlt eine Pflichtfrage, ist die Gefährdung „Unvollständig" – nie „Kein Risiko".</t>
        </is>
      </c>
    </row>
    <row r="5">
      <c r="A5" s="9" t="inlineStr">
        <is>
          <t>Quellen: Fragen, Stufen und Maßnahmen stammen aus den App-Katalogen (81-20 erweitert, Ergänzung 2026); die Zuordnung mehrerer Fragen zu einer Gefährdung, die Anlagenmerkmale als Filter und die Ortsmatrix (Zugang/Triebwerksraum/Schacht/Grube) folgen als Methode der Schindler-Analyse. Alle Texte sind eigenständig formuliert.</t>
        </is>
      </c>
    </row>
    <row r="6">
      <c r="A6" s="9" t="inlineStr">
        <is>
          <t>Evidenz je Regel: HIGH_CONFIDENCE = Stufe und Maßnahme aus einer bestehenden App-Option übernommen; INFERRED = aus App-Katalog oder Schindler-Struktur abgeleitet, Text neu; HYPOTHESIS = eigener Vorschlag ohne Vorlage – bitte besonders prüfen.</t>
        </is>
      </c>
    </row>
    <row r="7">
      <c r="A7" s="9" t="inlineStr">
        <is>
          <t>Was zu tun ist: (1) Blatt Klaerungen – jede Zeile entscheiden (gelbe Spalten). (2) Blatt Regeln – stichprobenartig oder vollständig prüfen, Spalte „Prüfung OK?" und ggf. Korrektur eintragen. (3) Rückgabe der Datei; die Änderungen werden in mf_content/*.py eingepflegt und das Seed neu erzeugt.</t>
        </is>
      </c>
    </row>
    <row r="8">
      <c r="A8" s="9" t="inlineStr">
        <is>
          <t>Dieselben Inhalte sind im Prototyp „GBU-Bewertung" (Typ „GBU mehrfragig") interaktiv durchklickbar; dort zeigt jede Gefährdung ihre Fragen, die zutreffende Regel, Maßnahmen, Quellen und offene Klärungen.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2026-09-20T19:13:55Z</dcterms:created>
  <dcterms:modified xmlns:dcterms="http://purl.org/dc/terms/" xmlns:xsi="http://www.w3.org/2001/XMLSchema-instance" xsi:type="dcterms:W3CDTF">2026-09-20T19:13:56Z</dcterms:modified>
</cp:coreProperties>
</file>